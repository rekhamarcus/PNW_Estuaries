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ic-my.sharepoint.com/personal/rekhamarcus_uvic_ca/Documents/Wetlands/PNW_Estuaries/AHP/improving/"/>
    </mc:Choice>
  </mc:AlternateContent>
  <xr:revisionPtr revIDLastSave="381" documentId="8_{154D5A6D-3C53-407E-B54F-386C0D3ABACD}" xr6:coauthVersionLast="47" xr6:coauthVersionMax="47" xr10:uidLastSave="{A76C1F6A-269A-453B-AB65-C4F789D49DB2}"/>
  <bookViews>
    <workbookView xWindow="-96" yWindow="-96" windowWidth="23232" windowHeight="12432" activeTab="6" xr2:uid="{3ABD1B16-6F23-482C-9E70-40DD5848A57F}"/>
  </bookViews>
  <sheets>
    <sheet name="weights" sheetId="2" r:id="rId1"/>
    <sheet name="estuary_data" sheetId="1" r:id="rId2"/>
    <sheet name="size_scores" sheetId="6" r:id="rId3"/>
    <sheet name="climate_scores" sheetId="3" r:id="rId4"/>
    <sheet name="bird_scores" sheetId="4" r:id="rId5"/>
    <sheet name="slr_scores" sheetId="7" r:id="rId6"/>
    <sheet name="overall_scores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0" i="4" l="1"/>
  <c r="E317" i="4"/>
  <c r="E334" i="4"/>
  <c r="E342" i="4"/>
  <c r="E18" i="4"/>
  <c r="E173" i="4"/>
  <c r="E375" i="4"/>
  <c r="E381" i="4"/>
  <c r="E401" i="4"/>
  <c r="E407" i="4"/>
  <c r="E422" i="4"/>
  <c r="E427" i="4"/>
  <c r="E439" i="4"/>
  <c r="E58" i="4"/>
  <c r="E453" i="4"/>
  <c r="E460" i="4"/>
  <c r="E80" i="4"/>
  <c r="E82" i="4"/>
  <c r="E478" i="4"/>
  <c r="E93" i="4"/>
  <c r="E97" i="4"/>
  <c r="E498" i="4"/>
  <c r="E103" i="4"/>
  <c r="E509" i="4"/>
  <c r="E514" i="4"/>
  <c r="E518" i="4"/>
  <c r="E120" i="4"/>
  <c r="E527" i="4"/>
  <c r="E536" i="4"/>
  <c r="E541" i="4"/>
  <c r="E548" i="4"/>
  <c r="E554" i="4"/>
  <c r="E129" i="4"/>
  <c r="E564" i="4"/>
  <c r="E134" i="4"/>
  <c r="E178" i="4"/>
  <c r="E580" i="4"/>
  <c r="E151" i="4"/>
  <c r="E227" i="4"/>
  <c r="E147" i="4"/>
  <c r="E180" i="4"/>
  <c r="E234" i="4"/>
  <c r="E602" i="4"/>
  <c r="E604" i="4"/>
  <c r="E613" i="4"/>
  <c r="E159" i="4"/>
  <c r="E621" i="4"/>
  <c r="E626" i="4"/>
  <c r="E635" i="4"/>
  <c r="E638" i="4"/>
  <c r="E648" i="4"/>
  <c r="E654" i="4"/>
  <c r="E258" i="4"/>
  <c r="E263" i="4"/>
  <c r="E666" i="4"/>
  <c r="E267" i="4"/>
  <c r="E675" i="4"/>
  <c r="E680" i="4"/>
  <c r="E153" i="4"/>
  <c r="E163" i="4"/>
  <c r="E280" i="4"/>
  <c r="E689" i="4"/>
  <c r="E140" i="4"/>
  <c r="E285" i="4"/>
  <c r="E291" i="4"/>
  <c r="E701" i="4"/>
  <c r="E706" i="4"/>
  <c r="E707" i="4"/>
  <c r="E713" i="4"/>
  <c r="E165" i="4"/>
  <c r="E716" i="4"/>
  <c r="E718" i="4"/>
  <c r="E297" i="4"/>
  <c r="E724" i="4"/>
  <c r="E727" i="4"/>
  <c r="E729" i="4"/>
  <c r="E734" i="4"/>
  <c r="E736" i="4"/>
  <c r="E740" i="4"/>
  <c r="E742" i="4"/>
  <c r="E748" i="4"/>
  <c r="E750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2" i="3"/>
  <c r="D430" i="6"/>
  <c r="D662" i="6"/>
  <c r="N6" i="5"/>
  <c r="N5" i="5"/>
  <c r="N4" i="5"/>
  <c r="N3" i="5"/>
  <c r="H22" i="5"/>
  <c r="H23" i="5"/>
  <c r="H24" i="5"/>
  <c r="H25" i="5"/>
  <c r="H26" i="5"/>
  <c r="H161" i="5"/>
  <c r="H162" i="5"/>
  <c r="H27" i="5"/>
  <c r="H28" i="5"/>
  <c r="H29" i="5"/>
  <c r="H30" i="5"/>
  <c r="H31" i="5"/>
  <c r="H32" i="5"/>
  <c r="H33" i="5"/>
  <c r="H34" i="5"/>
  <c r="H35" i="5"/>
  <c r="H36" i="5"/>
  <c r="H163" i="5"/>
  <c r="H164" i="5"/>
  <c r="H165" i="5"/>
  <c r="H37" i="5"/>
  <c r="H166" i="5"/>
  <c r="H38" i="5"/>
  <c r="H39" i="5"/>
  <c r="H167" i="5"/>
  <c r="H168" i="5"/>
  <c r="H169" i="5"/>
  <c r="H40" i="5"/>
  <c r="H170" i="5"/>
  <c r="H41" i="5"/>
  <c r="H171" i="5"/>
  <c r="H42" i="5"/>
  <c r="H43" i="5"/>
  <c r="H44" i="5"/>
  <c r="H45" i="5"/>
  <c r="H172" i="5"/>
  <c r="H173" i="5"/>
  <c r="H174" i="5"/>
  <c r="H175" i="5"/>
  <c r="H176" i="5"/>
  <c r="H177" i="5"/>
  <c r="H178" i="5"/>
  <c r="H179" i="5"/>
  <c r="H46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47" i="5"/>
  <c r="H194" i="5"/>
  <c r="H195" i="5"/>
  <c r="H196" i="5"/>
  <c r="H197" i="5"/>
  <c r="H198" i="5"/>
  <c r="H199" i="5"/>
  <c r="H200" i="5"/>
  <c r="H678" i="5"/>
  <c r="H201" i="5"/>
  <c r="H679" i="5"/>
  <c r="H48" i="5"/>
  <c r="H202" i="5"/>
  <c r="H203" i="5"/>
  <c r="H49" i="5"/>
  <c r="H50" i="5"/>
  <c r="H204" i="5"/>
  <c r="H680" i="5"/>
  <c r="H205" i="5"/>
  <c r="H206" i="5"/>
  <c r="H207" i="5"/>
  <c r="H51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52" i="5"/>
  <c r="H53" i="5"/>
  <c r="H223" i="5"/>
  <c r="H224" i="5"/>
  <c r="H225" i="5"/>
  <c r="H226" i="5"/>
  <c r="H54" i="5"/>
  <c r="H227" i="5"/>
  <c r="H228" i="5"/>
  <c r="H55" i="5"/>
  <c r="H229" i="5"/>
  <c r="H230" i="5"/>
  <c r="H231" i="5"/>
  <c r="H232" i="5"/>
  <c r="H233" i="5"/>
  <c r="H681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56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747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57" i="5"/>
  <c r="H294" i="5"/>
  <c r="H295" i="5"/>
  <c r="H296" i="5"/>
  <c r="H297" i="5"/>
  <c r="H298" i="5"/>
  <c r="H58" i="5"/>
  <c r="H59" i="5"/>
  <c r="H299" i="5"/>
  <c r="H60" i="5"/>
  <c r="H300" i="5"/>
  <c r="H61" i="5"/>
  <c r="H301" i="5"/>
  <c r="H302" i="5"/>
  <c r="H303" i="5"/>
  <c r="H304" i="5"/>
  <c r="H305" i="5"/>
  <c r="H306" i="5"/>
  <c r="H307" i="5"/>
  <c r="H308" i="5"/>
  <c r="H309" i="5"/>
  <c r="H310" i="5"/>
  <c r="H62" i="5"/>
  <c r="H63" i="5"/>
  <c r="H64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5" i="5"/>
  <c r="H329" i="5"/>
  <c r="H330" i="5"/>
  <c r="H331" i="5"/>
  <c r="H332" i="5"/>
  <c r="H682" i="5"/>
  <c r="H683" i="5"/>
  <c r="H333" i="5"/>
  <c r="H334" i="5"/>
  <c r="H335" i="5"/>
  <c r="H336" i="5"/>
  <c r="H337" i="5"/>
  <c r="H338" i="5"/>
  <c r="H339" i="5"/>
  <c r="H340" i="5"/>
  <c r="H341" i="5"/>
  <c r="H65" i="5"/>
  <c r="H342" i="5"/>
  <c r="H684" i="5"/>
  <c r="H685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748" i="5"/>
  <c r="H359" i="5"/>
  <c r="H66" i="5"/>
  <c r="H360" i="5"/>
  <c r="H67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686" i="5"/>
  <c r="H373" i="5"/>
  <c r="H68" i="5"/>
  <c r="H69" i="5"/>
  <c r="H374" i="5"/>
  <c r="H375" i="5"/>
  <c r="H687" i="5"/>
  <c r="H376" i="5"/>
  <c r="H377" i="5"/>
  <c r="H378" i="5"/>
  <c r="H688" i="5"/>
  <c r="H689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690" i="5"/>
  <c r="H398" i="5"/>
  <c r="H691" i="5"/>
  <c r="H692" i="5"/>
  <c r="H399" i="5"/>
  <c r="H400" i="5"/>
  <c r="H401" i="5"/>
  <c r="H402" i="5"/>
  <c r="H693" i="5"/>
  <c r="H694" i="5"/>
  <c r="H403" i="5"/>
  <c r="H404" i="5"/>
  <c r="H695" i="5"/>
  <c r="H405" i="5"/>
  <c r="H406" i="5"/>
  <c r="H407" i="5"/>
  <c r="H696" i="5"/>
  <c r="H408" i="5"/>
  <c r="H409" i="5"/>
  <c r="H697" i="5"/>
  <c r="H410" i="5"/>
  <c r="H411" i="5"/>
  <c r="H412" i="5"/>
  <c r="H698" i="5"/>
  <c r="H413" i="5"/>
  <c r="H414" i="5"/>
  <c r="H415" i="5"/>
  <c r="H699" i="5"/>
  <c r="H416" i="5"/>
  <c r="H700" i="5"/>
  <c r="H417" i="5"/>
  <c r="H418" i="5"/>
  <c r="H419" i="5"/>
  <c r="H701" i="5"/>
  <c r="H420" i="5"/>
  <c r="H421" i="5"/>
  <c r="H422" i="5"/>
  <c r="H423" i="5"/>
  <c r="H424" i="5"/>
  <c r="H425" i="5"/>
  <c r="H426" i="5"/>
  <c r="H427" i="5"/>
  <c r="H702" i="5"/>
  <c r="H703" i="5"/>
  <c r="H428" i="5"/>
  <c r="H704" i="5"/>
  <c r="H429" i="5"/>
  <c r="H705" i="5"/>
  <c r="H430" i="5"/>
  <c r="H431" i="5"/>
  <c r="H706" i="5"/>
  <c r="H432" i="5"/>
  <c r="H433" i="5"/>
  <c r="H434" i="5"/>
  <c r="H435" i="5"/>
  <c r="H436" i="5"/>
  <c r="H437" i="5"/>
  <c r="H438" i="5"/>
  <c r="H439" i="5"/>
  <c r="H70" i="5"/>
  <c r="H440" i="5"/>
  <c r="H441" i="5"/>
  <c r="H442" i="5"/>
  <c r="H443" i="5"/>
  <c r="H444" i="5"/>
  <c r="H445" i="5"/>
  <c r="H446" i="5"/>
  <c r="H749" i="5"/>
  <c r="H707" i="5"/>
  <c r="H447" i="5"/>
  <c r="H708" i="5"/>
  <c r="H448" i="5"/>
  <c r="H449" i="5"/>
  <c r="H709" i="5"/>
  <c r="H450" i="5"/>
  <c r="H451" i="5"/>
  <c r="H710" i="5"/>
  <c r="H711" i="5"/>
  <c r="H452" i="5"/>
  <c r="H453" i="5"/>
  <c r="H454" i="5"/>
  <c r="H455" i="5"/>
  <c r="H456" i="5"/>
  <c r="H712" i="5"/>
  <c r="H713" i="5"/>
  <c r="H457" i="5"/>
  <c r="H458" i="5"/>
  <c r="H750" i="5"/>
  <c r="H71" i="5"/>
  <c r="H2" i="5"/>
  <c r="H459" i="5"/>
  <c r="H460" i="5"/>
  <c r="H461" i="5"/>
  <c r="H462" i="5"/>
  <c r="H463" i="5"/>
  <c r="H464" i="5"/>
  <c r="H714" i="5"/>
  <c r="H715" i="5"/>
  <c r="H465" i="5"/>
  <c r="H72" i="5"/>
  <c r="H466" i="5"/>
  <c r="H467" i="5"/>
  <c r="H468" i="5"/>
  <c r="H469" i="5"/>
  <c r="H73" i="5"/>
  <c r="H470" i="5"/>
  <c r="H74" i="5"/>
  <c r="H471" i="5"/>
  <c r="H472" i="5"/>
  <c r="H473" i="5"/>
  <c r="H716" i="5"/>
  <c r="H474" i="5"/>
  <c r="H475" i="5"/>
  <c r="H717" i="5"/>
  <c r="H476" i="5"/>
  <c r="H477" i="5"/>
  <c r="H478" i="5"/>
  <c r="H479" i="5"/>
  <c r="H480" i="5"/>
  <c r="H718" i="5"/>
  <c r="H481" i="5"/>
  <c r="H482" i="5"/>
  <c r="H483" i="5"/>
  <c r="H751" i="5"/>
  <c r="H719" i="5"/>
  <c r="H484" i="5"/>
  <c r="H752" i="5"/>
  <c r="H485" i="5"/>
  <c r="H753" i="5"/>
  <c r="H75" i="5"/>
  <c r="H486" i="5"/>
  <c r="H487" i="5"/>
  <c r="H488" i="5"/>
  <c r="H489" i="5"/>
  <c r="H490" i="5"/>
  <c r="H491" i="5"/>
  <c r="H492" i="5"/>
  <c r="H493" i="5"/>
  <c r="H494" i="5"/>
  <c r="H76" i="5"/>
  <c r="H495" i="5"/>
  <c r="H496" i="5"/>
  <c r="H497" i="5"/>
  <c r="H498" i="5"/>
  <c r="H77" i="5"/>
  <c r="H78" i="5"/>
  <c r="H79" i="5"/>
  <c r="H80" i="5"/>
  <c r="H499" i="5"/>
  <c r="H500" i="5"/>
  <c r="H81" i="5"/>
  <c r="H82" i="5"/>
  <c r="H501" i="5"/>
  <c r="H83" i="5"/>
  <c r="H84" i="5"/>
  <c r="H502" i="5"/>
  <c r="H503" i="5"/>
  <c r="H85" i="5"/>
  <c r="H86" i="5"/>
  <c r="H87" i="5"/>
  <c r="H88" i="5"/>
  <c r="H6" i="5"/>
  <c r="H7" i="5"/>
  <c r="H89" i="5"/>
  <c r="H504" i="5"/>
  <c r="H505" i="5"/>
  <c r="H90" i="5"/>
  <c r="H506" i="5"/>
  <c r="H91" i="5"/>
  <c r="H3" i="5"/>
  <c r="H92" i="5"/>
  <c r="H93" i="5"/>
  <c r="H94" i="5"/>
  <c r="H507" i="5"/>
  <c r="H508" i="5"/>
  <c r="H509" i="5"/>
  <c r="H510" i="5"/>
  <c r="H511" i="5"/>
  <c r="H8" i="5"/>
  <c r="H95" i="5"/>
  <c r="H96" i="5"/>
  <c r="H512" i="5"/>
  <c r="H513" i="5"/>
  <c r="H514" i="5"/>
  <c r="H515" i="5"/>
  <c r="H516" i="5"/>
  <c r="H97" i="5"/>
  <c r="H9" i="5"/>
  <c r="H98" i="5"/>
  <c r="H99" i="5"/>
  <c r="H100" i="5"/>
  <c r="H517" i="5"/>
  <c r="H101" i="5"/>
  <c r="H518" i="5"/>
  <c r="H102" i="5"/>
  <c r="H519" i="5"/>
  <c r="H520" i="5"/>
  <c r="H521" i="5"/>
  <c r="H522" i="5"/>
  <c r="H523" i="5"/>
  <c r="H524" i="5"/>
  <c r="H525" i="5"/>
  <c r="H526" i="5"/>
  <c r="H103" i="5"/>
  <c r="H527" i="5"/>
  <c r="H528" i="5"/>
  <c r="H529" i="5"/>
  <c r="H530" i="5"/>
  <c r="H531" i="5"/>
  <c r="H104" i="5"/>
  <c r="H532" i="5"/>
  <c r="H533" i="5"/>
  <c r="H534" i="5"/>
  <c r="H535" i="5"/>
  <c r="H536" i="5"/>
  <c r="H537" i="5"/>
  <c r="H105" i="5"/>
  <c r="H538" i="5"/>
  <c r="H539" i="5"/>
  <c r="H540" i="5"/>
  <c r="H541" i="5"/>
  <c r="H542" i="5"/>
  <c r="H543" i="5"/>
  <c r="H544" i="5"/>
  <c r="H545" i="5"/>
  <c r="H546" i="5"/>
  <c r="H106" i="5"/>
  <c r="H547" i="5"/>
  <c r="H548" i="5"/>
  <c r="H107" i="5"/>
  <c r="H549" i="5"/>
  <c r="H550" i="5"/>
  <c r="H108" i="5"/>
  <c r="H109" i="5"/>
  <c r="H551" i="5"/>
  <c r="H552" i="5"/>
  <c r="H553" i="5"/>
  <c r="H554" i="5"/>
  <c r="H110" i="5"/>
  <c r="H111" i="5"/>
  <c r="H555" i="5"/>
  <c r="H556" i="5"/>
  <c r="H557" i="5"/>
  <c r="H558" i="5"/>
  <c r="H112" i="5"/>
  <c r="H559" i="5"/>
  <c r="H560" i="5"/>
  <c r="H561" i="5"/>
  <c r="H562" i="5"/>
  <c r="H563" i="5"/>
  <c r="H564" i="5"/>
  <c r="H565" i="5"/>
  <c r="H566" i="5"/>
  <c r="H567" i="5"/>
  <c r="H113" i="5"/>
  <c r="H114" i="5"/>
  <c r="H568" i="5"/>
  <c r="H115" i="5"/>
  <c r="H569" i="5"/>
  <c r="H570" i="5"/>
  <c r="H571" i="5"/>
  <c r="H572" i="5"/>
  <c r="H116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117" i="5"/>
  <c r="H589" i="5"/>
  <c r="H590" i="5"/>
  <c r="H118" i="5"/>
  <c r="H591" i="5"/>
  <c r="H592" i="5"/>
  <c r="H593" i="5"/>
  <c r="H119" i="5"/>
  <c r="H594" i="5"/>
  <c r="H120" i="5"/>
  <c r="H595" i="5"/>
  <c r="H596" i="5"/>
  <c r="H597" i="5"/>
  <c r="H598" i="5"/>
  <c r="H121" i="5"/>
  <c r="H599" i="5"/>
  <c r="H122" i="5"/>
  <c r="H123" i="5"/>
  <c r="H10" i="5"/>
  <c r="H600" i="5"/>
  <c r="H601" i="5"/>
  <c r="H602" i="5"/>
  <c r="H124" i="5"/>
  <c r="H603" i="5"/>
  <c r="H604" i="5"/>
  <c r="H125" i="5"/>
  <c r="H605" i="5"/>
  <c r="H126" i="5"/>
  <c r="H606" i="5"/>
  <c r="H607" i="5"/>
  <c r="H608" i="5"/>
  <c r="H127" i="5"/>
  <c r="H128" i="5"/>
  <c r="H609" i="5"/>
  <c r="H129" i="5"/>
  <c r="H610" i="5"/>
  <c r="H720" i="5"/>
  <c r="H611" i="5"/>
  <c r="H721" i="5"/>
  <c r="H612" i="5"/>
  <c r="H130" i="5"/>
  <c r="H722" i="5"/>
  <c r="H613" i="5"/>
  <c r="H614" i="5"/>
  <c r="H615" i="5"/>
  <c r="H131" i="5"/>
  <c r="H616" i="5"/>
  <c r="H617" i="5"/>
  <c r="H618" i="5"/>
  <c r="H619" i="5"/>
  <c r="H620" i="5"/>
  <c r="H132" i="5"/>
  <c r="H133" i="5"/>
  <c r="H11" i="5"/>
  <c r="H134" i="5"/>
  <c r="H135" i="5"/>
  <c r="H12" i="5"/>
  <c r="H13" i="5"/>
  <c r="H14" i="5"/>
  <c r="H136" i="5"/>
  <c r="H15" i="5"/>
  <c r="H4" i="5"/>
  <c r="H16" i="5"/>
  <c r="H137" i="5"/>
  <c r="H138" i="5"/>
  <c r="H139" i="5"/>
  <c r="H621" i="5"/>
  <c r="H140" i="5"/>
  <c r="H622" i="5"/>
  <c r="H623" i="5"/>
  <c r="H141" i="5"/>
  <c r="H142" i="5"/>
  <c r="H143" i="5"/>
  <c r="H144" i="5"/>
  <c r="H624" i="5"/>
  <c r="H723" i="5"/>
  <c r="H625" i="5"/>
  <c r="H626" i="5"/>
  <c r="H145" i="5"/>
  <c r="H724" i="5"/>
  <c r="H627" i="5"/>
  <c r="H146" i="5"/>
  <c r="H628" i="5"/>
  <c r="H147" i="5"/>
  <c r="H725" i="5"/>
  <c r="H629" i="5"/>
  <c r="H726" i="5"/>
  <c r="H727" i="5"/>
  <c r="H728" i="5"/>
  <c r="H729" i="5"/>
  <c r="H630" i="5"/>
  <c r="H148" i="5"/>
  <c r="H631" i="5"/>
  <c r="H632" i="5"/>
  <c r="H149" i="5"/>
  <c r="H150" i="5"/>
  <c r="H151" i="5"/>
  <c r="H730" i="5"/>
  <c r="H152" i="5"/>
  <c r="H633" i="5"/>
  <c r="H634" i="5"/>
  <c r="H635" i="5"/>
  <c r="H636" i="5"/>
  <c r="H637" i="5"/>
  <c r="H638" i="5"/>
  <c r="H639" i="5"/>
  <c r="H731" i="5"/>
  <c r="H732" i="5"/>
  <c r="H733" i="5"/>
  <c r="H640" i="5"/>
  <c r="H153" i="5"/>
  <c r="H641" i="5"/>
  <c r="H734" i="5"/>
  <c r="H642" i="5"/>
  <c r="H735" i="5"/>
  <c r="H643" i="5"/>
  <c r="H644" i="5"/>
  <c r="H645" i="5"/>
  <c r="H17" i="5"/>
  <c r="H18" i="5"/>
  <c r="H646" i="5"/>
  <c r="H154" i="5"/>
  <c r="H647" i="5"/>
  <c r="H736" i="5"/>
  <c r="H648" i="5"/>
  <c r="H155" i="5"/>
  <c r="H737" i="5"/>
  <c r="H649" i="5"/>
  <c r="H650" i="5"/>
  <c r="H738" i="5"/>
  <c r="H651" i="5"/>
  <c r="H652" i="5"/>
  <c r="H156" i="5"/>
  <c r="H157" i="5"/>
  <c r="H653" i="5"/>
  <c r="H654" i="5"/>
  <c r="H158" i="5"/>
  <c r="H19" i="5"/>
  <c r="H20" i="5"/>
  <c r="H655" i="5"/>
  <c r="H656" i="5"/>
  <c r="H657" i="5"/>
  <c r="H658" i="5"/>
  <c r="H739" i="5"/>
  <c r="H740" i="5"/>
  <c r="H659" i="5"/>
  <c r="H741" i="5"/>
  <c r="H742" i="5"/>
  <c r="H743" i="5"/>
  <c r="H660" i="5"/>
  <c r="H661" i="5"/>
  <c r="H662" i="5"/>
  <c r="H663" i="5"/>
  <c r="H664" i="5"/>
  <c r="H665" i="5"/>
  <c r="H666" i="5"/>
  <c r="H744" i="5"/>
  <c r="H667" i="5"/>
  <c r="H668" i="5"/>
  <c r="H669" i="5"/>
  <c r="H670" i="5"/>
  <c r="H671" i="5"/>
  <c r="H745" i="5"/>
  <c r="H672" i="5"/>
  <c r="H673" i="5"/>
  <c r="H674" i="5"/>
  <c r="H746" i="5"/>
  <c r="H675" i="5"/>
  <c r="H676" i="5"/>
  <c r="H159" i="5"/>
  <c r="H160" i="5"/>
  <c r="H677" i="5"/>
  <c r="H21" i="5"/>
  <c r="C9" i="6"/>
  <c r="F162" i="5" s="1"/>
  <c r="C16" i="6"/>
  <c r="C94" i="6"/>
  <c r="F219" i="5" s="1"/>
  <c r="C101" i="6"/>
  <c r="C180" i="6"/>
  <c r="C186" i="6"/>
  <c r="F300" i="5" s="1"/>
  <c r="C265" i="6"/>
  <c r="F366" i="5" s="1"/>
  <c r="C272" i="6"/>
  <c r="C336" i="6"/>
  <c r="C350" i="6"/>
  <c r="F705" i="5" s="1"/>
  <c r="C357" i="6"/>
  <c r="C425" i="6"/>
  <c r="F483" i="5" s="1"/>
  <c r="C430" i="6"/>
  <c r="F485" i="5" s="1"/>
  <c r="C498" i="6"/>
  <c r="F519" i="5" s="1"/>
  <c r="C504" i="6"/>
  <c r="C570" i="6"/>
  <c r="F577" i="5" s="1"/>
  <c r="C575" i="6"/>
  <c r="C616" i="6"/>
  <c r="C619" i="6"/>
  <c r="C651" i="6"/>
  <c r="C659" i="6"/>
  <c r="C662" i="6"/>
  <c r="F627" i="5" s="1"/>
  <c r="C670" i="6"/>
  <c r="F728" i="5" s="1"/>
  <c r="C694" i="6"/>
  <c r="F734" i="5" s="1"/>
  <c r="C702" i="6"/>
  <c r="F646" i="5" s="1"/>
  <c r="C704" i="6"/>
  <c r="F647" i="5" s="1"/>
  <c r="C723" i="6"/>
  <c r="F657" i="5" s="1"/>
  <c r="C744" i="6"/>
  <c r="F745" i="5" s="1"/>
  <c r="C747" i="6"/>
  <c r="F674" i="5" s="1"/>
  <c r="G11" i="6"/>
  <c r="G10" i="6"/>
  <c r="G9" i="6"/>
  <c r="G8" i="6"/>
  <c r="G7" i="6"/>
  <c r="G6" i="6"/>
  <c r="G5" i="6"/>
  <c r="G4" i="6"/>
  <c r="G3" i="6"/>
  <c r="C30" i="6" s="1"/>
  <c r="F40" i="5" s="1"/>
  <c r="G2" i="6"/>
  <c r="C167" i="4"/>
  <c r="C302" i="4"/>
  <c r="C303" i="4"/>
  <c r="C195" i="4"/>
  <c r="C157" i="4"/>
  <c r="C304" i="4"/>
  <c r="C305" i="4"/>
  <c r="C196" i="4"/>
  <c r="C197" i="4"/>
  <c r="C198" i="4"/>
  <c r="C168" i="4"/>
  <c r="C199" i="4"/>
  <c r="C169" i="4"/>
  <c r="C158" i="4"/>
  <c r="C170" i="4"/>
  <c r="C306" i="4"/>
  <c r="C307" i="4"/>
  <c r="C3" i="4"/>
  <c r="C4" i="4"/>
  <c r="C308" i="4"/>
  <c r="C200" i="4"/>
  <c r="C309" i="4"/>
  <c r="C171" i="4"/>
  <c r="C310" i="4"/>
  <c r="C311" i="4"/>
  <c r="C5" i="4"/>
  <c r="C312" i="4"/>
  <c r="C313" i="4"/>
  <c r="C314" i="4"/>
  <c r="C315" i="4"/>
  <c r="C316" i="4"/>
  <c r="C317" i="4"/>
  <c r="C201" i="4"/>
  <c r="C318" i="4"/>
  <c r="C202" i="4"/>
  <c r="C319" i="4"/>
  <c r="C6" i="4"/>
  <c r="C320" i="4"/>
  <c r="C7" i="4"/>
  <c r="C8" i="4"/>
  <c r="C321" i="4"/>
  <c r="C322" i="4"/>
  <c r="C323" i="4"/>
  <c r="C324" i="4"/>
  <c r="C325" i="4"/>
  <c r="C9" i="4"/>
  <c r="C326" i="4"/>
  <c r="C327" i="4"/>
  <c r="C328" i="4"/>
  <c r="C329" i="4"/>
  <c r="C330" i="4"/>
  <c r="C331" i="4"/>
  <c r="C332" i="4"/>
  <c r="C10" i="4"/>
  <c r="C333" i="4"/>
  <c r="C334" i="4"/>
  <c r="C335" i="4"/>
  <c r="C336" i="4"/>
  <c r="C337" i="4"/>
  <c r="C338" i="4"/>
  <c r="C339" i="4"/>
  <c r="C340" i="4"/>
  <c r="C341" i="4"/>
  <c r="C342" i="4"/>
  <c r="C11" i="4"/>
  <c r="C12" i="4"/>
  <c r="C13" i="4"/>
  <c r="C14" i="4"/>
  <c r="C15" i="4"/>
  <c r="C343" i="4"/>
  <c r="C344" i="4"/>
  <c r="C345" i="4"/>
  <c r="C203" i="4"/>
  <c r="C172" i="4"/>
  <c r="C346" i="4"/>
  <c r="C16" i="4"/>
  <c r="C347" i="4"/>
  <c r="C348" i="4"/>
  <c r="C204" i="4"/>
  <c r="C349" i="4"/>
  <c r="C350" i="4"/>
  <c r="C351" i="4"/>
  <c r="C352" i="4"/>
  <c r="C353" i="4"/>
  <c r="C17" i="4"/>
  <c r="C354" i="4"/>
  <c r="C355" i="4"/>
  <c r="C18" i="4"/>
  <c r="C356" i="4"/>
  <c r="C357" i="4"/>
  <c r="C358" i="4"/>
  <c r="C359" i="4"/>
  <c r="C205" i="4"/>
  <c r="C19" i="4"/>
  <c r="C360" i="4"/>
  <c r="C173" i="4"/>
  <c r="C206" i="4"/>
  <c r="C20" i="4"/>
  <c r="C361" i="4"/>
  <c r="C362" i="4"/>
  <c r="C363" i="4"/>
  <c r="C364" i="4"/>
  <c r="C365" i="4"/>
  <c r="C21" i="4"/>
  <c r="C207" i="4"/>
  <c r="C366" i="4"/>
  <c r="C367" i="4"/>
  <c r="C368" i="4"/>
  <c r="C22" i="4"/>
  <c r="C369" i="4"/>
  <c r="C370" i="4"/>
  <c r="C371" i="4"/>
  <c r="C372" i="4"/>
  <c r="C23" i="4"/>
  <c r="C373" i="4"/>
  <c r="C24" i="4"/>
  <c r="C25" i="4"/>
  <c r="C374" i="4"/>
  <c r="C26" i="4"/>
  <c r="C375" i="4"/>
  <c r="C376" i="4"/>
  <c r="C377" i="4"/>
  <c r="C378" i="4"/>
  <c r="C208" i="4"/>
  <c r="C27" i="4"/>
  <c r="C379" i="4"/>
  <c r="C380" i="4"/>
  <c r="C381" i="4"/>
  <c r="C382" i="4"/>
  <c r="C383" i="4"/>
  <c r="C209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210" i="4"/>
  <c r="C396" i="4"/>
  <c r="C397" i="4"/>
  <c r="C398" i="4"/>
  <c r="C28" i="4"/>
  <c r="C399" i="4"/>
  <c r="C753" i="4"/>
  <c r="C400" i="4"/>
  <c r="C401" i="4"/>
  <c r="C402" i="4"/>
  <c r="C29" i="4"/>
  <c r="C403" i="4"/>
  <c r="C404" i="4"/>
  <c r="C405" i="4"/>
  <c r="C30" i="4"/>
  <c r="C406" i="4"/>
  <c r="C407" i="4"/>
  <c r="C408" i="4"/>
  <c r="C31" i="4"/>
  <c r="C32" i="4"/>
  <c r="C33" i="4"/>
  <c r="C34" i="4"/>
  <c r="C35" i="4"/>
  <c r="C409" i="4"/>
  <c r="C410" i="4"/>
  <c r="C36" i="4"/>
  <c r="C411" i="4"/>
  <c r="C412" i="4"/>
  <c r="C37" i="4"/>
  <c r="C413" i="4"/>
  <c r="C414" i="4"/>
  <c r="C38" i="4"/>
  <c r="C415" i="4"/>
  <c r="C416" i="4"/>
  <c r="C417" i="4"/>
  <c r="C418" i="4"/>
  <c r="C211" i="4"/>
  <c r="C419" i="4"/>
  <c r="C420" i="4"/>
  <c r="C421" i="4"/>
  <c r="C422" i="4"/>
  <c r="C423" i="4"/>
  <c r="C39" i="4"/>
  <c r="C40" i="4"/>
  <c r="C424" i="4"/>
  <c r="C425" i="4"/>
  <c r="C41" i="4"/>
  <c r="C426" i="4"/>
  <c r="C427" i="4"/>
  <c r="C428" i="4"/>
  <c r="C429" i="4"/>
  <c r="C42" i="4"/>
  <c r="C430" i="4"/>
  <c r="C212" i="4"/>
  <c r="C213" i="4"/>
  <c r="C431" i="4"/>
  <c r="C432" i="4"/>
  <c r="C433" i="4"/>
  <c r="C43" i="4"/>
  <c r="C434" i="4"/>
  <c r="C44" i="4"/>
  <c r="C45" i="4"/>
  <c r="C435" i="4"/>
  <c r="C436" i="4"/>
  <c r="C437" i="4"/>
  <c r="C46" i="4"/>
  <c r="C47" i="4"/>
  <c r="C438" i="4"/>
  <c r="C48" i="4"/>
  <c r="C49" i="4"/>
  <c r="C50" i="4"/>
  <c r="C51" i="4"/>
  <c r="C439" i="4"/>
  <c r="C146" i="4"/>
  <c r="C52" i="4"/>
  <c r="C53" i="4"/>
  <c r="C54" i="4"/>
  <c r="C55" i="4"/>
  <c r="C56" i="4"/>
  <c r="C57" i="4"/>
  <c r="C58" i="4"/>
  <c r="C59" i="4"/>
  <c r="C60" i="4"/>
  <c r="C214" i="4"/>
  <c r="C440" i="4"/>
  <c r="C441" i="4"/>
  <c r="C442" i="4"/>
  <c r="C443" i="4"/>
  <c r="C444" i="4"/>
  <c r="C445" i="4"/>
  <c r="C446" i="4"/>
  <c r="C61" i="4"/>
  <c r="C62" i="4"/>
  <c r="C447" i="4"/>
  <c r="C63" i="4"/>
  <c r="C64" i="4"/>
  <c r="C65" i="4"/>
  <c r="C448" i="4"/>
  <c r="C66" i="4"/>
  <c r="C449" i="4"/>
  <c r="C450" i="4"/>
  <c r="C67" i="4"/>
  <c r="C451" i="4"/>
  <c r="C452" i="4"/>
  <c r="C453" i="4"/>
  <c r="C454" i="4"/>
  <c r="C455" i="4"/>
  <c r="C456" i="4"/>
  <c r="C457" i="4"/>
  <c r="C458" i="4"/>
  <c r="C68" i="4"/>
  <c r="C459" i="4"/>
  <c r="C460" i="4"/>
  <c r="C461" i="4"/>
  <c r="C69" i="4"/>
  <c r="C462" i="4"/>
  <c r="C463" i="4"/>
  <c r="C464" i="4"/>
  <c r="C70" i="4"/>
  <c r="C71" i="4"/>
  <c r="C465" i="4"/>
  <c r="C72" i="4"/>
  <c r="C466" i="4"/>
  <c r="C73" i="4"/>
  <c r="C74" i="4"/>
  <c r="C75" i="4"/>
  <c r="C76" i="4"/>
  <c r="C77" i="4"/>
  <c r="C174" i="4"/>
  <c r="C175" i="4"/>
  <c r="C467" i="4"/>
  <c r="C468" i="4"/>
  <c r="C78" i="4"/>
  <c r="C79" i="4"/>
  <c r="C469" i="4"/>
  <c r="C80" i="4"/>
  <c r="C81" i="4"/>
  <c r="C82" i="4"/>
  <c r="C470" i="4"/>
  <c r="C83" i="4"/>
  <c r="C84" i="4"/>
  <c r="C471" i="4"/>
  <c r="C472" i="4"/>
  <c r="C473" i="4"/>
  <c r="C85" i="4"/>
  <c r="C86" i="4"/>
  <c r="C474" i="4"/>
  <c r="C215" i="4"/>
  <c r="C87" i="4"/>
  <c r="C88" i="4"/>
  <c r="C475" i="4"/>
  <c r="C476" i="4"/>
  <c r="C477" i="4"/>
  <c r="C478" i="4"/>
  <c r="C479" i="4"/>
  <c r="C480" i="4"/>
  <c r="C89" i="4"/>
  <c r="C90" i="4"/>
  <c r="C91" i="4"/>
  <c r="C92" i="4"/>
  <c r="C93" i="4"/>
  <c r="C94" i="4"/>
  <c r="C481" i="4"/>
  <c r="C482" i="4"/>
  <c r="C483" i="4"/>
  <c r="C95" i="4"/>
  <c r="C96" i="4"/>
  <c r="C484" i="4"/>
  <c r="C485" i="4"/>
  <c r="C486" i="4"/>
  <c r="C487" i="4"/>
  <c r="C488" i="4"/>
  <c r="C489" i="4"/>
  <c r="C490" i="4"/>
  <c r="C491" i="4"/>
  <c r="C492" i="4"/>
  <c r="C97" i="4"/>
  <c r="C98" i="4"/>
  <c r="C493" i="4"/>
  <c r="C494" i="4"/>
  <c r="C495" i="4"/>
  <c r="C496" i="4"/>
  <c r="C497" i="4"/>
  <c r="C498" i="4"/>
  <c r="C99" i="4"/>
  <c r="C499" i="4"/>
  <c r="C100" i="4"/>
  <c r="C500" i="4"/>
  <c r="C501" i="4"/>
  <c r="C502" i="4"/>
  <c r="C101" i="4"/>
  <c r="C102" i="4"/>
  <c r="C503" i="4"/>
  <c r="C504" i="4"/>
  <c r="C505" i="4"/>
  <c r="C216" i="4"/>
  <c r="C506" i="4"/>
  <c r="C507" i="4"/>
  <c r="C508" i="4"/>
  <c r="C103" i="4"/>
  <c r="C104" i="4"/>
  <c r="C509" i="4"/>
  <c r="C105" i="4"/>
  <c r="C106" i="4"/>
  <c r="C107" i="4"/>
  <c r="C108" i="4"/>
  <c r="C109" i="4"/>
  <c r="C510" i="4"/>
  <c r="C511" i="4"/>
  <c r="C110" i="4"/>
  <c r="C111" i="4"/>
  <c r="C112" i="4"/>
  <c r="C512" i="4"/>
  <c r="C113" i="4"/>
  <c r="C513" i="4"/>
  <c r="C114" i="4"/>
  <c r="C176" i="4"/>
  <c r="C514" i="4"/>
  <c r="C515" i="4"/>
  <c r="C115" i="4"/>
  <c r="C116" i="4"/>
  <c r="C516" i="4"/>
  <c r="C517" i="4"/>
  <c r="C518" i="4"/>
  <c r="C519" i="4"/>
  <c r="C117" i="4"/>
  <c r="C118" i="4"/>
  <c r="C520" i="4"/>
  <c r="C521" i="4"/>
  <c r="C522" i="4"/>
  <c r="C119" i="4"/>
  <c r="C523" i="4"/>
  <c r="C524" i="4"/>
  <c r="C120" i="4"/>
  <c r="C121" i="4"/>
  <c r="C525" i="4"/>
  <c r="C122" i="4"/>
  <c r="C526" i="4"/>
  <c r="C123" i="4"/>
  <c r="C527" i="4"/>
  <c r="C528" i="4"/>
  <c r="C529" i="4"/>
  <c r="C530" i="4"/>
  <c r="C531" i="4"/>
  <c r="C532" i="4"/>
  <c r="C533" i="4"/>
  <c r="C144" i="4"/>
  <c r="C534" i="4"/>
  <c r="C535" i="4"/>
  <c r="C536" i="4"/>
  <c r="C537" i="4"/>
  <c r="C538" i="4"/>
  <c r="C539" i="4"/>
  <c r="C124" i="4"/>
  <c r="C540" i="4"/>
  <c r="C541" i="4"/>
  <c r="C542" i="4"/>
  <c r="C543" i="4"/>
  <c r="C544" i="4"/>
  <c r="C545" i="4"/>
  <c r="C125" i="4"/>
  <c r="C546" i="4"/>
  <c r="C547" i="4"/>
  <c r="C217" i="4"/>
  <c r="C218" i="4"/>
  <c r="C548" i="4"/>
  <c r="C549" i="4"/>
  <c r="C550" i="4"/>
  <c r="C551" i="4"/>
  <c r="C552" i="4"/>
  <c r="C553" i="4"/>
  <c r="C554" i="4"/>
  <c r="C126" i="4"/>
  <c r="C555" i="4"/>
  <c r="C556" i="4"/>
  <c r="C557" i="4"/>
  <c r="C127" i="4"/>
  <c r="C558" i="4"/>
  <c r="C559" i="4"/>
  <c r="C128" i="4"/>
  <c r="C560" i="4"/>
  <c r="C129" i="4"/>
  <c r="C130" i="4"/>
  <c r="C561" i="4"/>
  <c r="C131" i="4"/>
  <c r="C562" i="4"/>
  <c r="C563" i="4"/>
  <c r="C564" i="4"/>
  <c r="C132" i="4"/>
  <c r="C133" i="4"/>
  <c r="C565" i="4"/>
  <c r="C566" i="4"/>
  <c r="C567" i="4"/>
  <c r="C568" i="4"/>
  <c r="C569" i="4"/>
  <c r="C570" i="4"/>
  <c r="C571" i="4"/>
  <c r="C134" i="4"/>
  <c r="C572" i="4"/>
  <c r="C135" i="4"/>
  <c r="C136" i="4"/>
  <c r="C219" i="4"/>
  <c r="C177" i="4"/>
  <c r="C178" i="4"/>
  <c r="C179" i="4"/>
  <c r="C573" i="4"/>
  <c r="C574" i="4"/>
  <c r="C575" i="4"/>
  <c r="C576" i="4"/>
  <c r="C577" i="4"/>
  <c r="C220" i="4"/>
  <c r="C578" i="4"/>
  <c r="C579" i="4"/>
  <c r="C580" i="4"/>
  <c r="C581" i="4"/>
  <c r="C221" i="4"/>
  <c r="C222" i="4"/>
  <c r="C582" i="4"/>
  <c r="C150" i="4"/>
  <c r="C151" i="4"/>
  <c r="C223" i="4"/>
  <c r="C583" i="4"/>
  <c r="C584" i="4"/>
  <c r="C224" i="4"/>
  <c r="C585" i="4"/>
  <c r="C225" i="4"/>
  <c r="C145" i="4"/>
  <c r="C586" i="4"/>
  <c r="C226" i="4"/>
  <c r="C227" i="4"/>
  <c r="C228" i="4"/>
  <c r="C229" i="4"/>
  <c r="C587" i="4"/>
  <c r="C588" i="4"/>
  <c r="C589" i="4"/>
  <c r="C147" i="4"/>
  <c r="C230" i="4"/>
  <c r="C231" i="4"/>
  <c r="C590" i="4"/>
  <c r="C591" i="4"/>
  <c r="C592" i="4"/>
  <c r="C593" i="4"/>
  <c r="C594" i="4"/>
  <c r="C595" i="4"/>
  <c r="C148" i="4"/>
  <c r="C180" i="4"/>
  <c r="C232" i="4"/>
  <c r="C233" i="4"/>
  <c r="C596" i="4"/>
  <c r="C597" i="4"/>
  <c r="C598" i="4"/>
  <c r="C234" i="4"/>
  <c r="C235" i="4"/>
  <c r="C236" i="4"/>
  <c r="C599" i="4"/>
  <c r="C237" i="4"/>
  <c r="C238" i="4"/>
  <c r="C239" i="4"/>
  <c r="C600" i="4"/>
  <c r="C601" i="4"/>
  <c r="C181" i="4"/>
  <c r="C602" i="4"/>
  <c r="C240" i="4"/>
  <c r="C241" i="4"/>
  <c r="C603" i="4"/>
  <c r="C242" i="4"/>
  <c r="C182" i="4"/>
  <c r="C604" i="4"/>
  <c r="C605" i="4"/>
  <c r="C606" i="4"/>
  <c r="C607" i="4"/>
  <c r="C608" i="4"/>
  <c r="C609" i="4"/>
  <c r="C183" i="4"/>
  <c r="C610" i="4"/>
  <c r="C611" i="4"/>
  <c r="C612" i="4"/>
  <c r="C613" i="4"/>
  <c r="C614" i="4"/>
  <c r="C243" i="4"/>
  <c r="C615" i="4"/>
  <c r="C244" i="4"/>
  <c r="C245" i="4"/>
  <c r="C159" i="4"/>
  <c r="C246" i="4"/>
  <c r="C616" i="4"/>
  <c r="C247" i="4"/>
  <c r="C617" i="4"/>
  <c r="C618" i="4"/>
  <c r="C248" i="4"/>
  <c r="C249" i="4"/>
  <c r="C619" i="4"/>
  <c r="C620" i="4"/>
  <c r="C621" i="4"/>
  <c r="C622" i="4"/>
  <c r="C623" i="4"/>
  <c r="C250" i="4"/>
  <c r="C624" i="4"/>
  <c r="C625" i="4"/>
  <c r="C626" i="4"/>
  <c r="C627" i="4"/>
  <c r="C628" i="4"/>
  <c r="C629" i="4"/>
  <c r="C251" i="4"/>
  <c r="C630" i="4"/>
  <c r="C631" i="4"/>
  <c r="C632" i="4"/>
  <c r="C633" i="4"/>
  <c r="C634" i="4"/>
  <c r="C635" i="4"/>
  <c r="C636" i="4"/>
  <c r="C252" i="4"/>
  <c r="C253" i="4"/>
  <c r="C637" i="4"/>
  <c r="C254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255" i="4"/>
  <c r="C659" i="4"/>
  <c r="C660" i="4"/>
  <c r="C256" i="4"/>
  <c r="C257" i="4"/>
  <c r="C258" i="4"/>
  <c r="C661" i="4"/>
  <c r="C259" i="4"/>
  <c r="C260" i="4"/>
  <c r="C261" i="4"/>
  <c r="C262" i="4"/>
  <c r="C263" i="4"/>
  <c r="C264" i="4"/>
  <c r="C265" i="4"/>
  <c r="C662" i="4"/>
  <c r="C663" i="4"/>
  <c r="C184" i="4"/>
  <c r="C185" i="4"/>
  <c r="C152" i="4"/>
  <c r="C664" i="4"/>
  <c r="C665" i="4"/>
  <c r="C666" i="4"/>
  <c r="C266" i="4"/>
  <c r="C667" i="4"/>
  <c r="C668" i="4"/>
  <c r="C669" i="4"/>
  <c r="C670" i="4"/>
  <c r="C267" i="4"/>
  <c r="C671" i="4"/>
  <c r="C672" i="4"/>
  <c r="C268" i="4"/>
  <c r="C269" i="4"/>
  <c r="C270" i="4"/>
  <c r="C673" i="4"/>
  <c r="C271" i="4"/>
  <c r="C137" i="4"/>
  <c r="C674" i="4"/>
  <c r="C675" i="4"/>
  <c r="C676" i="4"/>
  <c r="C677" i="4"/>
  <c r="C272" i="4"/>
  <c r="C678" i="4"/>
  <c r="C679" i="4"/>
  <c r="C680" i="4"/>
  <c r="C681" i="4"/>
  <c r="C273" i="4"/>
  <c r="C682" i="4"/>
  <c r="C274" i="4"/>
  <c r="C683" i="4"/>
  <c r="C275" i="4"/>
  <c r="C276" i="4"/>
  <c r="C186" i="4"/>
  <c r="C187" i="4"/>
  <c r="C153" i="4"/>
  <c r="C160" i="4"/>
  <c r="C277" i="4"/>
  <c r="C161" i="4"/>
  <c r="C154" i="4"/>
  <c r="C162" i="4"/>
  <c r="C163" i="4"/>
  <c r="C149" i="4"/>
  <c r="C2" i="4"/>
  <c r="C155" i="4"/>
  <c r="C684" i="4"/>
  <c r="C188" i="4"/>
  <c r="C685" i="4"/>
  <c r="C686" i="4"/>
  <c r="C278" i="4"/>
  <c r="C279" i="4"/>
  <c r="C280" i="4"/>
  <c r="C189" i="4"/>
  <c r="C281" i="4"/>
  <c r="C687" i="4"/>
  <c r="C282" i="4"/>
  <c r="C688" i="4"/>
  <c r="C689" i="4"/>
  <c r="C690" i="4"/>
  <c r="C283" i="4"/>
  <c r="C190" i="4"/>
  <c r="C138" i="4"/>
  <c r="C284" i="4"/>
  <c r="C191" i="4"/>
  <c r="C691" i="4"/>
  <c r="C692" i="4"/>
  <c r="C139" i="4"/>
  <c r="C140" i="4"/>
  <c r="C141" i="4"/>
  <c r="C693" i="4"/>
  <c r="C694" i="4"/>
  <c r="C695" i="4"/>
  <c r="C696" i="4"/>
  <c r="C285" i="4"/>
  <c r="C697" i="4"/>
  <c r="C698" i="4"/>
  <c r="C286" i="4"/>
  <c r="C287" i="4"/>
  <c r="C288" i="4"/>
  <c r="C699" i="4"/>
  <c r="C192" i="4"/>
  <c r="C289" i="4"/>
  <c r="C290" i="4"/>
  <c r="C291" i="4"/>
  <c r="C700" i="4"/>
  <c r="C701" i="4"/>
  <c r="C292" i="4"/>
  <c r="C702" i="4"/>
  <c r="C703" i="4"/>
  <c r="C704" i="4"/>
  <c r="C705" i="4"/>
  <c r="C706" i="4"/>
  <c r="C293" i="4"/>
  <c r="C707" i="4"/>
  <c r="C708" i="4"/>
  <c r="C709" i="4"/>
  <c r="C710" i="4"/>
  <c r="C711" i="4"/>
  <c r="C712" i="4"/>
  <c r="C713" i="4"/>
  <c r="C164" i="4"/>
  <c r="C165" i="4"/>
  <c r="C294" i="4"/>
  <c r="C295" i="4"/>
  <c r="C714" i="4"/>
  <c r="C142" i="4"/>
  <c r="C715" i="4"/>
  <c r="C716" i="4"/>
  <c r="C717" i="4"/>
  <c r="C718" i="4"/>
  <c r="C719" i="4"/>
  <c r="C720" i="4"/>
  <c r="C721" i="4"/>
  <c r="C722" i="4"/>
  <c r="C296" i="4"/>
  <c r="C297" i="4"/>
  <c r="C723" i="4"/>
  <c r="C724" i="4"/>
  <c r="C193" i="4"/>
  <c r="C166" i="4"/>
  <c r="C156" i="4"/>
  <c r="C725" i="4"/>
  <c r="C726" i="4"/>
  <c r="C727" i="4"/>
  <c r="C728" i="4"/>
  <c r="C729" i="4"/>
  <c r="C730" i="4"/>
  <c r="C731" i="4"/>
  <c r="C732" i="4"/>
  <c r="C733" i="4"/>
  <c r="C143" i="4"/>
  <c r="C734" i="4"/>
  <c r="C735" i="4"/>
  <c r="C736" i="4"/>
  <c r="C298" i="4"/>
  <c r="C299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300" i="4"/>
  <c r="C301" i="4"/>
  <c r="C752" i="4"/>
  <c r="C194" i="4"/>
  <c r="B167" i="4"/>
  <c r="D167" i="4" s="1"/>
  <c r="E167" i="4" s="1"/>
  <c r="B302" i="4"/>
  <c r="D302" i="4" s="1"/>
  <c r="E302" i="4" s="1"/>
  <c r="B303" i="4"/>
  <c r="D303" i="4" s="1"/>
  <c r="E303" i="4" s="1"/>
  <c r="B195" i="4"/>
  <c r="D195" i="4" s="1"/>
  <c r="E195" i="4" s="1"/>
  <c r="B157" i="4"/>
  <c r="D157" i="4" s="1"/>
  <c r="E157" i="4" s="1"/>
  <c r="B304" i="4"/>
  <c r="D304" i="4" s="1"/>
  <c r="E304" i="4" s="1"/>
  <c r="B305" i="4"/>
  <c r="D305" i="4" s="1"/>
  <c r="E305" i="4" s="1"/>
  <c r="B196" i="4"/>
  <c r="D196" i="4" s="1"/>
  <c r="B197" i="4"/>
  <c r="D197" i="4" s="1"/>
  <c r="E197" i="4" s="1"/>
  <c r="B198" i="4"/>
  <c r="D198" i="4" s="1"/>
  <c r="E198" i="4" s="1"/>
  <c r="B168" i="4"/>
  <c r="D168" i="4" s="1"/>
  <c r="E168" i="4" s="1"/>
  <c r="B199" i="4"/>
  <c r="D199" i="4" s="1"/>
  <c r="E199" i="4" s="1"/>
  <c r="B169" i="4"/>
  <c r="D169" i="4" s="1"/>
  <c r="E169" i="4" s="1"/>
  <c r="B158" i="4"/>
  <c r="D158" i="4" s="1"/>
  <c r="E158" i="4" s="1"/>
  <c r="B170" i="4"/>
  <c r="D170" i="4" s="1"/>
  <c r="B306" i="4"/>
  <c r="D306" i="4" s="1"/>
  <c r="E306" i="4" s="1"/>
  <c r="B307" i="4"/>
  <c r="D307" i="4" s="1"/>
  <c r="E307" i="4" s="1"/>
  <c r="B3" i="4"/>
  <c r="D3" i="4" s="1"/>
  <c r="E3" i="4" s="1"/>
  <c r="B4" i="4"/>
  <c r="D4" i="4" s="1"/>
  <c r="E4" i="4" s="1"/>
  <c r="B308" i="4"/>
  <c r="D308" i="4" s="1"/>
  <c r="B200" i="4"/>
  <c r="D200" i="4" s="1"/>
  <c r="E200" i="4" s="1"/>
  <c r="B309" i="4"/>
  <c r="D309" i="4" s="1"/>
  <c r="E309" i="4" s="1"/>
  <c r="B171" i="4"/>
  <c r="D171" i="4" s="1"/>
  <c r="B310" i="4"/>
  <c r="D310" i="4" s="1"/>
  <c r="B311" i="4"/>
  <c r="D311" i="4" s="1"/>
  <c r="E311" i="4" s="1"/>
  <c r="B5" i="4"/>
  <c r="D5" i="4" s="1"/>
  <c r="E5" i="4" s="1"/>
  <c r="B312" i="4"/>
  <c r="D312" i="4" s="1"/>
  <c r="E312" i="4" s="1"/>
  <c r="B313" i="4"/>
  <c r="D313" i="4" s="1"/>
  <c r="E313" i="4" s="1"/>
  <c r="B314" i="4"/>
  <c r="D314" i="4" s="1"/>
  <c r="E314" i="4" s="1"/>
  <c r="B315" i="4"/>
  <c r="D315" i="4" s="1"/>
  <c r="E315" i="4" s="1"/>
  <c r="B316" i="4"/>
  <c r="D316" i="4" s="1"/>
  <c r="E316" i="4" s="1"/>
  <c r="B317" i="4"/>
  <c r="D317" i="4" s="1"/>
  <c r="B201" i="4"/>
  <c r="D201" i="4" s="1"/>
  <c r="E201" i="4" s="1"/>
  <c r="B318" i="4"/>
  <c r="D318" i="4" s="1"/>
  <c r="E318" i="4" s="1"/>
  <c r="B202" i="4"/>
  <c r="D202" i="4" s="1"/>
  <c r="B319" i="4"/>
  <c r="D319" i="4" s="1"/>
  <c r="E319" i="4" s="1"/>
  <c r="B6" i="4"/>
  <c r="D6" i="4" s="1"/>
  <c r="E6" i="4" s="1"/>
  <c r="B320" i="4"/>
  <c r="D320" i="4" s="1"/>
  <c r="E320" i="4" s="1"/>
  <c r="B7" i="4"/>
  <c r="D7" i="4" s="1"/>
  <c r="E7" i="4" s="1"/>
  <c r="B8" i="4"/>
  <c r="D8" i="4" s="1"/>
  <c r="B321" i="4"/>
  <c r="D321" i="4" s="1"/>
  <c r="E321" i="4" s="1"/>
  <c r="B322" i="4"/>
  <c r="D322" i="4" s="1"/>
  <c r="E322" i="4" s="1"/>
  <c r="B323" i="4"/>
  <c r="D323" i="4" s="1"/>
  <c r="E323" i="4" s="1"/>
  <c r="B324" i="4"/>
  <c r="D324" i="4" s="1"/>
  <c r="B325" i="4"/>
  <c r="D325" i="4" s="1"/>
  <c r="E325" i="4" s="1"/>
  <c r="B9" i="4"/>
  <c r="D9" i="4" s="1"/>
  <c r="E9" i="4" s="1"/>
  <c r="B326" i="4"/>
  <c r="D326" i="4" s="1"/>
  <c r="B327" i="4"/>
  <c r="D327" i="4" s="1"/>
  <c r="E327" i="4" s="1"/>
  <c r="B328" i="4"/>
  <c r="D328" i="4" s="1"/>
  <c r="E328" i="4" s="1"/>
  <c r="B329" i="4"/>
  <c r="D329" i="4" s="1"/>
  <c r="E329" i="4" s="1"/>
  <c r="B330" i="4"/>
  <c r="D330" i="4" s="1"/>
  <c r="E330" i="4" s="1"/>
  <c r="B331" i="4"/>
  <c r="D331" i="4" s="1"/>
  <c r="E331" i="4" s="1"/>
  <c r="B332" i="4"/>
  <c r="D332" i="4" s="1"/>
  <c r="B10" i="4"/>
  <c r="D10" i="4" s="1"/>
  <c r="E10" i="4" s="1"/>
  <c r="B333" i="4"/>
  <c r="D333" i="4" s="1"/>
  <c r="E333" i="4" s="1"/>
  <c r="B334" i="4"/>
  <c r="D334" i="4" s="1"/>
  <c r="B335" i="4"/>
  <c r="D335" i="4" s="1"/>
  <c r="E335" i="4" s="1"/>
  <c r="B336" i="4"/>
  <c r="D336" i="4" s="1"/>
  <c r="E336" i="4" s="1"/>
  <c r="B337" i="4"/>
  <c r="D337" i="4" s="1"/>
  <c r="E337" i="4" s="1"/>
  <c r="B338" i="4"/>
  <c r="D338" i="4" s="1"/>
  <c r="E338" i="4" s="1"/>
  <c r="B339" i="4"/>
  <c r="D339" i="4" s="1"/>
  <c r="E339" i="4" s="1"/>
  <c r="B340" i="4"/>
  <c r="D340" i="4" s="1"/>
  <c r="B341" i="4"/>
  <c r="D341" i="4" s="1"/>
  <c r="B342" i="4"/>
  <c r="D342" i="4" s="1"/>
  <c r="B11" i="4"/>
  <c r="D11" i="4" s="1"/>
  <c r="E11" i="4" s="1"/>
  <c r="B12" i="4"/>
  <c r="D12" i="4" s="1"/>
  <c r="E12" i="4" s="1"/>
  <c r="B13" i="4"/>
  <c r="D13" i="4" s="1"/>
  <c r="E13" i="4" s="1"/>
  <c r="B14" i="4"/>
  <c r="D14" i="4" s="1"/>
  <c r="E14" i="4" s="1"/>
  <c r="B15" i="4"/>
  <c r="D15" i="4" s="1"/>
  <c r="E15" i="4" s="1"/>
  <c r="B343" i="4"/>
  <c r="D343" i="4" s="1"/>
  <c r="E343" i="4" s="1"/>
  <c r="B344" i="4"/>
  <c r="D344" i="4" s="1"/>
  <c r="B345" i="4"/>
  <c r="D345" i="4" s="1"/>
  <c r="B203" i="4"/>
  <c r="D203" i="4" s="1"/>
  <c r="E203" i="4" s="1"/>
  <c r="B172" i="4"/>
  <c r="D172" i="4" s="1"/>
  <c r="B346" i="4"/>
  <c r="D346" i="4" s="1"/>
  <c r="E346" i="4" s="1"/>
  <c r="B16" i="4"/>
  <c r="D16" i="4" s="1"/>
  <c r="E16" i="4" s="1"/>
  <c r="B347" i="4"/>
  <c r="D347" i="4" s="1"/>
  <c r="E347" i="4" s="1"/>
  <c r="B348" i="4"/>
  <c r="D348" i="4" s="1"/>
  <c r="E348" i="4" s="1"/>
  <c r="B204" i="4"/>
  <c r="D204" i="4" s="1"/>
  <c r="B349" i="4"/>
  <c r="D349" i="4" s="1"/>
  <c r="E349" i="4" s="1"/>
  <c r="B350" i="4"/>
  <c r="D350" i="4" s="1"/>
  <c r="E350" i="4" s="1"/>
  <c r="B351" i="4"/>
  <c r="D351" i="4" s="1"/>
  <c r="E351" i="4" s="1"/>
  <c r="B352" i="4"/>
  <c r="D352" i="4" s="1"/>
  <c r="E352" i="4" s="1"/>
  <c r="B353" i="4"/>
  <c r="D353" i="4" s="1"/>
  <c r="E353" i="4" s="1"/>
  <c r="B17" i="4"/>
  <c r="D17" i="4" s="1"/>
  <c r="E17" i="4" s="1"/>
  <c r="B354" i="4"/>
  <c r="D354" i="4" s="1"/>
  <c r="E354" i="4" s="1"/>
  <c r="B355" i="4"/>
  <c r="D355" i="4" s="1"/>
  <c r="B18" i="4"/>
  <c r="D18" i="4" s="1"/>
  <c r="B356" i="4"/>
  <c r="D356" i="4" s="1"/>
  <c r="E356" i="4" s="1"/>
  <c r="B357" i="4"/>
  <c r="D357" i="4" s="1"/>
  <c r="E357" i="4" s="1"/>
  <c r="B358" i="4"/>
  <c r="D358" i="4" s="1"/>
  <c r="B359" i="4"/>
  <c r="D359" i="4" s="1"/>
  <c r="E359" i="4" s="1"/>
  <c r="B205" i="4"/>
  <c r="D205" i="4" s="1"/>
  <c r="E205" i="4" s="1"/>
  <c r="B19" i="4"/>
  <c r="D19" i="4" s="1"/>
  <c r="E19" i="4" s="1"/>
  <c r="B360" i="4"/>
  <c r="D360" i="4" s="1"/>
  <c r="B173" i="4"/>
  <c r="D173" i="4" s="1"/>
  <c r="B206" i="4"/>
  <c r="D206" i="4" s="1"/>
  <c r="E206" i="4" s="1"/>
  <c r="B20" i="4"/>
  <c r="D20" i="4" s="1"/>
  <c r="E20" i="4" s="1"/>
  <c r="B361" i="4"/>
  <c r="D361" i="4" s="1"/>
  <c r="E361" i="4" s="1"/>
  <c r="B362" i="4"/>
  <c r="D362" i="4" s="1"/>
  <c r="E362" i="4" s="1"/>
  <c r="B363" i="4"/>
  <c r="D363" i="4" s="1"/>
  <c r="B364" i="4"/>
  <c r="D364" i="4" s="1"/>
  <c r="E364" i="4" s="1"/>
  <c r="B365" i="4"/>
  <c r="D365" i="4" s="1"/>
  <c r="B21" i="4"/>
  <c r="D21" i="4" s="1"/>
  <c r="B207" i="4"/>
  <c r="D207" i="4" s="1"/>
  <c r="E207" i="4" s="1"/>
  <c r="B366" i="4"/>
  <c r="D366" i="4" s="1"/>
  <c r="E366" i="4" s="1"/>
  <c r="B367" i="4"/>
  <c r="D367" i="4" s="1"/>
  <c r="E367" i="4" s="1"/>
  <c r="B368" i="4"/>
  <c r="D368" i="4" s="1"/>
  <c r="E368" i="4" s="1"/>
  <c r="B22" i="4"/>
  <c r="D22" i="4" s="1"/>
  <c r="E22" i="4" s="1"/>
  <c r="B369" i="4"/>
  <c r="D369" i="4" s="1"/>
  <c r="E369" i="4" s="1"/>
  <c r="B370" i="4"/>
  <c r="D370" i="4" s="1"/>
  <c r="B371" i="4"/>
  <c r="D371" i="4" s="1"/>
  <c r="E371" i="4" s="1"/>
  <c r="B372" i="4"/>
  <c r="D372" i="4" s="1"/>
  <c r="E372" i="4" s="1"/>
  <c r="B23" i="4"/>
  <c r="D23" i="4" s="1"/>
  <c r="E23" i="4" s="1"/>
  <c r="B373" i="4"/>
  <c r="D373" i="4" s="1"/>
  <c r="B24" i="4"/>
  <c r="D24" i="4" s="1"/>
  <c r="E24" i="4" s="1"/>
  <c r="B25" i="4"/>
  <c r="D25" i="4" s="1"/>
  <c r="E25" i="4" s="1"/>
  <c r="B374" i="4"/>
  <c r="D374" i="4" s="1"/>
  <c r="E374" i="4" s="1"/>
  <c r="B26" i="4"/>
  <c r="D26" i="4" s="1"/>
  <c r="B375" i="4"/>
  <c r="D375" i="4" s="1"/>
  <c r="B376" i="4"/>
  <c r="D376" i="4" s="1"/>
  <c r="E376" i="4" s="1"/>
  <c r="B377" i="4"/>
  <c r="D377" i="4" s="1"/>
  <c r="E377" i="4" s="1"/>
  <c r="B378" i="4"/>
  <c r="D378" i="4" s="1"/>
  <c r="E378" i="4" s="1"/>
  <c r="B208" i="4"/>
  <c r="D208" i="4" s="1"/>
  <c r="E208" i="4" s="1"/>
  <c r="B27" i="4"/>
  <c r="D27" i="4" s="1"/>
  <c r="E27" i="4" s="1"/>
  <c r="B379" i="4"/>
  <c r="D379" i="4" s="1"/>
  <c r="E379" i="4" s="1"/>
  <c r="B380" i="4"/>
  <c r="D380" i="4" s="1"/>
  <c r="B381" i="4"/>
  <c r="D381" i="4" s="1"/>
  <c r="B382" i="4"/>
  <c r="D382" i="4" s="1"/>
  <c r="E382" i="4" s="1"/>
  <c r="B383" i="4"/>
  <c r="D383" i="4" s="1"/>
  <c r="B209" i="4"/>
  <c r="D209" i="4" s="1"/>
  <c r="E209" i="4" s="1"/>
  <c r="B384" i="4"/>
  <c r="D384" i="4" s="1"/>
  <c r="E384" i="4" s="1"/>
  <c r="B385" i="4"/>
  <c r="D385" i="4" s="1"/>
  <c r="E385" i="4" s="1"/>
  <c r="B386" i="4"/>
  <c r="D386" i="4" s="1"/>
  <c r="E386" i="4" s="1"/>
  <c r="B387" i="4"/>
  <c r="D387" i="4" s="1"/>
  <c r="B388" i="4"/>
  <c r="D388" i="4" s="1"/>
  <c r="B389" i="4"/>
  <c r="D389" i="4" s="1"/>
  <c r="E389" i="4" s="1"/>
  <c r="B390" i="4"/>
  <c r="D390" i="4" s="1"/>
  <c r="E390" i="4" s="1"/>
  <c r="B391" i="4"/>
  <c r="D391" i="4" s="1"/>
  <c r="E391" i="4" s="1"/>
  <c r="B392" i="4"/>
  <c r="D392" i="4" s="1"/>
  <c r="B393" i="4"/>
  <c r="D393" i="4" s="1"/>
  <c r="E393" i="4" s="1"/>
  <c r="B394" i="4"/>
  <c r="D394" i="4" s="1"/>
  <c r="E394" i="4" s="1"/>
  <c r="B395" i="4"/>
  <c r="D395" i="4" s="1"/>
  <c r="E395" i="4" s="1"/>
  <c r="B210" i="4"/>
  <c r="D210" i="4" s="1"/>
  <c r="D265" i="5" s="1"/>
  <c r="B396" i="4"/>
  <c r="D396" i="4" s="1"/>
  <c r="E396" i="4" s="1"/>
  <c r="B397" i="4"/>
  <c r="D397" i="4" s="1"/>
  <c r="E397" i="4" s="1"/>
  <c r="B398" i="4"/>
  <c r="D398" i="4" s="1"/>
  <c r="E398" i="4" s="1"/>
  <c r="B28" i="4"/>
  <c r="D28" i="4" s="1"/>
  <c r="E28" i="4" s="1"/>
  <c r="B399" i="4"/>
  <c r="D399" i="4" s="1"/>
  <c r="E399" i="4" s="1"/>
  <c r="B753" i="4"/>
  <c r="D753" i="4" s="1"/>
  <c r="E753" i="4" s="1"/>
  <c r="B400" i="4"/>
  <c r="D400" i="4" s="1"/>
  <c r="B401" i="4"/>
  <c r="D401" i="4" s="1"/>
  <c r="B402" i="4"/>
  <c r="D402" i="4" s="1"/>
  <c r="E402" i="4" s="1"/>
  <c r="B29" i="4"/>
  <c r="D29" i="4" s="1"/>
  <c r="E29" i="4" s="1"/>
  <c r="B403" i="4"/>
  <c r="D403" i="4" s="1"/>
  <c r="E403" i="4" s="1"/>
  <c r="B404" i="4"/>
  <c r="D404" i="4" s="1"/>
  <c r="E404" i="4" s="1"/>
  <c r="B405" i="4"/>
  <c r="D405" i="4" s="1"/>
  <c r="E405" i="4" s="1"/>
  <c r="B30" i="4"/>
  <c r="D30" i="4" s="1"/>
  <c r="E30" i="4" s="1"/>
  <c r="B406" i="4"/>
  <c r="D406" i="4" s="1"/>
  <c r="B407" i="4"/>
  <c r="D407" i="4" s="1"/>
  <c r="B408" i="4"/>
  <c r="D408" i="4" s="1"/>
  <c r="E408" i="4" s="1"/>
  <c r="B31" i="4"/>
  <c r="D31" i="4" s="1"/>
  <c r="E31" i="4" s="1"/>
  <c r="B32" i="4"/>
  <c r="D32" i="4" s="1"/>
  <c r="E32" i="4" s="1"/>
  <c r="B33" i="4"/>
  <c r="D33" i="4" s="1"/>
  <c r="E33" i="4" s="1"/>
  <c r="B34" i="4"/>
  <c r="D34" i="4" s="1"/>
  <c r="E34" i="4" s="1"/>
  <c r="B35" i="4"/>
  <c r="D35" i="4" s="1"/>
  <c r="E35" i="4" s="1"/>
  <c r="B409" i="4"/>
  <c r="D409" i="4" s="1"/>
  <c r="B410" i="4"/>
  <c r="D410" i="4" s="1"/>
  <c r="D288" i="5" s="1"/>
  <c r="B36" i="4"/>
  <c r="D36" i="4" s="1"/>
  <c r="E36" i="4" s="1"/>
  <c r="B411" i="4"/>
  <c r="D411" i="4" s="1"/>
  <c r="E411" i="4" s="1"/>
  <c r="B412" i="4"/>
  <c r="D412" i="4" s="1"/>
  <c r="E412" i="4" s="1"/>
  <c r="B37" i="4"/>
  <c r="D37" i="4" s="1"/>
  <c r="E37" i="4" s="1"/>
  <c r="B413" i="4"/>
  <c r="D413" i="4" s="1"/>
  <c r="E413" i="4" s="1"/>
  <c r="B414" i="4"/>
  <c r="D414" i="4" s="1"/>
  <c r="E414" i="4" s="1"/>
  <c r="B38" i="4"/>
  <c r="D38" i="4" s="1"/>
  <c r="B415" i="4"/>
  <c r="D415" i="4" s="1"/>
  <c r="E415" i="4" s="1"/>
  <c r="B416" i="4"/>
  <c r="D416" i="4" s="1"/>
  <c r="E416" i="4" s="1"/>
  <c r="B417" i="4"/>
  <c r="D417" i="4" s="1"/>
  <c r="E417" i="4" s="1"/>
  <c r="B418" i="4"/>
  <c r="D418" i="4" s="1"/>
  <c r="E418" i="4" s="1"/>
  <c r="B211" i="4"/>
  <c r="D211" i="4" s="1"/>
  <c r="E211" i="4" s="1"/>
  <c r="B419" i="4"/>
  <c r="D419" i="4" s="1"/>
  <c r="B420" i="4"/>
  <c r="D420" i="4" s="1"/>
  <c r="E420" i="4" s="1"/>
  <c r="B421" i="4"/>
  <c r="D421" i="4" s="1"/>
  <c r="E421" i="4" s="1"/>
  <c r="B422" i="4"/>
  <c r="D422" i="4" s="1"/>
  <c r="B423" i="4"/>
  <c r="D423" i="4" s="1"/>
  <c r="E423" i="4" s="1"/>
  <c r="B39" i="4"/>
  <c r="D39" i="4" s="1"/>
  <c r="E39" i="4" s="1"/>
  <c r="B40" i="4"/>
  <c r="D40" i="4" s="1"/>
  <c r="B424" i="4"/>
  <c r="D424" i="4" s="1"/>
  <c r="E424" i="4" s="1"/>
  <c r="B425" i="4"/>
  <c r="D425" i="4" s="1"/>
  <c r="E425" i="4" s="1"/>
  <c r="B41" i="4"/>
  <c r="D41" i="4" s="1"/>
  <c r="E41" i="4" s="1"/>
  <c r="B426" i="4"/>
  <c r="D426" i="4" s="1"/>
  <c r="B427" i="4"/>
  <c r="D427" i="4" s="1"/>
  <c r="B428" i="4"/>
  <c r="D428" i="4" s="1"/>
  <c r="E428" i="4" s="1"/>
  <c r="B429" i="4"/>
  <c r="D429" i="4" s="1"/>
  <c r="E429" i="4" s="1"/>
  <c r="B42" i="4"/>
  <c r="D42" i="4" s="1"/>
  <c r="E42" i="4" s="1"/>
  <c r="B430" i="4"/>
  <c r="D430" i="4" s="1"/>
  <c r="E430" i="4" s="1"/>
  <c r="B212" i="4"/>
  <c r="D212" i="4" s="1"/>
  <c r="E212" i="4" s="1"/>
  <c r="B213" i="4"/>
  <c r="D213" i="4" s="1"/>
  <c r="E213" i="4" s="1"/>
  <c r="B431" i="4"/>
  <c r="D431" i="4" s="1"/>
  <c r="B432" i="4"/>
  <c r="D432" i="4" s="1"/>
  <c r="D312" i="5" s="1"/>
  <c r="B433" i="4"/>
  <c r="D433" i="4" s="1"/>
  <c r="E433" i="4" s="1"/>
  <c r="B43" i="4"/>
  <c r="D43" i="4" s="1"/>
  <c r="E43" i="4" s="1"/>
  <c r="B434" i="4"/>
  <c r="D434" i="4" s="1"/>
  <c r="E434" i="4" s="1"/>
  <c r="B44" i="4"/>
  <c r="D44" i="4" s="1"/>
  <c r="E44" i="4" s="1"/>
  <c r="B45" i="4"/>
  <c r="D45" i="4" s="1"/>
  <c r="E45" i="4" s="1"/>
  <c r="B435" i="4"/>
  <c r="D435" i="4" s="1"/>
  <c r="E435" i="4" s="1"/>
  <c r="B436" i="4"/>
  <c r="D436" i="4" s="1"/>
  <c r="B437" i="4"/>
  <c r="D437" i="4" s="1"/>
  <c r="D320" i="5" s="1"/>
  <c r="B46" i="4"/>
  <c r="D46" i="4" s="1"/>
  <c r="E46" i="4" s="1"/>
  <c r="B47" i="4"/>
  <c r="D47" i="4" s="1"/>
  <c r="E47" i="4" s="1"/>
  <c r="B438" i="4"/>
  <c r="D438" i="4" s="1"/>
  <c r="E438" i="4" s="1"/>
  <c r="B48" i="4"/>
  <c r="D48" i="4" s="1"/>
  <c r="E48" i="4" s="1"/>
  <c r="B49" i="4"/>
  <c r="D49" i="4" s="1"/>
  <c r="B50" i="4"/>
  <c r="D50" i="4" s="1"/>
  <c r="E50" i="4" s="1"/>
  <c r="B51" i="4"/>
  <c r="D51" i="4" s="1"/>
  <c r="E51" i="4" s="1"/>
  <c r="B439" i="4"/>
  <c r="D439" i="4" s="1"/>
  <c r="B146" i="4"/>
  <c r="D146" i="4" s="1"/>
  <c r="E146" i="4" s="1"/>
  <c r="B52" i="4"/>
  <c r="D52" i="4" s="1"/>
  <c r="E52" i="4" s="1"/>
  <c r="B53" i="4"/>
  <c r="D53" i="4" s="1"/>
  <c r="E53" i="4" s="1"/>
  <c r="B54" i="4"/>
  <c r="D54" i="4" s="1"/>
  <c r="E54" i="4" s="1"/>
  <c r="B55" i="4"/>
  <c r="D55" i="4" s="1"/>
  <c r="E55" i="4" s="1"/>
  <c r="B56" i="4"/>
  <c r="D56" i="4" s="1"/>
  <c r="E56" i="4" s="1"/>
  <c r="B57" i="4"/>
  <c r="D57" i="4" s="1"/>
  <c r="B58" i="4"/>
  <c r="D58" i="4" s="1"/>
  <c r="B59" i="4"/>
  <c r="D59" i="4" s="1"/>
  <c r="E59" i="4" s="1"/>
  <c r="B60" i="4"/>
  <c r="D60" i="4" s="1"/>
  <c r="E60" i="4" s="1"/>
  <c r="B214" i="4"/>
  <c r="D214" i="4" s="1"/>
  <c r="E214" i="4" s="1"/>
  <c r="B440" i="4"/>
  <c r="D440" i="4" s="1"/>
  <c r="E440" i="4" s="1"/>
  <c r="B441" i="4"/>
  <c r="D441" i="4" s="1"/>
  <c r="E441" i="4" s="1"/>
  <c r="B442" i="4"/>
  <c r="D442" i="4" s="1"/>
  <c r="E442" i="4" s="1"/>
  <c r="B443" i="4"/>
  <c r="D443" i="4" s="1"/>
  <c r="E443" i="4" s="1"/>
  <c r="B444" i="4"/>
  <c r="D444" i="4" s="1"/>
  <c r="B445" i="4"/>
  <c r="D445" i="4" s="1"/>
  <c r="E445" i="4" s="1"/>
  <c r="B446" i="4"/>
  <c r="D446" i="4" s="1"/>
  <c r="E446" i="4" s="1"/>
  <c r="B61" i="4"/>
  <c r="D61" i="4" s="1"/>
  <c r="E61" i="4" s="1"/>
  <c r="B62" i="4"/>
  <c r="D62" i="4" s="1"/>
  <c r="E62" i="4" s="1"/>
  <c r="B447" i="4"/>
  <c r="D447" i="4" s="1"/>
  <c r="E447" i="4" s="1"/>
  <c r="B63" i="4"/>
  <c r="D63" i="4" s="1"/>
  <c r="B64" i="4"/>
  <c r="D64" i="4" s="1"/>
  <c r="B65" i="4"/>
  <c r="D65" i="4" s="1"/>
  <c r="E65" i="4" s="1"/>
  <c r="B448" i="4"/>
  <c r="D448" i="4" s="1"/>
  <c r="E448" i="4" s="1"/>
  <c r="B66" i="4"/>
  <c r="D66" i="4" s="1"/>
  <c r="E66" i="4" s="1"/>
  <c r="B449" i="4"/>
  <c r="D449" i="4" s="1"/>
  <c r="E449" i="4" s="1"/>
  <c r="B450" i="4"/>
  <c r="D450" i="4" s="1"/>
  <c r="E450" i="4" s="1"/>
  <c r="B67" i="4"/>
  <c r="D67" i="4" s="1"/>
  <c r="B451" i="4"/>
  <c r="D451" i="4" s="1"/>
  <c r="E451" i="4" s="1"/>
  <c r="B452" i="4"/>
  <c r="D452" i="4" s="1"/>
  <c r="B453" i="4"/>
  <c r="D453" i="4" s="1"/>
  <c r="B454" i="4"/>
  <c r="D454" i="4" s="1"/>
  <c r="E454" i="4" s="1"/>
  <c r="B455" i="4"/>
  <c r="D455" i="4" s="1"/>
  <c r="E455" i="4" s="1"/>
  <c r="B456" i="4"/>
  <c r="D456" i="4" s="1"/>
  <c r="E456" i="4" s="1"/>
  <c r="B457" i="4"/>
  <c r="D457" i="4" s="1"/>
  <c r="E457" i="4" s="1"/>
  <c r="B458" i="4"/>
  <c r="D458" i="4" s="1"/>
  <c r="E458" i="4" s="1"/>
  <c r="B68" i="4"/>
  <c r="D68" i="4" s="1"/>
  <c r="E68" i="4" s="1"/>
  <c r="B459" i="4"/>
  <c r="D459" i="4" s="1"/>
  <c r="B460" i="4"/>
  <c r="D460" i="4" s="1"/>
  <c r="B461" i="4"/>
  <c r="D461" i="4" s="1"/>
  <c r="E461" i="4" s="1"/>
  <c r="B69" i="4"/>
  <c r="D69" i="4" s="1"/>
  <c r="E69" i="4" s="1"/>
  <c r="B462" i="4"/>
  <c r="D462" i="4" s="1"/>
  <c r="E462" i="4" s="1"/>
  <c r="B463" i="4"/>
  <c r="D463" i="4" s="1"/>
  <c r="E463" i="4" s="1"/>
  <c r="B464" i="4"/>
  <c r="D464" i="4" s="1"/>
  <c r="E464" i="4" s="1"/>
  <c r="B70" i="4"/>
  <c r="D70" i="4" s="1"/>
  <c r="E70" i="4" s="1"/>
  <c r="B71" i="4"/>
  <c r="D71" i="4" s="1"/>
  <c r="E71" i="4" s="1"/>
  <c r="B465" i="4"/>
  <c r="D465" i="4" s="1"/>
  <c r="B72" i="4"/>
  <c r="D72" i="4" s="1"/>
  <c r="E72" i="4" s="1"/>
  <c r="B466" i="4"/>
  <c r="D466" i="4" s="1"/>
  <c r="E466" i="4" s="1"/>
  <c r="B73" i="4"/>
  <c r="D73" i="4" s="1"/>
  <c r="E73" i="4" s="1"/>
  <c r="B74" i="4"/>
  <c r="D74" i="4" s="1"/>
  <c r="E74" i="4" s="1"/>
  <c r="B75" i="4"/>
  <c r="D75" i="4" s="1"/>
  <c r="E75" i="4" s="1"/>
  <c r="B76" i="4"/>
  <c r="D76" i="4" s="1"/>
  <c r="E76" i="4" s="1"/>
  <c r="B77" i="4"/>
  <c r="D77" i="4" s="1"/>
  <c r="B174" i="4"/>
  <c r="D174" i="4" s="1"/>
  <c r="E174" i="4" s="1"/>
  <c r="B175" i="4"/>
  <c r="D175" i="4" s="1"/>
  <c r="E175" i="4" s="1"/>
  <c r="B467" i="4"/>
  <c r="D467" i="4" s="1"/>
  <c r="E467" i="4" s="1"/>
  <c r="B468" i="4"/>
  <c r="D468" i="4" s="1"/>
  <c r="E468" i="4" s="1"/>
  <c r="B78" i="4"/>
  <c r="D78" i="4" s="1"/>
  <c r="E78" i="4" s="1"/>
  <c r="B79" i="4"/>
  <c r="D79" i="4" s="1"/>
  <c r="E79" i="4" s="1"/>
  <c r="B469" i="4"/>
  <c r="D469" i="4" s="1"/>
  <c r="B80" i="4"/>
  <c r="D80" i="4" s="1"/>
  <c r="B81" i="4"/>
  <c r="D81" i="4" s="1"/>
  <c r="E81" i="4" s="1"/>
  <c r="B82" i="4"/>
  <c r="D82" i="4" s="1"/>
  <c r="B470" i="4"/>
  <c r="D470" i="4" s="1"/>
  <c r="E470" i="4" s="1"/>
  <c r="B83" i="4"/>
  <c r="D83" i="4" s="1"/>
  <c r="E83" i="4" s="1"/>
  <c r="B84" i="4"/>
  <c r="D84" i="4" s="1"/>
  <c r="E84" i="4" s="1"/>
  <c r="B471" i="4"/>
  <c r="D471" i="4" s="1"/>
  <c r="E471" i="4" s="1"/>
  <c r="B472" i="4"/>
  <c r="D472" i="4" s="1"/>
  <c r="E472" i="4" s="1"/>
  <c r="B473" i="4"/>
  <c r="D473" i="4" s="1"/>
  <c r="B85" i="4"/>
  <c r="D85" i="4" s="1"/>
  <c r="B86" i="4"/>
  <c r="D86" i="4" s="1"/>
  <c r="E86" i="4" s="1"/>
  <c r="B474" i="4"/>
  <c r="D474" i="4" s="1"/>
  <c r="E474" i="4" s="1"/>
  <c r="B215" i="4"/>
  <c r="D215" i="4" s="1"/>
  <c r="E215" i="4" s="1"/>
  <c r="B87" i="4"/>
  <c r="B88" i="4"/>
  <c r="D88" i="4" s="1"/>
  <c r="E88" i="4" s="1"/>
  <c r="B475" i="4"/>
  <c r="D475" i="4" s="1"/>
  <c r="E475" i="4" s="1"/>
  <c r="B476" i="4"/>
  <c r="D476" i="4" s="1"/>
  <c r="E476" i="4" s="1"/>
  <c r="B477" i="4"/>
  <c r="D477" i="4" s="1"/>
  <c r="E477" i="4" s="1"/>
  <c r="B478" i="4"/>
  <c r="D478" i="4" s="1"/>
  <c r="B479" i="4"/>
  <c r="D479" i="4" s="1"/>
  <c r="E479" i="4" s="1"/>
  <c r="B480" i="4"/>
  <c r="D480" i="4" s="1"/>
  <c r="B89" i="4"/>
  <c r="D89" i="4" s="1"/>
  <c r="B90" i="4"/>
  <c r="D90" i="4" s="1"/>
  <c r="E90" i="4" s="1"/>
  <c r="B91" i="4"/>
  <c r="D91" i="4" s="1"/>
  <c r="E91" i="4" s="1"/>
  <c r="B92" i="4"/>
  <c r="D92" i="4" s="1"/>
  <c r="D691" i="5" s="1"/>
  <c r="B93" i="4"/>
  <c r="D93" i="4" s="1"/>
  <c r="D692" i="5" s="1"/>
  <c r="B94" i="4"/>
  <c r="D94" i="4" s="1"/>
  <c r="E94" i="4" s="1"/>
  <c r="B481" i="4"/>
  <c r="D481" i="4" s="1"/>
  <c r="B482" i="4"/>
  <c r="D482" i="4" s="1"/>
  <c r="E482" i="4" s="1"/>
  <c r="B483" i="4"/>
  <c r="D483" i="4" s="1"/>
  <c r="B95" i="4"/>
  <c r="D95" i="4" s="1"/>
  <c r="B96" i="4"/>
  <c r="D96" i="4" s="1"/>
  <c r="E96" i="4" s="1"/>
  <c r="B484" i="4"/>
  <c r="D484" i="4" s="1"/>
  <c r="E484" i="4" s="1"/>
  <c r="B485" i="4"/>
  <c r="D485" i="4" s="1"/>
  <c r="D404" i="5" s="1"/>
  <c r="B486" i="4"/>
  <c r="D486" i="4" s="1"/>
  <c r="E486" i="4" s="1"/>
  <c r="B487" i="4"/>
  <c r="D487" i="4" s="1"/>
  <c r="E487" i="4" s="1"/>
  <c r="B488" i="4"/>
  <c r="B489" i="4"/>
  <c r="D489" i="4" s="1"/>
  <c r="E489" i="4" s="1"/>
  <c r="B490" i="4"/>
  <c r="D490" i="4" s="1"/>
  <c r="E490" i="4" s="1"/>
  <c r="B491" i="4"/>
  <c r="D491" i="4" s="1"/>
  <c r="E491" i="4" s="1"/>
  <c r="B492" i="4"/>
  <c r="D492" i="4" s="1"/>
  <c r="D409" i="5" s="1"/>
  <c r="B97" i="4"/>
  <c r="D97" i="4" s="1"/>
  <c r="D697" i="5" s="1"/>
  <c r="B98" i="4"/>
  <c r="D98" i="4" s="1"/>
  <c r="E98" i="4" s="1"/>
  <c r="B493" i="4"/>
  <c r="D493" i="4" s="1"/>
  <c r="B494" i="4"/>
  <c r="D494" i="4" s="1"/>
  <c r="E494" i="4" s="1"/>
  <c r="B495" i="4"/>
  <c r="D495" i="4" s="1"/>
  <c r="E495" i="4" s="1"/>
  <c r="B496" i="4"/>
  <c r="D496" i="4" s="1"/>
  <c r="B497" i="4"/>
  <c r="D497" i="4" s="1"/>
  <c r="B498" i="4"/>
  <c r="D498" i="4" s="1"/>
  <c r="D415" i="5" s="1"/>
  <c r="B99" i="4"/>
  <c r="D99" i="4" s="1"/>
  <c r="D699" i="5" s="1"/>
  <c r="B499" i="4"/>
  <c r="D499" i="4" s="1"/>
  <c r="B100" i="4"/>
  <c r="D100" i="4" s="1"/>
  <c r="B500" i="4"/>
  <c r="D500" i="4" s="1"/>
  <c r="E500" i="4" s="1"/>
  <c r="B501" i="4"/>
  <c r="D501" i="4" s="1"/>
  <c r="E501" i="4" s="1"/>
  <c r="B502" i="4"/>
  <c r="D502" i="4" s="1"/>
  <c r="E502" i="4" s="1"/>
  <c r="B101" i="4"/>
  <c r="D101" i="4" s="1"/>
  <c r="E101" i="4" s="1"/>
  <c r="B102" i="4"/>
  <c r="D102" i="4" s="1"/>
  <c r="D420" i="5" s="1"/>
  <c r="B503" i="4"/>
  <c r="D503" i="4" s="1"/>
  <c r="E503" i="4" s="1"/>
  <c r="B504" i="4"/>
  <c r="D504" i="4" s="1"/>
  <c r="E504" i="4" s="1"/>
  <c r="B505" i="4"/>
  <c r="D505" i="4" s="1"/>
  <c r="B216" i="4"/>
  <c r="D216" i="4" s="1"/>
  <c r="E216" i="4" s="1"/>
  <c r="B506" i="4"/>
  <c r="D506" i="4" s="1"/>
  <c r="B507" i="4"/>
  <c r="D507" i="4" s="1"/>
  <c r="E507" i="4" s="1"/>
  <c r="B508" i="4"/>
  <c r="D508" i="4" s="1"/>
  <c r="E508" i="4" s="1"/>
  <c r="B103" i="4"/>
  <c r="D103" i="4" s="1"/>
  <c r="D702" i="5" s="1"/>
  <c r="B104" i="4"/>
  <c r="D104" i="4" s="1"/>
  <c r="D703" i="5" s="1"/>
  <c r="B509" i="4"/>
  <c r="D509" i="4" s="1"/>
  <c r="B105" i="4"/>
  <c r="D105" i="4" s="1"/>
  <c r="E105" i="4" s="1"/>
  <c r="B106" i="4"/>
  <c r="D106" i="4" s="1"/>
  <c r="B107" i="4"/>
  <c r="D107" i="4" s="1"/>
  <c r="B108" i="4"/>
  <c r="D108" i="4" s="1"/>
  <c r="E108" i="4" s="1"/>
  <c r="B109" i="4"/>
  <c r="D109" i="4" s="1"/>
  <c r="B510" i="4"/>
  <c r="D510" i="4" s="1"/>
  <c r="E510" i="4" s="1"/>
  <c r="B511" i="4"/>
  <c r="D511" i="4" s="1"/>
  <c r="B110" i="4"/>
  <c r="D110" i="4" s="1"/>
  <c r="D433" i="5" s="1"/>
  <c r="B111" i="4"/>
  <c r="D111" i="4" s="1"/>
  <c r="E111" i="4" s="1"/>
  <c r="B112" i="4"/>
  <c r="D112" i="4" s="1"/>
  <c r="E112" i="4" s="1"/>
  <c r="B512" i="4"/>
  <c r="D512" i="4" s="1"/>
  <c r="B113" i="4"/>
  <c r="D113" i="4" s="1"/>
  <c r="E113" i="4" s="1"/>
  <c r="B513" i="4"/>
  <c r="D513" i="4" s="1"/>
  <c r="E513" i="4" s="1"/>
  <c r="B114" i="4"/>
  <c r="D114" i="4" s="1"/>
  <c r="D439" i="5" s="1"/>
  <c r="B176" i="4"/>
  <c r="D176" i="4" s="1"/>
  <c r="E176" i="4" s="1"/>
  <c r="B514" i="4"/>
  <c r="D514" i="4" s="1"/>
  <c r="B515" i="4"/>
  <c r="D515" i="4" s="1"/>
  <c r="E515" i="4" s="1"/>
  <c r="B115" i="4"/>
  <c r="D115" i="4" s="1"/>
  <c r="E115" i="4" s="1"/>
  <c r="B116" i="4"/>
  <c r="D116" i="4" s="1"/>
  <c r="E116" i="4" s="1"/>
  <c r="B516" i="4"/>
  <c r="D516" i="4" s="1"/>
  <c r="E516" i="4" s="1"/>
  <c r="B517" i="4"/>
  <c r="D517" i="4" s="1"/>
  <c r="E517" i="4" s="1"/>
  <c r="B518" i="4"/>
  <c r="D518" i="4" s="1"/>
  <c r="B519" i="4"/>
  <c r="D519" i="4" s="1"/>
  <c r="D749" i="5" s="1"/>
  <c r="B117" i="4"/>
  <c r="D117" i="4" s="1"/>
  <c r="E117" i="4" s="1"/>
  <c r="B118" i="4"/>
  <c r="D118" i="4" s="1"/>
  <c r="E118" i="4" s="1"/>
  <c r="B520" i="4"/>
  <c r="D520" i="4" s="1"/>
  <c r="E520" i="4" s="1"/>
  <c r="B521" i="4"/>
  <c r="D521" i="4" s="1"/>
  <c r="B522" i="4"/>
  <c r="D522" i="4" s="1"/>
  <c r="B119" i="4"/>
  <c r="D119" i="4" s="1"/>
  <c r="E119" i="4" s="1"/>
  <c r="B523" i="4"/>
  <c r="D523" i="4" s="1"/>
  <c r="D450" i="5" s="1"/>
  <c r="B524" i="4"/>
  <c r="D524" i="4" s="1"/>
  <c r="D451" i="5" s="1"/>
  <c r="B120" i="4"/>
  <c r="D120" i="4" s="1"/>
  <c r="B121" i="4"/>
  <c r="D121" i="4" s="1"/>
  <c r="B525" i="4"/>
  <c r="D525" i="4" s="1"/>
  <c r="E525" i="4" s="1"/>
  <c r="B122" i="4"/>
  <c r="D122" i="4" s="1"/>
  <c r="B526" i="4"/>
  <c r="D526" i="4" s="1"/>
  <c r="E526" i="4" s="1"/>
  <c r="B123" i="4"/>
  <c r="D123" i="4" s="1"/>
  <c r="E123" i="4" s="1"/>
  <c r="B527" i="4"/>
  <c r="D527" i="4" s="1"/>
  <c r="B528" i="4"/>
  <c r="D528" i="4" s="1"/>
  <c r="B529" i="4"/>
  <c r="D529" i="4" s="1"/>
  <c r="E529" i="4" s="1"/>
  <c r="B530" i="4"/>
  <c r="D530" i="4" s="1"/>
  <c r="E530" i="4" s="1"/>
  <c r="B531" i="4"/>
  <c r="D531" i="4" s="1"/>
  <c r="E531" i="4" s="1"/>
  <c r="B532" i="4"/>
  <c r="D532" i="4" s="1"/>
  <c r="B533" i="4"/>
  <c r="D533" i="4" s="1"/>
  <c r="B144" i="4"/>
  <c r="D144" i="4" s="1"/>
  <c r="E144" i="4" s="1"/>
  <c r="B534" i="4"/>
  <c r="D534" i="4" s="1"/>
  <c r="D459" i="5" s="1"/>
  <c r="B535" i="4"/>
  <c r="D535" i="4" s="1"/>
  <c r="E535" i="4" s="1"/>
  <c r="B536" i="4"/>
  <c r="D536" i="4" s="1"/>
  <c r="D461" i="5" s="1"/>
  <c r="B537" i="4"/>
  <c r="D537" i="4" s="1"/>
  <c r="E537" i="4" s="1"/>
  <c r="B538" i="4"/>
  <c r="D538" i="4" s="1"/>
  <c r="E538" i="4" s="1"/>
  <c r="B539" i="4"/>
  <c r="D539" i="4" s="1"/>
  <c r="B124" i="4"/>
  <c r="D124" i="4" s="1"/>
  <c r="E124" i="4" s="1"/>
  <c r="B540" i="4"/>
  <c r="D540" i="4" s="1"/>
  <c r="E540" i="4" s="1"/>
  <c r="B541" i="4"/>
  <c r="D541" i="4" s="1"/>
  <c r="D465" i="5" s="1"/>
  <c r="B542" i="4"/>
  <c r="D542" i="4" s="1"/>
  <c r="D72" i="5" s="1"/>
  <c r="B543" i="4"/>
  <c r="D543" i="4" s="1"/>
  <c r="B544" i="4"/>
  <c r="D544" i="4" s="1"/>
  <c r="E544" i="4" s="1"/>
  <c r="B545" i="4"/>
  <c r="D545" i="4" s="1"/>
  <c r="E545" i="4" s="1"/>
  <c r="B125" i="4"/>
  <c r="D125" i="4" s="1"/>
  <c r="E125" i="4" s="1"/>
  <c r="B546" i="4"/>
  <c r="D546" i="4" s="1"/>
  <c r="E546" i="4" s="1"/>
  <c r="B547" i="4"/>
  <c r="D547" i="4" s="1"/>
  <c r="E547" i="4" s="1"/>
  <c r="B217" i="4"/>
  <c r="D217" i="4" s="1"/>
  <c r="D74" i="5" s="1"/>
  <c r="B218" i="4"/>
  <c r="D218" i="4" s="1"/>
  <c r="D471" i="5" s="1"/>
  <c r="B548" i="4"/>
  <c r="D548" i="4" s="1"/>
  <c r="B549" i="4"/>
  <c r="D549" i="4" s="1"/>
  <c r="B550" i="4"/>
  <c r="D550" i="4" s="1"/>
  <c r="D716" i="5" s="1"/>
  <c r="B551" i="4"/>
  <c r="D551" i="4" s="1"/>
  <c r="B552" i="4"/>
  <c r="D552" i="4" s="1"/>
  <c r="B553" i="4"/>
  <c r="D553" i="4" s="1"/>
  <c r="E553" i="4" s="1"/>
  <c r="B554" i="4"/>
  <c r="D554" i="4" s="1"/>
  <c r="D476" i="5" s="1"/>
  <c r="B126" i="4"/>
  <c r="D126" i="4" s="1"/>
  <c r="D477" i="5" s="1"/>
  <c r="B555" i="4"/>
  <c r="D555" i="4" s="1"/>
  <c r="E555" i="4" s="1"/>
  <c r="B556" i="4"/>
  <c r="D556" i="4" s="1"/>
  <c r="B557" i="4"/>
  <c r="D557" i="4" s="1"/>
  <c r="E557" i="4" s="1"/>
  <c r="B127" i="4"/>
  <c r="D127" i="4" s="1"/>
  <c r="B558" i="4"/>
  <c r="D558" i="4" s="1"/>
  <c r="B559" i="4"/>
  <c r="D559" i="4" s="1"/>
  <c r="B128" i="4"/>
  <c r="D128" i="4" s="1"/>
  <c r="D483" i="5" s="1"/>
  <c r="B560" i="4"/>
  <c r="D560" i="4" s="1"/>
  <c r="D751" i="5" s="1"/>
  <c r="B129" i="4"/>
  <c r="D129" i="4" s="1"/>
  <c r="D719" i="5" s="1"/>
  <c r="B130" i="4"/>
  <c r="D130" i="4" s="1"/>
  <c r="B561" i="4"/>
  <c r="D561" i="4" s="1"/>
  <c r="E561" i="4" s="1"/>
  <c r="B131" i="4"/>
  <c r="D131" i="4" s="1"/>
  <c r="E131" i="4" s="1"/>
  <c r="B562" i="4"/>
  <c r="D562" i="4" s="1"/>
  <c r="B563" i="4"/>
  <c r="D563" i="4" s="1"/>
  <c r="B564" i="4"/>
  <c r="D564" i="4" s="1"/>
  <c r="D486" i="5" s="1"/>
  <c r="B132" i="4"/>
  <c r="D132" i="4" s="1"/>
  <c r="D487" i="5" s="1"/>
  <c r="B133" i="4"/>
  <c r="D133" i="4" s="1"/>
  <c r="E133" i="4" s="1"/>
  <c r="B565" i="4"/>
  <c r="D565" i="4" s="1"/>
  <c r="B566" i="4"/>
  <c r="D566" i="4" s="1"/>
  <c r="D490" i="5" s="1"/>
  <c r="B567" i="4"/>
  <c r="D567" i="4" s="1"/>
  <c r="B568" i="4"/>
  <c r="D568" i="4" s="1"/>
  <c r="E568" i="4" s="1"/>
  <c r="B569" i="4"/>
  <c r="D569" i="4" s="1"/>
  <c r="E569" i="4" s="1"/>
  <c r="B570" i="4"/>
  <c r="D570" i="4" s="1"/>
  <c r="D494" i="5" s="1"/>
  <c r="B571" i="4"/>
  <c r="D571" i="4" s="1"/>
  <c r="E571" i="4" s="1"/>
  <c r="B134" i="4"/>
  <c r="D134" i="4" s="1"/>
  <c r="B572" i="4"/>
  <c r="D572" i="4" s="1"/>
  <c r="B135" i="4"/>
  <c r="D135" i="4" s="1"/>
  <c r="D497" i="5" s="1"/>
  <c r="B136" i="4"/>
  <c r="D136" i="4" s="1"/>
  <c r="B219" i="4"/>
  <c r="D219" i="4" s="1"/>
  <c r="B177" i="4"/>
  <c r="D177" i="4" s="1"/>
  <c r="E177" i="4" s="1"/>
  <c r="B178" i="4"/>
  <c r="D178" i="4" s="1"/>
  <c r="D79" i="5" s="1"/>
  <c r="B179" i="4"/>
  <c r="D179" i="4" s="1"/>
  <c r="B573" i="4"/>
  <c r="D573" i="4" s="1"/>
  <c r="E573" i="4" s="1"/>
  <c r="B574" i="4"/>
  <c r="D574" i="4" s="1"/>
  <c r="B575" i="4"/>
  <c r="D575" i="4" s="1"/>
  <c r="E575" i="4" s="1"/>
  <c r="B576" i="4"/>
  <c r="D576" i="4" s="1"/>
  <c r="B577" i="4"/>
  <c r="D577" i="4" s="1"/>
  <c r="E577" i="4" s="1"/>
  <c r="B220" i="4"/>
  <c r="D220" i="4" s="1"/>
  <c r="B578" i="4"/>
  <c r="D578" i="4" s="1"/>
  <c r="E578" i="4" s="1"/>
  <c r="B579" i="4"/>
  <c r="D579" i="4" s="1"/>
  <c r="D502" i="5" s="1"/>
  <c r="B580" i="4"/>
  <c r="D580" i="4" s="1"/>
  <c r="D503" i="5" s="1"/>
  <c r="B581" i="4"/>
  <c r="D581" i="4" s="1"/>
  <c r="B221" i="4"/>
  <c r="D221" i="4" s="1"/>
  <c r="E221" i="4" s="1"/>
  <c r="B222" i="4"/>
  <c r="D222" i="4" s="1"/>
  <c r="B582" i="4"/>
  <c r="D582" i="4" s="1"/>
  <c r="B150" i="4"/>
  <c r="D150" i="4" s="1"/>
  <c r="B151" i="4"/>
  <c r="D151" i="4" s="1"/>
  <c r="D7" i="5" s="1"/>
  <c r="B223" i="4"/>
  <c r="D223" i="4" s="1"/>
  <c r="D89" i="5" s="1"/>
  <c r="B583" i="4"/>
  <c r="D583" i="4" s="1"/>
  <c r="B584" i="4"/>
  <c r="D584" i="4" s="1"/>
  <c r="B224" i="4"/>
  <c r="D224" i="4" s="1"/>
  <c r="B585" i="4"/>
  <c r="D585" i="4" s="1"/>
  <c r="E585" i="4" s="1"/>
  <c r="B225" i="4"/>
  <c r="D225" i="4" s="1"/>
  <c r="E225" i="4" s="1"/>
  <c r="B145" i="4"/>
  <c r="D145" i="4" s="1"/>
  <c r="B586" i="4"/>
  <c r="D586" i="4" s="1"/>
  <c r="E586" i="4" s="1"/>
  <c r="B226" i="4"/>
  <c r="D226" i="4" s="1"/>
  <c r="D93" i="5" s="1"/>
  <c r="B227" i="4"/>
  <c r="D227" i="4" s="1"/>
  <c r="B228" i="4"/>
  <c r="D228" i="4" s="1"/>
  <c r="E228" i="4" s="1"/>
  <c r="B229" i="4"/>
  <c r="D229" i="4" s="1"/>
  <c r="E229" i="4" s="1"/>
  <c r="B587" i="4"/>
  <c r="D587" i="4" s="1"/>
  <c r="B588" i="4"/>
  <c r="D588" i="4" s="1"/>
  <c r="B589" i="4"/>
  <c r="D589" i="4" s="1"/>
  <c r="B147" i="4"/>
  <c r="D147" i="4" s="1"/>
  <c r="B230" i="4"/>
  <c r="D230" i="4" s="1"/>
  <c r="D95" i="5" s="1"/>
  <c r="B231" i="4"/>
  <c r="D231" i="4" s="1"/>
  <c r="B590" i="4"/>
  <c r="D590" i="4" s="1"/>
  <c r="B591" i="4"/>
  <c r="D591" i="4" s="1"/>
  <c r="E591" i="4" s="1"/>
  <c r="B592" i="4"/>
  <c r="D592" i="4" s="1"/>
  <c r="B593" i="4"/>
  <c r="D593" i="4" s="1"/>
  <c r="B594" i="4"/>
  <c r="D594" i="4" s="1"/>
  <c r="B595" i="4"/>
  <c r="D595" i="4" s="1"/>
  <c r="E595" i="4" s="1"/>
  <c r="B148" i="4"/>
  <c r="D148" i="4" s="1"/>
  <c r="D9" i="5" s="1"/>
  <c r="B180" i="4"/>
  <c r="D180" i="4" s="1"/>
  <c r="B232" i="4"/>
  <c r="D232" i="4" s="1"/>
  <c r="E232" i="4" s="1"/>
  <c r="B233" i="4"/>
  <c r="D233" i="4" s="1"/>
  <c r="D100" i="5" s="1"/>
  <c r="B596" i="4"/>
  <c r="D596" i="4" s="1"/>
  <c r="B597" i="4"/>
  <c r="D597" i="4" s="1"/>
  <c r="E597" i="4" s="1"/>
  <c r="B598" i="4"/>
  <c r="D598" i="4" s="1"/>
  <c r="E598" i="4" s="1"/>
  <c r="B234" i="4"/>
  <c r="D234" i="4" s="1"/>
  <c r="B235" i="4"/>
  <c r="D235" i="4" s="1"/>
  <c r="D519" i="5" s="1"/>
  <c r="B236" i="4"/>
  <c r="D236" i="4" s="1"/>
  <c r="E236" i="4" s="1"/>
  <c r="B599" i="4"/>
  <c r="D599" i="4" s="1"/>
  <c r="B237" i="4"/>
  <c r="D237" i="4" s="1"/>
  <c r="B238" i="4"/>
  <c r="D238" i="4" s="1"/>
  <c r="B239" i="4"/>
  <c r="D239" i="4" s="1"/>
  <c r="E239" i="4" s="1"/>
  <c r="B600" i="4"/>
  <c r="D600" i="4" s="1"/>
  <c r="B601" i="4"/>
  <c r="D601" i="4" s="1"/>
  <c r="D526" i="5" s="1"/>
  <c r="B181" i="4"/>
  <c r="D181" i="4" s="1"/>
  <c r="E181" i="4" s="1"/>
  <c r="B602" i="4"/>
  <c r="D602" i="4" s="1"/>
  <c r="B240" i="4"/>
  <c r="D240" i="4" s="1"/>
  <c r="B241" i="4"/>
  <c r="D241" i="4" s="1"/>
  <c r="E241" i="4" s="1"/>
  <c r="B603" i="4"/>
  <c r="D603" i="4" s="1"/>
  <c r="B242" i="4"/>
  <c r="D242" i="4" s="1"/>
  <c r="B182" i="4"/>
  <c r="D182" i="4" s="1"/>
  <c r="E182" i="4" s="1"/>
  <c r="B604" i="4"/>
  <c r="D604" i="4" s="1"/>
  <c r="B605" i="4"/>
  <c r="D605" i="4" s="1"/>
  <c r="D533" i="5" s="1"/>
  <c r="B606" i="4"/>
  <c r="D606" i="4" s="1"/>
  <c r="B607" i="4"/>
  <c r="D607" i="4" s="1"/>
  <c r="E607" i="4" s="1"/>
  <c r="B608" i="4"/>
  <c r="D608" i="4" s="1"/>
  <c r="B609" i="4"/>
  <c r="D609" i="4" s="1"/>
  <c r="B183" i="4"/>
  <c r="D183" i="4" s="1"/>
  <c r="B610" i="4"/>
  <c r="D610" i="4" s="1"/>
  <c r="E610" i="4" s="1"/>
  <c r="B611" i="4"/>
  <c r="D611" i="4" s="1"/>
  <c r="E611" i="4" s="1"/>
  <c r="B612" i="4"/>
  <c r="D612" i="4" s="1"/>
  <c r="D540" i="5" s="1"/>
  <c r="B613" i="4"/>
  <c r="D613" i="4" s="1"/>
  <c r="B614" i="4"/>
  <c r="D614" i="4" s="1"/>
  <c r="B243" i="4"/>
  <c r="D243" i="4" s="1"/>
  <c r="D543" i="5" s="1"/>
  <c r="B615" i="4"/>
  <c r="D615" i="4" s="1"/>
  <c r="B244" i="4"/>
  <c r="D244" i="4" s="1"/>
  <c r="E244" i="4" s="1"/>
  <c r="B245" i="4"/>
  <c r="D245" i="4" s="1"/>
  <c r="B159" i="4"/>
  <c r="D159" i="4" s="1"/>
  <c r="B246" i="4"/>
  <c r="D246" i="4" s="1"/>
  <c r="D547" i="5" s="1"/>
  <c r="B616" i="4"/>
  <c r="D616" i="4" s="1"/>
  <c r="E616" i="4" s="1"/>
  <c r="B247" i="4"/>
  <c r="D247" i="4" s="1"/>
  <c r="B617" i="4"/>
  <c r="D617" i="4" s="1"/>
  <c r="E617" i="4" s="1"/>
  <c r="B618" i="4"/>
  <c r="D618" i="4" s="1"/>
  <c r="B248" i="4"/>
  <c r="D248" i="4" s="1"/>
  <c r="B249" i="4"/>
  <c r="D249" i="4" s="1"/>
  <c r="B619" i="4"/>
  <c r="D619" i="4" s="1"/>
  <c r="E619" i="4" s="1"/>
  <c r="B620" i="4"/>
  <c r="D620" i="4" s="1"/>
  <c r="D552" i="5" s="1"/>
  <c r="B621" i="4"/>
  <c r="D621" i="4" s="1"/>
  <c r="B622" i="4"/>
  <c r="D622" i="4" s="1"/>
  <c r="E622" i="4" s="1"/>
  <c r="B623" i="4"/>
  <c r="D623" i="4" s="1"/>
  <c r="D110" i="5" s="1"/>
  <c r="B250" i="4"/>
  <c r="D250" i="4" s="1"/>
  <c r="B624" i="4"/>
  <c r="D624" i="4" s="1"/>
  <c r="B625" i="4"/>
  <c r="D625" i="4" s="1"/>
  <c r="B626" i="4"/>
  <c r="D626" i="4" s="1"/>
  <c r="D557" i="5" s="1"/>
  <c r="B627" i="4"/>
  <c r="D627" i="4" s="1"/>
  <c r="D558" i="5" s="1"/>
  <c r="B628" i="4"/>
  <c r="D628" i="4" s="1"/>
  <c r="E628" i="4" s="1"/>
  <c r="B629" i="4"/>
  <c r="D629" i="4" s="1"/>
  <c r="E629" i="4" s="1"/>
  <c r="B251" i="4"/>
  <c r="D251" i="4" s="1"/>
  <c r="D560" i="5" s="1"/>
  <c r="B630" i="4"/>
  <c r="D630" i="4" s="1"/>
  <c r="B631" i="4"/>
  <c r="D631" i="4" s="1"/>
  <c r="B632" i="4"/>
  <c r="D632" i="4" s="1"/>
  <c r="B633" i="4"/>
  <c r="D633" i="4" s="1"/>
  <c r="E633" i="4" s="1"/>
  <c r="B634" i="4"/>
  <c r="D634" i="4" s="1"/>
  <c r="D565" i="5" s="1"/>
  <c r="B635" i="4"/>
  <c r="D635" i="4" s="1"/>
  <c r="B636" i="4"/>
  <c r="D636" i="4" s="1"/>
  <c r="E636" i="4" s="1"/>
  <c r="B252" i="4"/>
  <c r="D252" i="4" s="1"/>
  <c r="E252" i="4" s="1"/>
  <c r="B253" i="4"/>
  <c r="D253" i="4" s="1"/>
  <c r="E253" i="4" s="1"/>
  <c r="B637" i="4"/>
  <c r="D637" i="4" s="1"/>
  <c r="B254" i="4"/>
  <c r="D254" i="4" s="1"/>
  <c r="B638" i="4"/>
  <c r="D638" i="4" s="1"/>
  <c r="D569" i="5" s="1"/>
  <c r="B639" i="4"/>
  <c r="D639" i="4" s="1"/>
  <c r="D570" i="5" s="1"/>
  <c r="B640" i="4"/>
  <c r="D640" i="4" s="1"/>
  <c r="B641" i="4"/>
  <c r="D641" i="4" s="1"/>
  <c r="B642" i="4"/>
  <c r="D642" i="4" s="1"/>
  <c r="D116" i="5" s="1"/>
  <c r="B643" i="4"/>
  <c r="D643" i="4" s="1"/>
  <c r="B644" i="4"/>
  <c r="D644" i="4" s="1"/>
  <c r="B645" i="4"/>
  <c r="D645" i="4" s="1"/>
  <c r="B646" i="4"/>
  <c r="D646" i="4" s="1"/>
  <c r="E646" i="4" s="1"/>
  <c r="B647" i="4"/>
  <c r="D647" i="4" s="1"/>
  <c r="D577" i="5" s="1"/>
  <c r="B648" i="4"/>
  <c r="D648" i="4" s="1"/>
  <c r="B649" i="4"/>
  <c r="D649" i="4" s="1"/>
  <c r="E649" i="4" s="1"/>
  <c r="B650" i="4"/>
  <c r="D650" i="4" s="1"/>
  <c r="D580" i="5" s="1"/>
  <c r="B651" i="4"/>
  <c r="D651" i="4" s="1"/>
  <c r="B652" i="4"/>
  <c r="D652" i="4" s="1"/>
  <c r="B653" i="4"/>
  <c r="D653" i="4" s="1"/>
  <c r="B654" i="4"/>
  <c r="D654" i="4" s="1"/>
  <c r="D584" i="5" s="1"/>
  <c r="B655" i="4"/>
  <c r="D655" i="4" s="1"/>
  <c r="D585" i="5" s="1"/>
  <c r="B656" i="4"/>
  <c r="D656" i="4" s="1"/>
  <c r="B657" i="4"/>
  <c r="D657" i="4" s="1"/>
  <c r="E657" i="4" s="1"/>
  <c r="B658" i="4"/>
  <c r="D658" i="4" s="1"/>
  <c r="E658" i="4" s="1"/>
  <c r="B255" i="4"/>
  <c r="D255" i="4" s="1"/>
  <c r="B659" i="4"/>
  <c r="D659" i="4" s="1"/>
  <c r="B660" i="4"/>
  <c r="D660" i="4" s="1"/>
  <c r="E660" i="4" s="1"/>
  <c r="B256" i="4"/>
  <c r="D256" i="4" s="1"/>
  <c r="E256" i="4" s="1"/>
  <c r="B257" i="4"/>
  <c r="D257" i="4" s="1"/>
  <c r="D591" i="5" s="1"/>
  <c r="B258" i="4"/>
  <c r="D258" i="4" s="1"/>
  <c r="B661" i="4"/>
  <c r="D661" i="4" s="1"/>
  <c r="B259" i="4"/>
  <c r="D259" i="4" s="1"/>
  <c r="E259" i="4" s="1"/>
  <c r="B260" i="4"/>
  <c r="D260" i="4" s="1"/>
  <c r="B261" i="4"/>
  <c r="D261" i="4" s="1"/>
  <c r="B262" i="4"/>
  <c r="D262" i="4" s="1"/>
  <c r="B263" i="4"/>
  <c r="D263" i="4" s="1"/>
  <c r="D596" i="5" s="1"/>
  <c r="B264" i="4"/>
  <c r="D264" i="4" s="1"/>
  <c r="B265" i="4"/>
  <c r="D265" i="4" s="1"/>
  <c r="E265" i="4" s="1"/>
  <c r="B662" i="4"/>
  <c r="D662" i="4" s="1"/>
  <c r="E662" i="4" s="1"/>
  <c r="B663" i="4"/>
  <c r="D663" i="4" s="1"/>
  <c r="D599" i="5" s="1"/>
  <c r="B184" i="4"/>
  <c r="D184" i="4" s="1"/>
  <c r="E184" i="4" s="1"/>
  <c r="B185" i="4"/>
  <c r="D185" i="4" s="1"/>
  <c r="E185" i="4" s="1"/>
  <c r="B152" i="4"/>
  <c r="D152" i="4" s="1"/>
  <c r="B664" i="4"/>
  <c r="D664" i="4" s="1"/>
  <c r="E664" i="4" s="1"/>
  <c r="B665" i="4"/>
  <c r="D665" i="4" s="1"/>
  <c r="D601" i="5" s="1"/>
  <c r="B666" i="4"/>
  <c r="D666" i="4" s="1"/>
  <c r="B266" i="4"/>
  <c r="D266" i="4" s="1"/>
  <c r="B667" i="4"/>
  <c r="D667" i="4" s="1"/>
  <c r="D603" i="5" s="1"/>
  <c r="B668" i="4"/>
  <c r="D668" i="4" s="1"/>
  <c r="B669" i="4"/>
  <c r="D669" i="4" s="1"/>
  <c r="B670" i="4"/>
  <c r="D670" i="4" s="1"/>
  <c r="B267" i="4"/>
  <c r="D267" i="4" s="1"/>
  <c r="B671" i="4"/>
  <c r="D671" i="4" s="1"/>
  <c r="B672" i="4"/>
  <c r="D672" i="4" s="1"/>
  <c r="E672" i="4" s="1"/>
  <c r="B268" i="4"/>
  <c r="D268" i="4" s="1"/>
  <c r="B269" i="4"/>
  <c r="D269" i="4" s="1"/>
  <c r="E269" i="4" s="1"/>
  <c r="B270" i="4"/>
  <c r="D270" i="4" s="1"/>
  <c r="B673" i="4"/>
  <c r="D673" i="4" s="1"/>
  <c r="B271" i="4"/>
  <c r="D271" i="4" s="1"/>
  <c r="E271" i="4" s="1"/>
  <c r="B137" i="4"/>
  <c r="D137" i="4" s="1"/>
  <c r="D610" i="5" s="1"/>
  <c r="B674" i="4"/>
  <c r="D674" i="4" s="1"/>
  <c r="E674" i="4" s="1"/>
  <c r="B675" i="4"/>
  <c r="D675" i="4" s="1"/>
  <c r="B676" i="4"/>
  <c r="D676" i="4" s="1"/>
  <c r="E676" i="4" s="1"/>
  <c r="B677" i="4"/>
  <c r="D677" i="4" s="1"/>
  <c r="D612" i="5" s="1"/>
  <c r="B272" i="4"/>
  <c r="D272" i="4" s="1"/>
  <c r="B678" i="4"/>
  <c r="D678" i="4" s="1"/>
  <c r="B679" i="4"/>
  <c r="D679" i="4" s="1"/>
  <c r="B680" i="4"/>
  <c r="D680" i="4" s="1"/>
  <c r="B681" i="4"/>
  <c r="D681" i="4" s="1"/>
  <c r="D615" i="5" s="1"/>
  <c r="B273" i="4"/>
  <c r="D273" i="4" s="1"/>
  <c r="B682" i="4"/>
  <c r="D682" i="4" s="1"/>
  <c r="E682" i="4" s="1"/>
  <c r="B274" i="4"/>
  <c r="D274" i="4" s="1"/>
  <c r="D617" i="5" s="1"/>
  <c r="B683" i="4"/>
  <c r="D683" i="4" s="1"/>
  <c r="B275" i="4"/>
  <c r="D275" i="4" s="1"/>
  <c r="E275" i="4" s="1"/>
  <c r="B276" i="4"/>
  <c r="D276" i="4" s="1"/>
  <c r="E276" i="4" s="1"/>
  <c r="B186" i="4"/>
  <c r="D186" i="4" s="1"/>
  <c r="D132" i="5" s="1"/>
  <c r="B187" i="4"/>
  <c r="D187" i="4" s="1"/>
  <c r="D133" i="5" s="1"/>
  <c r="B153" i="4"/>
  <c r="D153" i="4" s="1"/>
  <c r="D11" i="5" s="1"/>
  <c r="B160" i="4"/>
  <c r="D160" i="4" s="1"/>
  <c r="B277" i="4"/>
  <c r="D277" i="4" s="1"/>
  <c r="D135" i="5" s="1"/>
  <c r="B161" i="4"/>
  <c r="D161" i="4" s="1"/>
  <c r="B154" i="4"/>
  <c r="D154" i="4" s="1"/>
  <c r="B162" i="4"/>
  <c r="D162" i="4" s="1"/>
  <c r="B163" i="4"/>
  <c r="D163" i="4" s="1"/>
  <c r="D136" i="5" s="1"/>
  <c r="B149" i="4"/>
  <c r="D149" i="4" s="1"/>
  <c r="D15" i="5" s="1"/>
  <c r="B2" i="4"/>
  <c r="D2" i="4" s="1"/>
  <c r="B155" i="4"/>
  <c r="D155" i="4" s="1"/>
  <c r="B684" i="4"/>
  <c r="D684" i="4" s="1"/>
  <c r="B188" i="4"/>
  <c r="D188" i="4" s="1"/>
  <c r="E188" i="4" s="1"/>
  <c r="B685" i="4"/>
  <c r="D685" i="4" s="1"/>
  <c r="B686" i="4"/>
  <c r="D686" i="4" s="1"/>
  <c r="B278" i="4"/>
  <c r="D278" i="4" s="1"/>
  <c r="D140" i="5" s="1"/>
  <c r="B279" i="4"/>
  <c r="D279" i="4" s="1"/>
  <c r="D622" i="5" s="1"/>
  <c r="B280" i="4"/>
  <c r="D280" i="4" s="1"/>
  <c r="B189" i="4"/>
  <c r="D189" i="4" s="1"/>
  <c r="B281" i="4"/>
  <c r="D281" i="4" s="1"/>
  <c r="E281" i="4" s="1"/>
  <c r="B687" i="4"/>
  <c r="D687" i="4" s="1"/>
  <c r="B282" i="4"/>
  <c r="D282" i="4" s="1"/>
  <c r="B688" i="4"/>
  <c r="D688" i="4" s="1"/>
  <c r="B689" i="4"/>
  <c r="D689" i="4" s="1"/>
  <c r="D723" i="5" s="1"/>
  <c r="B690" i="4"/>
  <c r="D690" i="4" s="1"/>
  <c r="D625" i="5" s="1"/>
  <c r="B283" i="4"/>
  <c r="D283" i="4" s="1"/>
  <c r="B190" i="4"/>
  <c r="D190" i="4" s="1"/>
  <c r="E190" i="4" s="1"/>
  <c r="B138" i="4"/>
  <c r="D138" i="4" s="1"/>
  <c r="D724" i="5" s="1"/>
  <c r="B284" i="4"/>
  <c r="D284" i="4" s="1"/>
  <c r="B191" i="4"/>
  <c r="D191" i="4" s="1"/>
  <c r="B691" i="4"/>
  <c r="D691" i="4" s="1"/>
  <c r="B692" i="4"/>
  <c r="D692" i="4" s="1"/>
  <c r="D147" i="5" s="1"/>
  <c r="B139" i="4"/>
  <c r="D139" i="4" s="1"/>
  <c r="D725" i="5" s="1"/>
  <c r="B140" i="4"/>
  <c r="D140" i="4" s="1"/>
  <c r="B141" i="4"/>
  <c r="D141" i="4" s="1"/>
  <c r="B693" i="4"/>
  <c r="D693" i="4" s="1"/>
  <c r="D727" i="5" s="1"/>
  <c r="B694" i="4"/>
  <c r="D694" i="4" s="1"/>
  <c r="B695" i="4"/>
  <c r="D695" i="4" s="1"/>
  <c r="B696" i="4"/>
  <c r="D696" i="4" s="1"/>
  <c r="B285" i="4"/>
  <c r="D285" i="4" s="1"/>
  <c r="D148" i="5" s="1"/>
  <c r="B697" i="4"/>
  <c r="D697" i="4" s="1"/>
  <c r="E697" i="4" s="1"/>
  <c r="B698" i="4"/>
  <c r="D698" i="4" s="1"/>
  <c r="E698" i="4" s="1"/>
  <c r="B286" i="4"/>
  <c r="D286" i="4" s="1"/>
  <c r="B287" i="4"/>
  <c r="D287" i="4" s="1"/>
  <c r="E287" i="4" s="1"/>
  <c r="B288" i="4"/>
  <c r="D288" i="4" s="1"/>
  <c r="E288" i="4" s="1"/>
  <c r="B699" i="4"/>
  <c r="D699" i="4" s="1"/>
  <c r="B192" i="4"/>
  <c r="D192" i="4" s="1"/>
  <c r="B289" i="4"/>
  <c r="D289" i="4" s="1"/>
  <c r="E289" i="4" s="1"/>
  <c r="B290" i="4"/>
  <c r="D290" i="4" s="1"/>
  <c r="D634" i="5" s="1"/>
  <c r="B291" i="4"/>
  <c r="D291" i="4" s="1"/>
  <c r="B700" i="4"/>
  <c r="D700" i="4" s="1"/>
  <c r="E700" i="4" s="1"/>
  <c r="B701" i="4"/>
  <c r="D701" i="4" s="1"/>
  <c r="B292" i="4"/>
  <c r="D292" i="4" s="1"/>
  <c r="B702" i="4"/>
  <c r="D702" i="4" s="1"/>
  <c r="B703" i="4"/>
  <c r="D703" i="4" s="1"/>
  <c r="D731" i="5" s="1"/>
  <c r="B704" i="4"/>
  <c r="D704" i="4" s="1"/>
  <c r="D732" i="5" s="1"/>
  <c r="B705" i="4"/>
  <c r="D705" i="4" s="1"/>
  <c r="D733" i="5" s="1"/>
  <c r="B706" i="4"/>
  <c r="D706" i="4" s="1"/>
  <c r="B293" i="4"/>
  <c r="D293" i="4" s="1"/>
  <c r="E293" i="4" s="1"/>
  <c r="B707" i="4"/>
  <c r="D707" i="4" s="1"/>
  <c r="B708" i="4"/>
  <c r="D708" i="4" s="1"/>
  <c r="D734" i="5" s="1"/>
  <c r="B709" i="4"/>
  <c r="D709" i="4" s="1"/>
  <c r="D642" i="5" s="1"/>
  <c r="B710" i="4"/>
  <c r="D710" i="4" s="1"/>
  <c r="D735" i="5" s="1"/>
  <c r="B711" i="4"/>
  <c r="D711" i="4" s="1"/>
  <c r="E711" i="4" s="1"/>
  <c r="B712" i="4"/>
  <c r="D712" i="4" s="1"/>
  <c r="D644" i="5" s="1"/>
  <c r="B713" i="4"/>
  <c r="D713" i="4" s="1"/>
  <c r="B164" i="4"/>
  <c r="D164" i="4" s="1"/>
  <c r="D17" i="5" s="1"/>
  <c r="B165" i="4"/>
  <c r="D165" i="4" s="1"/>
  <c r="D18" i="5" s="1"/>
  <c r="B294" i="4"/>
  <c r="D294" i="4" s="1"/>
  <c r="D646" i="5" s="1"/>
  <c r="B295" i="4"/>
  <c r="D295" i="4" s="1"/>
  <c r="E295" i="4" s="1"/>
  <c r="B714" i="4"/>
  <c r="D714" i="4" s="1"/>
  <c r="D647" i="5" s="1"/>
  <c r="B142" i="4"/>
  <c r="D142" i="4" s="1"/>
  <c r="E142" i="4" s="1"/>
  <c r="B715" i="4"/>
  <c r="D715" i="4" s="1"/>
  <c r="D648" i="5" s="1"/>
  <c r="B716" i="4"/>
  <c r="D716" i="4" s="1"/>
  <c r="B717" i="4"/>
  <c r="D717" i="4" s="1"/>
  <c r="E717" i="4" s="1"/>
  <c r="B718" i="4"/>
  <c r="D718" i="4" s="1"/>
  <c r="D649" i="5" s="1"/>
  <c r="B719" i="4"/>
  <c r="D719" i="4" s="1"/>
  <c r="E719" i="4" s="1"/>
  <c r="B720" i="4"/>
  <c r="D720" i="4" s="1"/>
  <c r="B721" i="4"/>
  <c r="D721" i="4" s="1"/>
  <c r="D651" i="5" s="1"/>
  <c r="B722" i="4"/>
  <c r="D722" i="4" s="1"/>
  <c r="D652" i="5" s="1"/>
  <c r="B296" i="4"/>
  <c r="D296" i="4" s="1"/>
  <c r="E296" i="4" s="1"/>
  <c r="B297" i="4"/>
  <c r="D297" i="4" s="1"/>
  <c r="B723" i="4"/>
  <c r="D723" i="4" s="1"/>
  <c r="E723" i="4" s="1"/>
  <c r="B724" i="4"/>
  <c r="D724" i="4" s="1"/>
  <c r="B193" i="4"/>
  <c r="D193" i="4" s="1"/>
  <c r="E193" i="4" s="1"/>
  <c r="B166" i="4"/>
  <c r="D166" i="4" s="1"/>
  <c r="B156" i="4"/>
  <c r="D156" i="4" s="1"/>
  <c r="D20" i="5" s="1"/>
  <c r="B725" i="4"/>
  <c r="D725" i="4" s="1"/>
  <c r="E725" i="4" s="1"/>
  <c r="B726" i="4"/>
  <c r="D726" i="4" s="1"/>
  <c r="D656" i="5" s="1"/>
  <c r="B727" i="4"/>
  <c r="D727" i="4" s="1"/>
  <c r="B728" i="4"/>
  <c r="D728" i="4" s="1"/>
  <c r="E728" i="4" s="1"/>
  <c r="B729" i="4"/>
  <c r="D729" i="4" s="1"/>
  <c r="B730" i="4"/>
  <c r="D730" i="4" s="1"/>
  <c r="D740" i="5" s="1"/>
  <c r="B731" i="4"/>
  <c r="D731" i="4" s="1"/>
  <c r="E731" i="4" s="1"/>
  <c r="B732" i="4"/>
  <c r="D732" i="4" s="1"/>
  <c r="E732" i="4" s="1"/>
  <c r="B733" i="4"/>
  <c r="D733" i="4" s="1"/>
  <c r="D742" i="5" s="1"/>
  <c r="B143" i="4"/>
  <c r="D143" i="4" s="1"/>
  <c r="E143" i="4" s="1"/>
  <c r="B734" i="4"/>
  <c r="D734" i="4" s="1"/>
  <c r="B735" i="4"/>
  <c r="D735" i="4" s="1"/>
  <c r="E735" i="4" s="1"/>
  <c r="B736" i="4"/>
  <c r="D736" i="4" s="1"/>
  <c r="B298" i="4"/>
  <c r="D298" i="4" s="1"/>
  <c r="D663" i="5" s="1"/>
  <c r="B299" i="4"/>
  <c r="D299" i="4" s="1"/>
  <c r="B737" i="4"/>
  <c r="D737" i="4" s="1"/>
  <c r="D665" i="5" s="1"/>
  <c r="B738" i="4"/>
  <c r="D738" i="4" s="1"/>
  <c r="E738" i="4" s="1"/>
  <c r="B739" i="4"/>
  <c r="D739" i="4" s="1"/>
  <c r="D744" i="5" s="1"/>
  <c r="B740" i="4"/>
  <c r="D740" i="4" s="1"/>
  <c r="B741" i="4"/>
  <c r="D741" i="4" s="1"/>
  <c r="D668" i="5" s="1"/>
  <c r="B742" i="4"/>
  <c r="D742" i="4" s="1"/>
  <c r="D669" i="5" s="1"/>
  <c r="B743" i="4"/>
  <c r="D743" i="4" s="1"/>
  <c r="E743" i="4" s="1"/>
  <c r="B744" i="4"/>
  <c r="D744" i="4" s="1"/>
  <c r="B745" i="4"/>
  <c r="D745" i="4" s="1"/>
  <c r="D745" i="5" s="1"/>
  <c r="B746" i="4"/>
  <c r="D746" i="4" s="1"/>
  <c r="E746" i="4" s="1"/>
  <c r="B747" i="4"/>
  <c r="D747" i="4" s="1"/>
  <c r="D673" i="5" s="1"/>
  <c r="B748" i="4"/>
  <c r="D748" i="4" s="1"/>
  <c r="B749" i="4"/>
  <c r="D749" i="4" s="1"/>
  <c r="E749" i="4" s="1"/>
  <c r="B750" i="4"/>
  <c r="D750" i="4" s="1"/>
  <c r="B751" i="4"/>
  <c r="D751" i="4" s="1"/>
  <c r="D676" i="5" s="1"/>
  <c r="B300" i="4"/>
  <c r="D300" i="4" s="1"/>
  <c r="E300" i="4" s="1"/>
  <c r="B301" i="4"/>
  <c r="D301" i="4" s="1"/>
  <c r="D160" i="5" s="1"/>
  <c r="B752" i="4"/>
  <c r="D752" i="4" s="1"/>
  <c r="E752" i="4" s="1"/>
  <c r="B194" i="4"/>
  <c r="D194" i="4" s="1"/>
  <c r="D21" i="5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1" i="3"/>
  <c r="G422" i="3"/>
  <c r="G424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254" i="3"/>
  <c r="G368" i="3"/>
  <c r="G387" i="3"/>
  <c r="G420" i="3"/>
  <c r="G423" i="3"/>
  <c r="G425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1" i="3"/>
  <c r="F422" i="3"/>
  <c r="F424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254" i="3"/>
  <c r="F368" i="3"/>
  <c r="F387" i="3"/>
  <c r="F420" i="3"/>
  <c r="F423" i="3"/>
  <c r="F425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1" i="3"/>
  <c r="E422" i="3"/>
  <c r="E424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254" i="3"/>
  <c r="E368" i="3"/>
  <c r="E387" i="3"/>
  <c r="E420" i="3"/>
  <c r="E423" i="3"/>
  <c r="E425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1" i="3"/>
  <c r="D422" i="3"/>
  <c r="D424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254" i="3"/>
  <c r="D368" i="3"/>
  <c r="D387" i="3"/>
  <c r="D420" i="3"/>
  <c r="D423" i="3"/>
  <c r="D425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1" i="3"/>
  <c r="C422" i="3"/>
  <c r="C424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254" i="3"/>
  <c r="C368" i="3"/>
  <c r="C387" i="3"/>
  <c r="C420" i="3"/>
  <c r="C423" i="3"/>
  <c r="C425" i="3"/>
  <c r="C2" i="3"/>
  <c r="B3" i="3"/>
  <c r="H3" i="3" s="1"/>
  <c r="B4" i="3"/>
  <c r="H4" i="3" s="1"/>
  <c r="B23" i="5" s="1"/>
  <c r="B5" i="3"/>
  <c r="H5" i="3" s="1"/>
  <c r="B6" i="3"/>
  <c r="H6" i="3" s="1"/>
  <c r="B7" i="3"/>
  <c r="H7" i="3" s="1"/>
  <c r="B8" i="3"/>
  <c r="H8" i="3" s="1"/>
  <c r="B9" i="3"/>
  <c r="H9" i="3" s="1"/>
  <c r="B10" i="3"/>
  <c r="H10" i="3" s="1"/>
  <c r="B11" i="3"/>
  <c r="H11" i="3" s="1"/>
  <c r="B28" i="5" s="1"/>
  <c r="B12" i="3"/>
  <c r="H12" i="3" s="1"/>
  <c r="B13" i="3"/>
  <c r="H13" i="3" s="1"/>
  <c r="B14" i="3"/>
  <c r="H14" i="3" s="1"/>
  <c r="B15" i="3"/>
  <c r="H15" i="3" s="1"/>
  <c r="B16" i="3"/>
  <c r="H16" i="3" s="1"/>
  <c r="B33" i="5" s="1"/>
  <c r="B17" i="3"/>
  <c r="H17" i="3" s="1"/>
  <c r="B18" i="3"/>
  <c r="H18" i="3" s="1"/>
  <c r="B19" i="3"/>
  <c r="H19" i="3" s="1"/>
  <c r="B36" i="5" s="1"/>
  <c r="B20" i="3"/>
  <c r="H20" i="3" s="1"/>
  <c r="B163" i="5" s="1"/>
  <c r="B21" i="3"/>
  <c r="H21" i="3" s="1"/>
  <c r="B164" i="5" s="1"/>
  <c r="B22" i="3"/>
  <c r="H22" i="3" s="1"/>
  <c r="B23" i="3"/>
  <c r="H23" i="3" s="1"/>
  <c r="B24" i="3"/>
  <c r="H24" i="3" s="1"/>
  <c r="B166" i="5" s="1"/>
  <c r="B25" i="3"/>
  <c r="H25" i="3" s="1"/>
  <c r="B26" i="3"/>
  <c r="H26" i="3" s="1"/>
  <c r="B27" i="3"/>
  <c r="H27" i="3" s="1"/>
  <c r="B28" i="3"/>
  <c r="H28" i="3" s="1"/>
  <c r="B168" i="5" s="1"/>
  <c r="B29" i="3"/>
  <c r="H29" i="3" s="1"/>
  <c r="B169" i="5" s="1"/>
  <c r="B30" i="3"/>
  <c r="H30" i="3" s="1"/>
  <c r="B31" i="3"/>
  <c r="H31" i="3" s="1"/>
  <c r="B32" i="3"/>
  <c r="H32" i="3" s="1"/>
  <c r="B33" i="3"/>
  <c r="H33" i="3" s="1"/>
  <c r="B34" i="3"/>
  <c r="H34" i="3" s="1"/>
  <c r="B35" i="3"/>
  <c r="H35" i="3" s="1"/>
  <c r="B43" i="5" s="1"/>
  <c r="B36" i="3"/>
  <c r="H36" i="3" s="1"/>
  <c r="B44" i="5" s="1"/>
  <c r="B37" i="3"/>
  <c r="H37" i="3" s="1"/>
  <c r="B45" i="5" s="1"/>
  <c r="B38" i="3"/>
  <c r="H38" i="3" s="1"/>
  <c r="B39" i="3"/>
  <c r="H39" i="3" s="1"/>
  <c r="B40" i="3"/>
  <c r="H40" i="3" s="1"/>
  <c r="B41" i="3"/>
  <c r="H41" i="3" s="1"/>
  <c r="B42" i="3"/>
  <c r="H42" i="3" s="1"/>
  <c r="B43" i="3"/>
  <c r="H43" i="3" s="1"/>
  <c r="B177" i="5" s="1"/>
  <c r="B44" i="3"/>
  <c r="H44" i="3" s="1"/>
  <c r="B178" i="5" s="1"/>
  <c r="B45" i="3"/>
  <c r="H45" i="3" s="1"/>
  <c r="B46" i="3"/>
  <c r="H46" i="3" s="1"/>
  <c r="B47" i="3"/>
  <c r="H47" i="3" s="1"/>
  <c r="B48" i="3"/>
  <c r="H48" i="3" s="1"/>
  <c r="B49" i="3"/>
  <c r="H49" i="3" s="1"/>
  <c r="B50" i="3"/>
  <c r="H50" i="3" s="1"/>
  <c r="B51" i="3"/>
  <c r="H51" i="3" s="1"/>
  <c r="B184" i="5" s="1"/>
  <c r="B52" i="3"/>
  <c r="H52" i="3" s="1"/>
  <c r="B185" i="5" s="1"/>
  <c r="B53" i="3"/>
  <c r="H53" i="3" s="1"/>
  <c r="B54" i="3"/>
  <c r="H54" i="3" s="1"/>
  <c r="B55" i="3"/>
  <c r="H55" i="3" s="1"/>
  <c r="B56" i="3"/>
  <c r="H56" i="3" s="1"/>
  <c r="B189" i="5" s="1"/>
  <c r="B57" i="3"/>
  <c r="H57" i="3" s="1"/>
  <c r="B58" i="3"/>
  <c r="H58" i="3" s="1"/>
  <c r="B59" i="3"/>
  <c r="H59" i="3" s="1"/>
  <c r="B60" i="3"/>
  <c r="H60" i="3" s="1"/>
  <c r="B61" i="3"/>
  <c r="H61" i="3" s="1"/>
  <c r="B47" i="5" s="1"/>
  <c r="B62" i="3"/>
  <c r="H62" i="3" s="1"/>
  <c r="B63" i="3"/>
  <c r="H63" i="3" s="1"/>
  <c r="B64" i="3"/>
  <c r="H64" i="3" s="1"/>
  <c r="B65" i="3"/>
  <c r="H65" i="3" s="1"/>
  <c r="B66" i="3"/>
  <c r="H66" i="3" s="1"/>
  <c r="B67" i="3"/>
  <c r="H67" i="3" s="1"/>
  <c r="B199" i="5" s="1"/>
  <c r="B68" i="3"/>
  <c r="H68" i="3" s="1"/>
  <c r="B200" i="5" s="1"/>
  <c r="B69" i="3"/>
  <c r="H69" i="3" s="1"/>
  <c r="B70" i="3"/>
  <c r="H70" i="3" s="1"/>
  <c r="B71" i="3"/>
  <c r="H71" i="3" s="1"/>
  <c r="B72" i="3"/>
  <c r="H72" i="3" s="1"/>
  <c r="B48" i="5" s="1"/>
  <c r="B73" i="3"/>
  <c r="H73" i="3" s="1"/>
  <c r="B74" i="3"/>
  <c r="H74" i="3" s="1"/>
  <c r="B75" i="3"/>
  <c r="H75" i="3" s="1"/>
  <c r="B76" i="3"/>
  <c r="H76" i="3" s="1"/>
  <c r="B50" i="5" s="1"/>
  <c r="B77" i="3"/>
  <c r="H77" i="3" s="1"/>
  <c r="B204" i="5" s="1"/>
  <c r="B78" i="3"/>
  <c r="H78" i="3" s="1"/>
  <c r="B79" i="3"/>
  <c r="H79" i="3" s="1"/>
  <c r="B205" i="5" s="1"/>
  <c r="B80" i="3"/>
  <c r="H80" i="3" s="1"/>
  <c r="B81" i="3"/>
  <c r="H81" i="3" s="1"/>
  <c r="B82" i="3"/>
  <c r="H82" i="3" s="1"/>
  <c r="B83" i="3"/>
  <c r="H83" i="3" s="1"/>
  <c r="B84" i="3"/>
  <c r="H84" i="3" s="1"/>
  <c r="B209" i="5" s="1"/>
  <c r="B85" i="3"/>
  <c r="H85" i="3" s="1"/>
  <c r="B210" i="5" s="1"/>
  <c r="B86" i="3"/>
  <c r="H86" i="3" s="1"/>
  <c r="B87" i="3"/>
  <c r="H87" i="3" s="1"/>
  <c r="B88" i="3"/>
  <c r="H88" i="3" s="1"/>
  <c r="B89" i="3"/>
  <c r="H89" i="3" s="1"/>
  <c r="B90" i="3"/>
  <c r="H90" i="3" s="1"/>
  <c r="B91" i="3"/>
  <c r="H91" i="3" s="1"/>
  <c r="B92" i="3"/>
  <c r="H92" i="3" s="1"/>
  <c r="B217" i="5" s="1"/>
  <c r="B93" i="3"/>
  <c r="H93" i="3" s="1"/>
  <c r="B218" i="5" s="1"/>
  <c r="B94" i="3"/>
  <c r="H94" i="3" s="1"/>
  <c r="B219" i="5" s="1"/>
  <c r="B95" i="3"/>
  <c r="H95" i="3" s="1"/>
  <c r="B96" i="3"/>
  <c r="H96" i="3" s="1"/>
  <c r="B97" i="3"/>
  <c r="H97" i="3" s="1"/>
  <c r="B222" i="5" s="1"/>
  <c r="B98" i="3"/>
  <c r="H98" i="3" s="1"/>
  <c r="B99" i="3"/>
  <c r="H99" i="3" s="1"/>
  <c r="B100" i="3"/>
  <c r="H100" i="3" s="1"/>
  <c r="B223" i="5" s="1"/>
  <c r="B101" i="3"/>
  <c r="H101" i="3" s="1"/>
  <c r="B224" i="5" s="1"/>
  <c r="B102" i="3"/>
  <c r="H102" i="3" s="1"/>
  <c r="B103" i="3"/>
  <c r="H103" i="3" s="1"/>
  <c r="B226" i="5" s="1"/>
  <c r="B104" i="3"/>
  <c r="H104" i="3" s="1"/>
  <c r="B54" i="5" s="1"/>
  <c r="B105" i="3"/>
  <c r="H105" i="3" s="1"/>
  <c r="B106" i="3"/>
  <c r="H106" i="3" s="1"/>
  <c r="B228" i="5" s="1"/>
  <c r="B107" i="3"/>
  <c r="H107" i="3" s="1"/>
  <c r="B108" i="3"/>
  <c r="H108" i="3" s="1"/>
  <c r="B229" i="5" s="1"/>
  <c r="B109" i="3"/>
  <c r="H109" i="3" s="1"/>
  <c r="B230" i="5" s="1"/>
  <c r="B110" i="3"/>
  <c r="H110" i="3" s="1"/>
  <c r="B231" i="5" s="1"/>
  <c r="B111" i="3"/>
  <c r="H111" i="3" s="1"/>
  <c r="B232" i="5" s="1"/>
  <c r="B112" i="3"/>
  <c r="H112" i="3" s="1"/>
  <c r="B233" i="5" s="1"/>
  <c r="B113" i="3"/>
  <c r="H113" i="3" s="1"/>
  <c r="B681" i="5" s="1"/>
  <c r="B114" i="3"/>
  <c r="H114" i="3" s="1"/>
  <c r="B115" i="3"/>
  <c r="H115" i="3" s="1"/>
  <c r="B235" i="5" s="1"/>
  <c r="B116" i="3"/>
  <c r="H116" i="3" s="1"/>
  <c r="B236" i="5" s="1"/>
  <c r="B117" i="3"/>
  <c r="H117" i="3" s="1"/>
  <c r="B237" i="5" s="1"/>
  <c r="B118" i="3"/>
  <c r="H118" i="3" s="1"/>
  <c r="B119" i="3"/>
  <c r="H119" i="3" s="1"/>
  <c r="B120" i="3"/>
  <c r="H120" i="3" s="1"/>
  <c r="B240" i="5" s="1"/>
  <c r="B121" i="3"/>
  <c r="H121" i="3" s="1"/>
  <c r="B241" i="5" s="1"/>
  <c r="B122" i="3"/>
  <c r="H122" i="3" s="1"/>
  <c r="B123" i="3"/>
  <c r="H123" i="3" s="1"/>
  <c r="B124" i="3"/>
  <c r="H124" i="3" s="1"/>
  <c r="B244" i="5" s="1"/>
  <c r="B125" i="3"/>
  <c r="H125" i="3" s="1"/>
  <c r="B245" i="5" s="1"/>
  <c r="B126" i="3"/>
  <c r="H126" i="3" s="1"/>
  <c r="B246" i="5" s="1"/>
  <c r="B127" i="3"/>
  <c r="H127" i="3" s="1"/>
  <c r="B128" i="3"/>
  <c r="H128" i="3" s="1"/>
  <c r="B129" i="3"/>
  <c r="H129" i="3" s="1"/>
  <c r="B130" i="3"/>
  <c r="H130" i="3" s="1"/>
  <c r="B131" i="3"/>
  <c r="H131" i="3" s="1"/>
  <c r="B251" i="5" s="1"/>
  <c r="B132" i="3"/>
  <c r="H132" i="3" s="1"/>
  <c r="B252" i="5" s="1"/>
  <c r="B133" i="3"/>
  <c r="H133" i="3" s="1"/>
  <c r="B56" i="5" s="1"/>
  <c r="B134" i="3"/>
  <c r="H134" i="3" s="1"/>
  <c r="B135" i="3"/>
  <c r="H135" i="3" s="1"/>
  <c r="B136" i="3"/>
  <c r="H136" i="3" s="1"/>
  <c r="B255" i="5" s="1"/>
  <c r="B137" i="3"/>
  <c r="H137" i="3" s="1"/>
  <c r="B138" i="3"/>
  <c r="H138" i="3" s="1"/>
  <c r="B139" i="3"/>
  <c r="H139" i="3" s="1"/>
  <c r="B258" i="5" s="1"/>
  <c r="B140" i="3"/>
  <c r="H140" i="3" s="1"/>
  <c r="B141" i="3"/>
  <c r="H141" i="3" s="1"/>
  <c r="B260" i="5" s="1"/>
  <c r="B142" i="3"/>
  <c r="H142" i="3" s="1"/>
  <c r="B143" i="3"/>
  <c r="H143" i="3" s="1"/>
  <c r="B144" i="3"/>
  <c r="H144" i="3" s="1"/>
  <c r="B263" i="5" s="1"/>
  <c r="B145" i="3"/>
  <c r="H145" i="3" s="1"/>
  <c r="B146" i="3"/>
  <c r="H146" i="3" s="1"/>
  <c r="B147" i="3"/>
  <c r="H147" i="3" s="1"/>
  <c r="B266" i="5" s="1"/>
  <c r="B148" i="3"/>
  <c r="H148" i="3" s="1"/>
  <c r="B267" i="5" s="1"/>
  <c r="B149" i="3"/>
  <c r="H149" i="3" s="1"/>
  <c r="B268" i="5" s="1"/>
  <c r="B150" i="3"/>
  <c r="H150" i="3" s="1"/>
  <c r="B269" i="5" s="1"/>
  <c r="B151" i="3"/>
  <c r="H151" i="3" s="1"/>
  <c r="B152" i="3"/>
  <c r="H152" i="3" s="1"/>
  <c r="B747" i="5" s="1"/>
  <c r="B153" i="3"/>
  <c r="H153" i="3" s="1"/>
  <c r="B154" i="3"/>
  <c r="H154" i="3" s="1"/>
  <c r="B155" i="3"/>
  <c r="H155" i="3" s="1"/>
  <c r="B273" i="5" s="1"/>
  <c r="B156" i="3"/>
  <c r="H156" i="3" s="1"/>
  <c r="B274" i="5" s="1"/>
  <c r="B157" i="3"/>
  <c r="H157" i="3" s="1"/>
  <c r="B275" i="5" s="1"/>
  <c r="B158" i="3"/>
  <c r="H158" i="3" s="1"/>
  <c r="B159" i="3"/>
  <c r="H159" i="3" s="1"/>
  <c r="B160" i="3"/>
  <c r="H160" i="3" s="1"/>
  <c r="B161" i="3"/>
  <c r="H161" i="3" s="1"/>
  <c r="B162" i="3"/>
  <c r="H162" i="3" s="1"/>
  <c r="B163" i="3"/>
  <c r="H163" i="3" s="1"/>
  <c r="B281" i="5" s="1"/>
  <c r="B164" i="3"/>
  <c r="H164" i="3" s="1"/>
  <c r="B282" i="5" s="1"/>
  <c r="B165" i="3"/>
  <c r="H165" i="3" s="1"/>
  <c r="B283" i="5" s="1"/>
  <c r="B166" i="3"/>
  <c r="H166" i="3" s="1"/>
  <c r="B167" i="3"/>
  <c r="H167" i="3" s="1"/>
  <c r="B168" i="3"/>
  <c r="H168" i="3" s="1"/>
  <c r="B169" i="3"/>
  <c r="H169" i="3" s="1"/>
  <c r="B170" i="3"/>
  <c r="H170" i="3" s="1"/>
  <c r="B171" i="3"/>
  <c r="H171" i="3" s="1"/>
  <c r="B289" i="5" s="1"/>
  <c r="B172" i="3"/>
  <c r="H172" i="3" s="1"/>
  <c r="B290" i="5" s="1"/>
  <c r="B173" i="3"/>
  <c r="H173" i="3" s="1"/>
  <c r="B291" i="5" s="1"/>
  <c r="B174" i="3"/>
  <c r="H174" i="3" s="1"/>
  <c r="B175" i="3"/>
  <c r="H175" i="3" s="1"/>
  <c r="B176" i="3"/>
  <c r="H176" i="3" s="1"/>
  <c r="B177" i="3"/>
  <c r="H177" i="3" s="1"/>
  <c r="B178" i="3"/>
  <c r="H178" i="3" s="1"/>
  <c r="B179" i="3"/>
  <c r="H179" i="3" s="1"/>
  <c r="B180" i="3"/>
  <c r="H180" i="3" s="1"/>
  <c r="B297" i="5" s="1"/>
  <c r="B181" i="3"/>
  <c r="H181" i="3" s="1"/>
  <c r="B298" i="5" s="1"/>
  <c r="B182" i="3"/>
  <c r="H182" i="3" s="1"/>
  <c r="B183" i="3"/>
  <c r="H183" i="3" s="1"/>
  <c r="B184" i="3"/>
  <c r="H184" i="3" s="1"/>
  <c r="B185" i="3"/>
  <c r="H185" i="3" s="1"/>
  <c r="B186" i="3"/>
  <c r="H186" i="3" s="1"/>
  <c r="B187" i="3"/>
  <c r="H187" i="3" s="1"/>
  <c r="B61" i="5" s="1"/>
  <c r="B188" i="3"/>
  <c r="H188" i="3" s="1"/>
  <c r="B301" i="5" s="1"/>
  <c r="B189" i="3"/>
  <c r="H189" i="3" s="1"/>
  <c r="B302" i="5" s="1"/>
  <c r="B190" i="3"/>
  <c r="H190" i="3" s="1"/>
  <c r="B191" i="3"/>
  <c r="H191" i="3" s="1"/>
  <c r="B192" i="3"/>
  <c r="H192" i="3" s="1"/>
  <c r="B193" i="3"/>
  <c r="H193" i="3" s="1"/>
  <c r="B194" i="3"/>
  <c r="H194" i="3" s="1"/>
  <c r="B195" i="3"/>
  <c r="H195" i="3" s="1"/>
  <c r="B308" i="5" s="1"/>
  <c r="B196" i="3"/>
  <c r="H196" i="3" s="1"/>
  <c r="B309" i="5" s="1"/>
  <c r="B197" i="3"/>
  <c r="H197" i="3" s="1"/>
  <c r="B310" i="5" s="1"/>
  <c r="B198" i="3"/>
  <c r="H198" i="3" s="1"/>
  <c r="B199" i="3"/>
  <c r="H199" i="3" s="1"/>
  <c r="B200" i="3"/>
  <c r="H200" i="3" s="1"/>
  <c r="B64" i="5" s="1"/>
  <c r="B201" i="3"/>
  <c r="H201" i="3" s="1"/>
  <c r="B202" i="3"/>
  <c r="H202" i="3" s="1"/>
  <c r="B203" i="3"/>
  <c r="H203" i="3" s="1"/>
  <c r="B204" i="3"/>
  <c r="H204" i="3" s="1"/>
  <c r="B314" i="5" s="1"/>
  <c r="B205" i="3"/>
  <c r="H205" i="3" s="1"/>
  <c r="B315" i="5" s="1"/>
  <c r="B206" i="3"/>
  <c r="H206" i="3" s="1"/>
  <c r="B207" i="3"/>
  <c r="H207" i="3" s="1"/>
  <c r="B208" i="3"/>
  <c r="H208" i="3" s="1"/>
  <c r="B209" i="3"/>
  <c r="H209" i="3" s="1"/>
  <c r="B210" i="3"/>
  <c r="H210" i="3" s="1"/>
  <c r="B211" i="3"/>
  <c r="H211" i="3" s="1"/>
  <c r="B212" i="3"/>
  <c r="H212" i="3" s="1"/>
  <c r="B322" i="5" s="1"/>
  <c r="B213" i="3"/>
  <c r="H213" i="3" s="1"/>
  <c r="B323" i="5" s="1"/>
  <c r="B214" i="3"/>
  <c r="H214" i="3" s="1"/>
  <c r="B215" i="3"/>
  <c r="H215" i="3" s="1"/>
  <c r="B216" i="3"/>
  <c r="H216" i="3" s="1"/>
  <c r="B326" i="5" s="1"/>
  <c r="B217" i="3"/>
  <c r="H217" i="3" s="1"/>
  <c r="B327" i="5" s="1"/>
  <c r="B218" i="3"/>
  <c r="H218" i="3" s="1"/>
  <c r="B219" i="3"/>
  <c r="H219" i="3" s="1"/>
  <c r="B220" i="3"/>
  <c r="H220" i="3" s="1"/>
  <c r="B329" i="5" s="1"/>
  <c r="B221" i="3"/>
  <c r="H221" i="3" s="1"/>
  <c r="B330" i="5" s="1"/>
  <c r="B222" i="3"/>
  <c r="H222" i="3" s="1"/>
  <c r="B223" i="3"/>
  <c r="H223" i="3" s="1"/>
  <c r="B224" i="3"/>
  <c r="H224" i="3" s="1"/>
  <c r="B225" i="3"/>
  <c r="H225" i="3" s="1"/>
  <c r="B226" i="3"/>
  <c r="H226" i="3" s="1"/>
  <c r="B333" i="5" s="1"/>
  <c r="B227" i="3"/>
  <c r="H227" i="3" s="1"/>
  <c r="B228" i="3"/>
  <c r="H228" i="3" s="1"/>
  <c r="B229" i="3"/>
  <c r="H229" i="3" s="1"/>
  <c r="B230" i="3"/>
  <c r="H230" i="3" s="1"/>
  <c r="B231" i="3"/>
  <c r="H231" i="3" s="1"/>
  <c r="B232" i="3"/>
  <c r="H232" i="3" s="1"/>
  <c r="B233" i="3"/>
  <c r="H233" i="3" s="1"/>
  <c r="B234" i="3"/>
  <c r="H234" i="3" s="1"/>
  <c r="B235" i="3"/>
  <c r="H235" i="3" s="1"/>
  <c r="B65" i="5" s="1"/>
  <c r="B236" i="3"/>
  <c r="H236" i="3" s="1"/>
  <c r="B342" i="5" s="1"/>
  <c r="B237" i="3"/>
  <c r="H237" i="3" s="1"/>
  <c r="B684" i="5" s="1"/>
  <c r="B238" i="3"/>
  <c r="H238" i="3" s="1"/>
  <c r="B239" i="3"/>
  <c r="H239" i="3" s="1"/>
  <c r="B240" i="3"/>
  <c r="H240" i="3" s="1"/>
  <c r="B344" i="5" s="1"/>
  <c r="B241" i="3"/>
  <c r="H241" i="3" s="1"/>
  <c r="B242" i="3"/>
  <c r="H242" i="3" s="1"/>
  <c r="B243" i="3"/>
  <c r="H243" i="3" s="1"/>
  <c r="B347" i="5" s="1"/>
  <c r="B244" i="3"/>
  <c r="H244" i="3" s="1"/>
  <c r="B348" i="5" s="1"/>
  <c r="B245" i="3"/>
  <c r="H245" i="3" s="1"/>
  <c r="B246" i="3"/>
  <c r="H246" i="3" s="1"/>
  <c r="B247" i="3"/>
  <c r="H247" i="3" s="1"/>
  <c r="B248" i="3"/>
  <c r="H248" i="3" s="1"/>
  <c r="B352" i="5" s="1"/>
  <c r="B249" i="3"/>
  <c r="H249" i="3" s="1"/>
  <c r="B250" i="3"/>
  <c r="H250" i="3" s="1"/>
  <c r="B354" i="5" s="1"/>
  <c r="B251" i="3"/>
  <c r="H251" i="3" s="1"/>
  <c r="B252" i="3"/>
  <c r="H252" i="3" s="1"/>
  <c r="B356" i="5" s="1"/>
  <c r="B253" i="3"/>
  <c r="H253" i="3" s="1"/>
  <c r="B255" i="3"/>
  <c r="H255" i="3" s="1"/>
  <c r="B256" i="3"/>
  <c r="H256" i="3" s="1"/>
  <c r="B257" i="3"/>
  <c r="H257" i="3" s="1"/>
  <c r="B258" i="3"/>
  <c r="H258" i="3" s="1"/>
  <c r="B259" i="3"/>
  <c r="H259" i="3" s="1"/>
  <c r="B260" i="3"/>
  <c r="H260" i="3" s="1"/>
  <c r="B361" i="5" s="1"/>
  <c r="B261" i="3"/>
  <c r="H261" i="3" s="1"/>
  <c r="B362" i="5" s="1"/>
  <c r="B262" i="3"/>
  <c r="H262" i="3" s="1"/>
  <c r="B263" i="3"/>
  <c r="H263" i="3" s="1"/>
  <c r="B264" i="3"/>
  <c r="H264" i="3" s="1"/>
  <c r="B265" i="3"/>
  <c r="H265" i="3" s="1"/>
  <c r="B366" i="5" s="1"/>
  <c r="B266" i="3"/>
  <c r="H266" i="3" s="1"/>
  <c r="B267" i="3"/>
  <c r="H267" i="3" s="1"/>
  <c r="B268" i="3"/>
  <c r="H268" i="3" s="1"/>
  <c r="B269" i="3"/>
  <c r="H269" i="3" s="1"/>
  <c r="B370" i="5" s="1"/>
  <c r="B270" i="3"/>
  <c r="H270" i="3" s="1"/>
  <c r="B371" i="5" s="1"/>
  <c r="B271" i="3"/>
  <c r="H271" i="3" s="1"/>
  <c r="B272" i="3"/>
  <c r="H272" i="3" s="1"/>
  <c r="B686" i="5" s="1"/>
  <c r="B273" i="3"/>
  <c r="H273" i="3" s="1"/>
  <c r="B373" i="5" s="1"/>
  <c r="B274" i="3"/>
  <c r="H274" i="3" s="1"/>
  <c r="B275" i="3"/>
  <c r="H275" i="3" s="1"/>
  <c r="B276" i="3"/>
  <c r="H276" i="3" s="1"/>
  <c r="B374" i="5" s="1"/>
  <c r="B277" i="3"/>
  <c r="H277" i="3" s="1"/>
  <c r="B375" i="5" s="1"/>
  <c r="B278" i="3"/>
  <c r="H278" i="3" s="1"/>
  <c r="B687" i="5" s="1"/>
  <c r="B279" i="3"/>
  <c r="H279" i="3" s="1"/>
  <c r="B280" i="3"/>
  <c r="H280" i="3" s="1"/>
  <c r="B281" i="3"/>
  <c r="H281" i="3" s="1"/>
  <c r="B282" i="3"/>
  <c r="H282" i="3" s="1"/>
  <c r="B283" i="3"/>
  <c r="H283" i="3" s="1"/>
  <c r="B284" i="3"/>
  <c r="H284" i="3" s="1"/>
  <c r="B379" i="5" s="1"/>
  <c r="B285" i="3"/>
  <c r="H285" i="3" s="1"/>
  <c r="B380" i="5" s="1"/>
  <c r="B286" i="3"/>
  <c r="H286" i="3" s="1"/>
  <c r="B381" i="5" s="1"/>
  <c r="B287" i="3"/>
  <c r="H287" i="3" s="1"/>
  <c r="B288" i="3"/>
  <c r="H288" i="3" s="1"/>
  <c r="B289" i="3"/>
  <c r="H289" i="3" s="1"/>
  <c r="B290" i="3"/>
  <c r="H290" i="3" s="1"/>
  <c r="B291" i="3"/>
  <c r="H291" i="3" s="1"/>
  <c r="B386" i="5" s="1"/>
  <c r="B292" i="3"/>
  <c r="H292" i="3" s="1"/>
  <c r="B293" i="3"/>
  <c r="H293" i="3" s="1"/>
  <c r="B388" i="5" s="1"/>
  <c r="B294" i="3"/>
  <c r="H294" i="3" s="1"/>
  <c r="B389" i="5" s="1"/>
  <c r="B295" i="3"/>
  <c r="H295" i="3" s="1"/>
  <c r="B296" i="3"/>
  <c r="H296" i="3" s="1"/>
  <c r="B297" i="3"/>
  <c r="H297" i="3" s="1"/>
  <c r="B392" i="5" s="1"/>
  <c r="B298" i="3"/>
  <c r="H298" i="3" s="1"/>
  <c r="B299" i="3"/>
  <c r="H299" i="3" s="1"/>
  <c r="B300" i="3"/>
  <c r="H300" i="3" s="1"/>
  <c r="B395" i="5" s="1"/>
  <c r="B301" i="3"/>
  <c r="H301" i="3" s="1"/>
  <c r="B396" i="5" s="1"/>
  <c r="B302" i="3"/>
  <c r="H302" i="3" s="1"/>
  <c r="B397" i="5" s="1"/>
  <c r="B303" i="3"/>
  <c r="H303" i="3" s="1"/>
  <c r="B690" i="5" s="1"/>
  <c r="B304" i="3"/>
  <c r="H304" i="3" s="1"/>
  <c r="B305" i="3"/>
  <c r="H305" i="3" s="1"/>
  <c r="B306" i="3"/>
  <c r="H306" i="3" s="1"/>
  <c r="B307" i="3"/>
  <c r="H307" i="3" s="1"/>
  <c r="B399" i="5" s="1"/>
  <c r="B308" i="3"/>
  <c r="H308" i="3" s="1"/>
  <c r="B400" i="5" s="1"/>
  <c r="B309" i="3"/>
  <c r="H309" i="3" s="1"/>
  <c r="B401" i="5" s="1"/>
  <c r="B310" i="3"/>
  <c r="H310" i="3" s="1"/>
  <c r="B402" i="5" s="1"/>
  <c r="B311" i="3"/>
  <c r="H311" i="3" s="1"/>
  <c r="B312" i="3"/>
  <c r="H312" i="3" s="1"/>
  <c r="B313" i="3"/>
  <c r="H313" i="3" s="1"/>
  <c r="B403" i="5" s="1"/>
  <c r="B314" i="3"/>
  <c r="H314" i="3" s="1"/>
  <c r="B315" i="3"/>
  <c r="H315" i="3" s="1"/>
  <c r="B316" i="3"/>
  <c r="H316" i="3" s="1"/>
  <c r="B317" i="3"/>
  <c r="H317" i="3" s="1"/>
  <c r="B406" i="5" s="1"/>
  <c r="B318" i="3"/>
  <c r="H318" i="3" s="1"/>
  <c r="B407" i="5" s="1"/>
  <c r="B319" i="3"/>
  <c r="H319" i="3" s="1"/>
  <c r="B696" i="5" s="1"/>
  <c r="B320" i="3"/>
  <c r="H320" i="3" s="1"/>
  <c r="B321" i="3"/>
  <c r="H321" i="3" s="1"/>
  <c r="B322" i="3"/>
  <c r="H322" i="3" s="1"/>
  <c r="B323" i="3"/>
  <c r="H323" i="3" s="1"/>
  <c r="B324" i="3"/>
  <c r="H324" i="3" s="1"/>
  <c r="B411" i="5" s="1"/>
  <c r="B325" i="3"/>
  <c r="H325" i="3" s="1"/>
  <c r="B412" i="5" s="1"/>
  <c r="B326" i="3"/>
  <c r="H326" i="3" s="1"/>
  <c r="B698" i="5" s="1"/>
  <c r="B327" i="3"/>
  <c r="H327" i="3" s="1"/>
  <c r="B413" i="5" s="1"/>
  <c r="B328" i="3"/>
  <c r="H328" i="3" s="1"/>
  <c r="B414" i="5" s="1"/>
  <c r="B329" i="3"/>
  <c r="H329" i="3" s="1"/>
  <c r="B330" i="3"/>
  <c r="H330" i="3" s="1"/>
  <c r="B331" i="3"/>
  <c r="H331" i="3" s="1"/>
  <c r="B416" i="5" s="1"/>
  <c r="B332" i="3"/>
  <c r="H332" i="3" s="1"/>
  <c r="B700" i="5" s="1"/>
  <c r="B333" i="3"/>
  <c r="H333" i="3" s="1"/>
  <c r="B417" i="5" s="1"/>
  <c r="B334" i="3"/>
  <c r="H334" i="3" s="1"/>
  <c r="B418" i="5" s="1"/>
  <c r="B335" i="3"/>
  <c r="H335" i="3" s="1"/>
  <c r="B336" i="3"/>
  <c r="H336" i="3" s="1"/>
  <c r="B337" i="3"/>
  <c r="H337" i="3" s="1"/>
  <c r="B338" i="3"/>
  <c r="H338" i="3" s="1"/>
  <c r="B339" i="3"/>
  <c r="H339" i="3" s="1"/>
  <c r="B422" i="5" s="1"/>
  <c r="B340" i="3"/>
  <c r="H340" i="3" s="1"/>
  <c r="B423" i="5" s="1"/>
  <c r="B341" i="3"/>
  <c r="H341" i="3" s="1"/>
  <c r="B424" i="5" s="1"/>
  <c r="B342" i="3"/>
  <c r="H342" i="3" s="1"/>
  <c r="B425" i="5" s="1"/>
  <c r="B343" i="3"/>
  <c r="H343" i="3" s="1"/>
  <c r="B344" i="3"/>
  <c r="H344" i="3" s="1"/>
  <c r="B427" i="5" s="1"/>
  <c r="B345" i="3"/>
  <c r="H345" i="3" s="1"/>
  <c r="B346" i="3"/>
  <c r="H346" i="3" s="1"/>
  <c r="B703" i="5" s="1"/>
  <c r="B347" i="3"/>
  <c r="H347" i="3" s="1"/>
  <c r="B348" i="3"/>
  <c r="H348" i="3" s="1"/>
  <c r="B704" i="5" s="1"/>
  <c r="B349" i="3"/>
  <c r="H349" i="3" s="1"/>
  <c r="B429" i="5" s="1"/>
  <c r="B350" i="3"/>
  <c r="H350" i="3" s="1"/>
  <c r="B705" i="5" s="1"/>
  <c r="B351" i="3"/>
  <c r="H351" i="3" s="1"/>
  <c r="B352" i="3"/>
  <c r="H352" i="3" s="1"/>
  <c r="B353" i="3"/>
  <c r="H353" i="3" s="1"/>
  <c r="B354" i="3"/>
  <c r="H354" i="3" s="1"/>
  <c r="B432" i="5" s="1"/>
  <c r="B355" i="3"/>
  <c r="H355" i="3" s="1"/>
  <c r="B433" i="5" s="1"/>
  <c r="B356" i="3"/>
  <c r="H356" i="3" s="1"/>
  <c r="B357" i="3"/>
  <c r="H357" i="3" s="1"/>
  <c r="B435" i="5" s="1"/>
  <c r="B358" i="3"/>
  <c r="H358" i="3" s="1"/>
  <c r="B436" i="5" s="1"/>
  <c r="B359" i="3"/>
  <c r="H359" i="3" s="1"/>
  <c r="B360" i="3"/>
  <c r="H360" i="3" s="1"/>
  <c r="B361" i="3"/>
  <c r="H361" i="3" s="1"/>
  <c r="B439" i="5" s="1"/>
  <c r="B362" i="3"/>
  <c r="H362" i="3" s="1"/>
  <c r="B70" i="5" s="1"/>
  <c r="B363" i="3"/>
  <c r="H363" i="3" s="1"/>
  <c r="B364" i="3"/>
  <c r="H364" i="3" s="1"/>
  <c r="B441" i="5" s="1"/>
  <c r="B365" i="3"/>
  <c r="H365" i="3" s="1"/>
  <c r="B442" i="5" s="1"/>
  <c r="B366" i="3"/>
  <c r="H366" i="3" s="1"/>
  <c r="B443" i="5" s="1"/>
  <c r="B367" i="3"/>
  <c r="H367" i="3" s="1"/>
  <c r="B444" i="5" s="1"/>
  <c r="B369" i="3"/>
  <c r="H369" i="3" s="1"/>
  <c r="B446" i="5" s="1"/>
  <c r="B370" i="3"/>
  <c r="H370" i="3" s="1"/>
  <c r="B371" i="3"/>
  <c r="H371" i="3" s="1"/>
  <c r="B707" i="5" s="1"/>
  <c r="B372" i="3"/>
  <c r="H372" i="3" s="1"/>
  <c r="B447" i="5" s="1"/>
  <c r="B373" i="3"/>
  <c r="H373" i="3" s="1"/>
  <c r="B708" i="5" s="1"/>
  <c r="B374" i="3"/>
  <c r="H374" i="3" s="1"/>
  <c r="B448" i="5" s="1"/>
  <c r="B375" i="3"/>
  <c r="H375" i="3" s="1"/>
  <c r="B376" i="3"/>
  <c r="H376" i="3" s="1"/>
  <c r="B377" i="3"/>
  <c r="H377" i="3" s="1"/>
  <c r="B378" i="3"/>
  <c r="H378" i="3" s="1"/>
  <c r="B451" i="5" s="1"/>
  <c r="B379" i="3"/>
  <c r="H379" i="3" s="1"/>
  <c r="B710" i="5" s="1"/>
  <c r="B380" i="3"/>
  <c r="H380" i="3" s="1"/>
  <c r="B381" i="3"/>
  <c r="H381" i="3" s="1"/>
  <c r="B452" i="5" s="1"/>
  <c r="B382" i="3"/>
  <c r="H382" i="3" s="1"/>
  <c r="B453" i="5" s="1"/>
  <c r="B383" i="3"/>
  <c r="H383" i="3" s="1"/>
  <c r="B454" i="5" s="1"/>
  <c r="B384" i="3"/>
  <c r="H384" i="3" s="1"/>
  <c r="B385" i="3"/>
  <c r="H385" i="3" s="1"/>
  <c r="B386" i="3"/>
  <c r="H386" i="3" s="1"/>
  <c r="B388" i="3"/>
  <c r="H388" i="3" s="1"/>
  <c r="B389" i="3"/>
  <c r="H389" i="3" s="1"/>
  <c r="B390" i="3"/>
  <c r="H390" i="3" s="1"/>
  <c r="B750" i="5" s="1"/>
  <c r="J750" i="5" s="1"/>
  <c r="K750" i="5" s="1"/>
  <c r="B391" i="3"/>
  <c r="H391" i="3" s="1"/>
  <c r="B71" i="5" s="1"/>
  <c r="B392" i="3"/>
  <c r="H392" i="3" s="1"/>
  <c r="B393" i="3"/>
  <c r="H393" i="3" s="1"/>
  <c r="B394" i="3"/>
  <c r="H394" i="3" s="1"/>
  <c r="B460" i="5" s="1"/>
  <c r="B395" i="3"/>
  <c r="H395" i="3" s="1"/>
  <c r="B396" i="3"/>
  <c r="H396" i="3" s="1"/>
  <c r="B462" i="5" s="1"/>
  <c r="B397" i="3"/>
  <c r="H397" i="3" s="1"/>
  <c r="B398" i="3"/>
  <c r="H398" i="3" s="1"/>
  <c r="B464" i="5" s="1"/>
  <c r="B399" i="3"/>
  <c r="H399" i="3" s="1"/>
  <c r="B714" i="5" s="1"/>
  <c r="B400" i="3"/>
  <c r="H400" i="3" s="1"/>
  <c r="B715" i="5" s="1"/>
  <c r="B401" i="3"/>
  <c r="H401" i="3" s="1"/>
  <c r="B402" i="3"/>
  <c r="H402" i="3" s="1"/>
  <c r="B72" i="5" s="1"/>
  <c r="B403" i="3"/>
  <c r="H403" i="3" s="1"/>
  <c r="B466" i="5" s="1"/>
  <c r="B404" i="3"/>
  <c r="H404" i="3" s="1"/>
  <c r="B405" i="3"/>
  <c r="H405" i="3" s="1"/>
  <c r="B406" i="3"/>
  <c r="H406" i="3" s="1"/>
  <c r="B469" i="5" s="1"/>
  <c r="B407" i="3"/>
  <c r="H407" i="3" s="1"/>
  <c r="B73" i="5" s="1"/>
  <c r="B408" i="3"/>
  <c r="H408" i="3" s="1"/>
  <c r="B470" i="5" s="1"/>
  <c r="B409" i="3"/>
  <c r="H409" i="3" s="1"/>
  <c r="B410" i="3"/>
  <c r="H410" i="3" s="1"/>
  <c r="B411" i="3"/>
  <c r="H411" i="3" s="1"/>
  <c r="B412" i="3"/>
  <c r="H412" i="3" s="1"/>
  <c r="B413" i="3"/>
  <c r="H413" i="3" s="1"/>
  <c r="B414" i="3"/>
  <c r="H414" i="3" s="1"/>
  <c r="B474" i="5" s="1"/>
  <c r="B415" i="3"/>
  <c r="H415" i="3" s="1"/>
  <c r="B475" i="5" s="1"/>
  <c r="B416" i="3"/>
  <c r="H416" i="3" s="1"/>
  <c r="B417" i="3"/>
  <c r="H417" i="3" s="1"/>
  <c r="B418" i="3"/>
  <c r="H418" i="3" s="1"/>
  <c r="B419" i="3"/>
  <c r="H419" i="3" s="1"/>
  <c r="B478" i="5" s="1"/>
  <c r="B421" i="3"/>
  <c r="H421" i="3" s="1"/>
  <c r="B422" i="3"/>
  <c r="H422" i="3" s="1"/>
  <c r="B424" i="3"/>
  <c r="H424" i="3" s="1"/>
  <c r="B482" i="5" s="1"/>
  <c r="B426" i="3"/>
  <c r="H426" i="3" s="1"/>
  <c r="B427" i="3"/>
  <c r="H427" i="3" s="1"/>
  <c r="B719" i="5" s="1"/>
  <c r="B428" i="3"/>
  <c r="H428" i="3" s="1"/>
  <c r="B429" i="3"/>
  <c r="H429" i="3" s="1"/>
  <c r="B752" i="5" s="1"/>
  <c r="J752" i="5" s="1"/>
  <c r="K752" i="5" s="1"/>
  <c r="B430" i="3"/>
  <c r="H430" i="3" s="1"/>
  <c r="B485" i="5" s="1"/>
  <c r="B431" i="3"/>
  <c r="H431" i="3" s="1"/>
  <c r="B432" i="3"/>
  <c r="H432" i="3" s="1"/>
  <c r="B75" i="5" s="1"/>
  <c r="B433" i="3"/>
  <c r="H433" i="3" s="1"/>
  <c r="B486" i="5" s="1"/>
  <c r="B434" i="3"/>
  <c r="H434" i="3" s="1"/>
  <c r="B487" i="5" s="1"/>
  <c r="B435" i="3"/>
  <c r="H435" i="3" s="1"/>
  <c r="B488" i="5" s="1"/>
  <c r="B436" i="3"/>
  <c r="H436" i="3" s="1"/>
  <c r="B437" i="3"/>
  <c r="H437" i="3" s="1"/>
  <c r="B490" i="5" s="1"/>
  <c r="B438" i="3"/>
  <c r="H438" i="3" s="1"/>
  <c r="B491" i="5" s="1"/>
  <c r="B439" i="3"/>
  <c r="H439" i="3" s="1"/>
  <c r="B492" i="5" s="1"/>
  <c r="B440" i="3"/>
  <c r="H440" i="3" s="1"/>
  <c r="B493" i="5" s="1"/>
  <c r="B441" i="3"/>
  <c r="H441" i="3" s="1"/>
  <c r="B494" i="5" s="1"/>
  <c r="B442" i="3"/>
  <c r="H442" i="3" s="1"/>
  <c r="B76" i="5" s="1"/>
  <c r="B443" i="3"/>
  <c r="H443" i="3" s="1"/>
  <c r="B495" i="5" s="1"/>
  <c r="B444" i="3"/>
  <c r="H444" i="3" s="1"/>
  <c r="B445" i="3"/>
  <c r="H445" i="3" s="1"/>
  <c r="B446" i="3"/>
  <c r="H446" i="3" s="1"/>
  <c r="B498" i="5" s="1"/>
  <c r="B447" i="3"/>
  <c r="H447" i="3" s="1"/>
  <c r="B448" i="3"/>
  <c r="H448" i="3" s="1"/>
  <c r="B449" i="3"/>
  <c r="H449" i="3" s="1"/>
  <c r="B79" i="5" s="1"/>
  <c r="B450" i="3"/>
  <c r="H450" i="3" s="1"/>
  <c r="B80" i="5" s="1"/>
  <c r="B451" i="3"/>
  <c r="H451" i="3" s="1"/>
  <c r="B452" i="3"/>
  <c r="H452" i="3" s="1"/>
  <c r="B453" i="3"/>
  <c r="H453" i="3" s="1"/>
  <c r="B454" i="3"/>
  <c r="H454" i="3" s="1"/>
  <c r="B455" i="3"/>
  <c r="H455" i="3" s="1"/>
  <c r="B456" i="3"/>
  <c r="H456" i="3" s="1"/>
  <c r="B457" i="3"/>
  <c r="H457" i="3" s="1"/>
  <c r="B84" i="5" s="1"/>
  <c r="B458" i="3"/>
  <c r="H458" i="3" s="1"/>
  <c r="B502" i="5" s="1"/>
  <c r="B459" i="3"/>
  <c r="H459" i="3" s="1"/>
  <c r="B503" i="5" s="1"/>
  <c r="B460" i="3"/>
  <c r="H460" i="3" s="1"/>
  <c r="B461" i="3"/>
  <c r="H461" i="3" s="1"/>
  <c r="B462" i="3"/>
  <c r="H462" i="3" s="1"/>
  <c r="B463" i="3"/>
  <c r="H463" i="3" s="1"/>
  <c r="B464" i="3"/>
  <c r="H464" i="3" s="1"/>
  <c r="B6" i="5" s="1"/>
  <c r="B465" i="3"/>
  <c r="H465" i="3" s="1"/>
  <c r="B7" i="5" s="1"/>
  <c r="B466" i="3"/>
  <c r="H466" i="3" s="1"/>
  <c r="B89" i="5" s="1"/>
  <c r="B467" i="3"/>
  <c r="H467" i="3" s="1"/>
  <c r="B504" i="5" s="1"/>
  <c r="B468" i="3"/>
  <c r="H468" i="3" s="1"/>
  <c r="B469" i="3"/>
  <c r="H469" i="3" s="1"/>
  <c r="B470" i="3"/>
  <c r="H470" i="3" s="1"/>
  <c r="B506" i="5" s="1"/>
  <c r="B471" i="3"/>
  <c r="H471" i="3" s="1"/>
  <c r="B472" i="3"/>
  <c r="H472" i="3" s="1"/>
  <c r="B3" i="5" s="1"/>
  <c r="B473" i="3"/>
  <c r="H473" i="3" s="1"/>
  <c r="B92" i="5" s="1"/>
  <c r="B474" i="3"/>
  <c r="H474" i="3" s="1"/>
  <c r="B93" i="5" s="1"/>
  <c r="B475" i="3"/>
  <c r="H475" i="3" s="1"/>
  <c r="B94" i="5" s="1"/>
  <c r="B476" i="3"/>
  <c r="H476" i="3" s="1"/>
  <c r="B477" i="3"/>
  <c r="H477" i="3" s="1"/>
  <c r="B478" i="3"/>
  <c r="H478" i="3" s="1"/>
  <c r="B479" i="3"/>
  <c r="H479" i="3" s="1"/>
  <c r="B480" i="3"/>
  <c r="H480" i="3" s="1"/>
  <c r="B481" i="3"/>
  <c r="H481" i="3" s="1"/>
  <c r="B8" i="5" s="1"/>
  <c r="B482" i="3"/>
  <c r="H482" i="3" s="1"/>
  <c r="B483" i="3"/>
  <c r="H483" i="3" s="1"/>
  <c r="B96" i="5" s="1"/>
  <c r="B484" i="3"/>
  <c r="H484" i="3" s="1"/>
  <c r="B485" i="3"/>
  <c r="H485" i="3" s="1"/>
  <c r="B513" i="5" s="1"/>
  <c r="B486" i="3"/>
  <c r="H486" i="3" s="1"/>
  <c r="B487" i="3"/>
  <c r="H487" i="3" s="1"/>
  <c r="B515" i="5" s="1"/>
  <c r="B488" i="3"/>
  <c r="H488" i="3" s="1"/>
  <c r="B489" i="3"/>
  <c r="H489" i="3" s="1"/>
  <c r="B97" i="5" s="1"/>
  <c r="B490" i="3"/>
  <c r="H490" i="3" s="1"/>
  <c r="B9" i="5" s="1"/>
  <c r="B491" i="3"/>
  <c r="H491" i="3" s="1"/>
  <c r="B98" i="5" s="1"/>
  <c r="B492" i="3"/>
  <c r="H492" i="3" s="1"/>
  <c r="B493" i="3"/>
  <c r="H493" i="3" s="1"/>
  <c r="B494" i="3"/>
  <c r="H494" i="3" s="1"/>
  <c r="B495" i="3"/>
  <c r="H495" i="3" s="1"/>
  <c r="B101" i="5" s="1"/>
  <c r="B496" i="3"/>
  <c r="H496" i="3" s="1"/>
  <c r="B518" i="5" s="1"/>
  <c r="B497" i="3"/>
  <c r="H497" i="3" s="1"/>
  <c r="B498" i="3"/>
  <c r="H498" i="3" s="1"/>
  <c r="B519" i="5" s="1"/>
  <c r="B499" i="3"/>
  <c r="H499" i="3" s="1"/>
  <c r="B520" i="5" s="1"/>
  <c r="B500" i="3"/>
  <c r="H500" i="3" s="1"/>
  <c r="B501" i="3"/>
  <c r="H501" i="3" s="1"/>
  <c r="B502" i="3"/>
  <c r="H502" i="3" s="1"/>
  <c r="B503" i="3"/>
  <c r="H503" i="3" s="1"/>
  <c r="B524" i="5" s="1"/>
  <c r="B504" i="3"/>
  <c r="H504" i="3" s="1"/>
  <c r="B525" i="5" s="1"/>
  <c r="B505" i="3"/>
  <c r="H505" i="3" s="1"/>
  <c r="B506" i="3"/>
  <c r="H506" i="3" s="1"/>
  <c r="B103" i="5" s="1"/>
  <c r="B507" i="3"/>
  <c r="H507" i="3" s="1"/>
  <c r="B527" i="5" s="1"/>
  <c r="B508" i="3"/>
  <c r="H508" i="3" s="1"/>
  <c r="B528" i="5" s="1"/>
  <c r="B509" i="3"/>
  <c r="H509" i="3" s="1"/>
  <c r="B529" i="5" s="1"/>
  <c r="B510" i="3"/>
  <c r="H510" i="3" s="1"/>
  <c r="B530" i="5" s="1"/>
  <c r="B511" i="3"/>
  <c r="H511" i="3" s="1"/>
  <c r="B531" i="5" s="1"/>
  <c r="B512" i="3"/>
  <c r="H512" i="3" s="1"/>
  <c r="B104" i="5" s="1"/>
  <c r="B513" i="3"/>
  <c r="H513" i="3" s="1"/>
  <c r="B532" i="5" s="1"/>
  <c r="B514" i="3"/>
  <c r="H514" i="3" s="1"/>
  <c r="B533" i="5" s="1"/>
  <c r="B515" i="3"/>
  <c r="H515" i="3" s="1"/>
  <c r="B534" i="5" s="1"/>
  <c r="B516" i="3"/>
  <c r="H516" i="3" s="1"/>
  <c r="B517" i="3"/>
  <c r="H517" i="3" s="1"/>
  <c r="B518" i="3"/>
  <c r="H518" i="3" s="1"/>
  <c r="B519" i="3"/>
  <c r="H519" i="3" s="1"/>
  <c r="B520" i="3"/>
  <c r="H520" i="3" s="1"/>
  <c r="B521" i="3"/>
  <c r="H521" i="3" s="1"/>
  <c r="B539" i="5" s="1"/>
  <c r="B522" i="3"/>
  <c r="H522" i="3" s="1"/>
  <c r="B540" i="5" s="1"/>
  <c r="B523" i="3"/>
  <c r="H523" i="3" s="1"/>
  <c r="B541" i="5" s="1"/>
  <c r="B524" i="3"/>
  <c r="H524" i="3" s="1"/>
  <c r="B542" i="5" s="1"/>
  <c r="B525" i="3"/>
  <c r="H525" i="3" s="1"/>
  <c r="B526" i="3"/>
  <c r="H526" i="3" s="1"/>
  <c r="B544" i="5" s="1"/>
  <c r="B527" i="3"/>
  <c r="H527" i="3" s="1"/>
  <c r="B528" i="3"/>
  <c r="H528" i="3" s="1"/>
  <c r="B529" i="3"/>
  <c r="H529" i="3" s="1"/>
  <c r="B106" i="5" s="1"/>
  <c r="B530" i="3"/>
  <c r="H530" i="3" s="1"/>
  <c r="B547" i="5" s="1"/>
  <c r="B531" i="3"/>
  <c r="H531" i="3" s="1"/>
  <c r="B548" i="5" s="1"/>
  <c r="B532" i="3"/>
  <c r="H532" i="3" s="1"/>
  <c r="B533" i="3"/>
  <c r="H533" i="3" s="1"/>
  <c r="B534" i="3"/>
  <c r="H534" i="3" s="1"/>
  <c r="B535" i="3"/>
  <c r="H535" i="3" s="1"/>
  <c r="B536" i="3"/>
  <c r="H536" i="3" s="1"/>
  <c r="B537" i="3"/>
  <c r="H537" i="3" s="1"/>
  <c r="B538" i="3"/>
  <c r="H538" i="3" s="1"/>
  <c r="B552" i="5" s="1"/>
  <c r="B539" i="3"/>
  <c r="H539" i="3" s="1"/>
  <c r="B553" i="5" s="1"/>
  <c r="B540" i="3"/>
  <c r="H540" i="3" s="1"/>
  <c r="B541" i="3"/>
  <c r="H541" i="3" s="1"/>
  <c r="B110" i="5" s="1"/>
  <c r="B542" i="3"/>
  <c r="H542" i="3" s="1"/>
  <c r="B111" i="5" s="1"/>
  <c r="B543" i="3"/>
  <c r="H543" i="3" s="1"/>
  <c r="B544" i="3"/>
  <c r="H544" i="3" s="1"/>
  <c r="B545" i="3"/>
  <c r="H545" i="3" s="1"/>
  <c r="B557" i="5" s="1"/>
  <c r="B546" i="3"/>
  <c r="H546" i="3" s="1"/>
  <c r="B558" i="5" s="1"/>
  <c r="B547" i="3"/>
  <c r="H547" i="3" s="1"/>
  <c r="B112" i="5" s="1"/>
  <c r="B548" i="3"/>
  <c r="H548" i="3" s="1"/>
  <c r="B549" i="3"/>
  <c r="H549" i="3" s="1"/>
  <c r="B550" i="3"/>
  <c r="H550" i="3" s="1"/>
  <c r="B551" i="3"/>
  <c r="H551" i="3" s="1"/>
  <c r="B562" i="5" s="1"/>
  <c r="B552" i="3"/>
  <c r="H552" i="3" s="1"/>
  <c r="B553" i="3"/>
  <c r="H553" i="3" s="1"/>
  <c r="B554" i="3"/>
  <c r="H554" i="3" s="1"/>
  <c r="B565" i="5" s="1"/>
  <c r="B555" i="3"/>
  <c r="H555" i="3" s="1"/>
  <c r="B566" i="5" s="1"/>
  <c r="B556" i="3"/>
  <c r="H556" i="3" s="1"/>
  <c r="B557" i="3"/>
  <c r="H557" i="3" s="1"/>
  <c r="B558" i="3"/>
  <c r="H558" i="3" s="1"/>
  <c r="B114" i="5" s="1"/>
  <c r="B559" i="3"/>
  <c r="H559" i="3" s="1"/>
  <c r="B568" i="5" s="1"/>
  <c r="B560" i="3"/>
  <c r="H560" i="3" s="1"/>
  <c r="B561" i="3"/>
  <c r="H561" i="3" s="1"/>
  <c r="B569" i="5" s="1"/>
  <c r="B562" i="3"/>
  <c r="H562" i="3" s="1"/>
  <c r="B570" i="5" s="1"/>
  <c r="B563" i="3"/>
  <c r="H563" i="3" s="1"/>
  <c r="B571" i="5" s="1"/>
  <c r="B564" i="3"/>
  <c r="H564" i="3" s="1"/>
  <c r="B572" i="5" s="1"/>
  <c r="B565" i="3"/>
  <c r="H565" i="3" s="1"/>
  <c r="B566" i="3"/>
  <c r="H566" i="3" s="1"/>
  <c r="B573" i="5" s="1"/>
  <c r="B567" i="3"/>
  <c r="H567" i="3" s="1"/>
  <c r="B568" i="3"/>
  <c r="H568" i="3" s="1"/>
  <c r="B575" i="5" s="1"/>
  <c r="B569" i="3"/>
  <c r="H569" i="3" s="1"/>
  <c r="B576" i="5" s="1"/>
  <c r="B570" i="3"/>
  <c r="H570" i="3" s="1"/>
  <c r="B577" i="5" s="1"/>
  <c r="B571" i="3"/>
  <c r="H571" i="3" s="1"/>
  <c r="B578" i="5" s="1"/>
  <c r="B572" i="3"/>
  <c r="H572" i="3" s="1"/>
  <c r="B573" i="3"/>
  <c r="H573" i="3" s="1"/>
  <c r="B580" i="5" s="1"/>
  <c r="B574" i="3"/>
  <c r="H574" i="3" s="1"/>
  <c r="B581" i="5" s="1"/>
  <c r="B575" i="3"/>
  <c r="H575" i="3" s="1"/>
  <c r="B576" i="3"/>
  <c r="H576" i="3" s="1"/>
  <c r="B583" i="5" s="1"/>
  <c r="B577" i="3"/>
  <c r="H577" i="3" s="1"/>
  <c r="B584" i="5" s="1"/>
  <c r="B578" i="3"/>
  <c r="H578" i="3" s="1"/>
  <c r="B585" i="5" s="1"/>
  <c r="B579" i="3"/>
  <c r="H579" i="3" s="1"/>
  <c r="B586" i="5" s="1"/>
  <c r="B580" i="3"/>
  <c r="H580" i="3" s="1"/>
  <c r="B581" i="3"/>
  <c r="H581" i="3" s="1"/>
  <c r="B588" i="5" s="1"/>
  <c r="B582" i="3"/>
  <c r="H582" i="3" s="1"/>
  <c r="B117" i="5" s="1"/>
  <c r="B583" i="3"/>
  <c r="H583" i="3" s="1"/>
  <c r="B584" i="3"/>
  <c r="H584" i="3" s="1"/>
  <c r="B585" i="3"/>
  <c r="H585" i="3" s="1"/>
  <c r="B118" i="5" s="1"/>
  <c r="B586" i="3"/>
  <c r="H586" i="3" s="1"/>
  <c r="B591" i="5" s="1"/>
  <c r="B587" i="3"/>
  <c r="H587" i="3" s="1"/>
  <c r="B592" i="5" s="1"/>
  <c r="B588" i="3"/>
  <c r="H588" i="3" s="1"/>
  <c r="B589" i="3"/>
  <c r="H589" i="3" s="1"/>
  <c r="B590" i="3"/>
  <c r="H590" i="3" s="1"/>
  <c r="B594" i="5" s="1"/>
  <c r="B591" i="3"/>
  <c r="H591" i="3" s="1"/>
  <c r="B120" i="5" s="1"/>
  <c r="B592" i="3"/>
  <c r="H592" i="3" s="1"/>
  <c r="B593" i="3"/>
  <c r="H593" i="3" s="1"/>
  <c r="B596" i="5" s="1"/>
  <c r="B594" i="3"/>
  <c r="H594" i="3" s="1"/>
  <c r="B597" i="5" s="1"/>
  <c r="B595" i="3"/>
  <c r="H595" i="3" s="1"/>
  <c r="B598" i="5" s="1"/>
  <c r="B596" i="3"/>
  <c r="H596" i="3" s="1"/>
  <c r="B121" i="5" s="1"/>
  <c r="B597" i="3"/>
  <c r="H597" i="3" s="1"/>
  <c r="B598" i="3"/>
  <c r="H598" i="3" s="1"/>
  <c r="B122" i="5" s="1"/>
  <c r="B599" i="3"/>
  <c r="H599" i="3" s="1"/>
  <c r="B123" i="5" s="1"/>
  <c r="B600" i="3"/>
  <c r="H600" i="3" s="1"/>
  <c r="B10" i="5" s="1"/>
  <c r="B601" i="3"/>
  <c r="H601" i="3" s="1"/>
  <c r="B600" i="5" s="1"/>
  <c r="B602" i="3"/>
  <c r="H602" i="3" s="1"/>
  <c r="B601" i="5" s="1"/>
  <c r="B603" i="3"/>
  <c r="H603" i="3" s="1"/>
  <c r="B602" i="5" s="1"/>
  <c r="B604" i="3"/>
  <c r="H604" i="3" s="1"/>
  <c r="B124" i="5" s="1"/>
  <c r="B605" i="3"/>
  <c r="H605" i="3" s="1"/>
  <c r="B603" i="5" s="1"/>
  <c r="B606" i="3"/>
  <c r="H606" i="3" s="1"/>
  <c r="B604" i="5" s="1"/>
  <c r="B607" i="3"/>
  <c r="H607" i="3" s="1"/>
  <c r="B125" i="5" s="1"/>
  <c r="B608" i="3"/>
  <c r="H608" i="3" s="1"/>
  <c r="B609" i="3"/>
  <c r="H609" i="3" s="1"/>
  <c r="B126" i="5" s="1"/>
  <c r="B610" i="3"/>
  <c r="H610" i="3" s="1"/>
  <c r="B606" i="5" s="1"/>
  <c r="B611" i="3"/>
  <c r="H611" i="3" s="1"/>
  <c r="B607" i="5" s="1"/>
  <c r="B612" i="3"/>
  <c r="H612" i="3" s="1"/>
  <c r="B613" i="3"/>
  <c r="H613" i="3" s="1"/>
  <c r="B614" i="3"/>
  <c r="H614" i="3" s="1"/>
  <c r="B128" i="5" s="1"/>
  <c r="B615" i="3"/>
  <c r="H615" i="3" s="1"/>
  <c r="B616" i="3"/>
  <c r="H616" i="3" s="1"/>
  <c r="B617" i="3"/>
  <c r="H617" i="3" s="1"/>
  <c r="B610" i="5" s="1"/>
  <c r="B618" i="3"/>
  <c r="H618" i="3" s="1"/>
  <c r="B720" i="5" s="1"/>
  <c r="B619" i="3"/>
  <c r="H619" i="3" s="1"/>
  <c r="B611" i="5" s="1"/>
  <c r="B620" i="3"/>
  <c r="H620" i="3" s="1"/>
  <c r="B621" i="3"/>
  <c r="H621" i="3" s="1"/>
  <c r="B622" i="3"/>
  <c r="H622" i="3" s="1"/>
  <c r="B130" i="5" s="1"/>
  <c r="B623" i="3"/>
  <c r="H623" i="3" s="1"/>
  <c r="B624" i="3"/>
  <c r="H624" i="3" s="1"/>
  <c r="B625" i="3"/>
  <c r="H625" i="3" s="1"/>
  <c r="B626" i="3"/>
  <c r="H626" i="3" s="1"/>
  <c r="B615" i="5" s="1"/>
  <c r="B627" i="3"/>
  <c r="H627" i="3" s="1"/>
  <c r="B131" i="5" s="1"/>
  <c r="B628" i="3"/>
  <c r="H628" i="3" s="1"/>
  <c r="B616" i="5" s="1"/>
  <c r="B629" i="3"/>
  <c r="H629" i="3" s="1"/>
  <c r="B630" i="3"/>
  <c r="H630" i="3" s="1"/>
  <c r="B618" i="5" s="1"/>
  <c r="B631" i="3"/>
  <c r="H631" i="3" s="1"/>
  <c r="B632" i="3"/>
  <c r="H632" i="3" s="1"/>
  <c r="B633" i="3"/>
  <c r="H633" i="3" s="1"/>
  <c r="B132" i="5" s="1"/>
  <c r="B634" i="3"/>
  <c r="H634" i="3" s="1"/>
  <c r="B133" i="5" s="1"/>
  <c r="B635" i="3"/>
  <c r="H635" i="3" s="1"/>
  <c r="B636" i="3"/>
  <c r="H636" i="3" s="1"/>
  <c r="B637" i="3"/>
  <c r="H637" i="3" s="1"/>
  <c r="B135" i="5" s="1"/>
  <c r="B638" i="3"/>
  <c r="H638" i="3" s="1"/>
  <c r="B12" i="5" s="1"/>
  <c r="B639" i="3"/>
  <c r="H639" i="3" s="1"/>
  <c r="B640" i="3"/>
  <c r="H640" i="3" s="1"/>
  <c r="B641" i="3"/>
  <c r="H641" i="3" s="1"/>
  <c r="B136" i="5" s="1"/>
  <c r="B642" i="3"/>
  <c r="H642" i="3" s="1"/>
  <c r="B15" i="5" s="1"/>
  <c r="B643" i="3"/>
  <c r="H643" i="3" s="1"/>
  <c r="B4" i="5" s="1"/>
  <c r="B644" i="3"/>
  <c r="H644" i="3" s="1"/>
  <c r="B645" i="3"/>
  <c r="H645" i="3" s="1"/>
  <c r="B646" i="3"/>
  <c r="H646" i="3" s="1"/>
  <c r="B138" i="5" s="1"/>
  <c r="B647" i="3"/>
  <c r="H647" i="3" s="1"/>
  <c r="B648" i="3"/>
  <c r="H648" i="3" s="1"/>
  <c r="B649" i="3"/>
  <c r="H649" i="3" s="1"/>
  <c r="B140" i="5" s="1"/>
  <c r="B650" i="3"/>
  <c r="H650" i="3" s="1"/>
  <c r="B622" i="5" s="1"/>
  <c r="B651" i="3"/>
  <c r="H651" i="3" s="1"/>
  <c r="B652" i="3"/>
  <c r="H652" i="3" s="1"/>
  <c r="B653" i="3"/>
  <c r="H653" i="3" s="1"/>
  <c r="B142" i="5" s="1"/>
  <c r="B654" i="3"/>
  <c r="H654" i="3" s="1"/>
  <c r="B143" i="5" s="1"/>
  <c r="B655" i="3"/>
  <c r="H655" i="3" s="1"/>
  <c r="B144" i="5" s="1"/>
  <c r="B656" i="3"/>
  <c r="H656" i="3" s="1"/>
  <c r="B657" i="3"/>
  <c r="H657" i="3" s="1"/>
  <c r="B658" i="3"/>
  <c r="H658" i="3" s="1"/>
  <c r="B625" i="5" s="1"/>
  <c r="B659" i="3"/>
  <c r="H659" i="3" s="1"/>
  <c r="B626" i="5" s="1"/>
  <c r="B660" i="3"/>
  <c r="H660" i="3" s="1"/>
  <c r="B661" i="3"/>
  <c r="H661" i="3" s="1"/>
  <c r="B662" i="3"/>
  <c r="H662" i="3" s="1"/>
  <c r="B627" i="5" s="1"/>
  <c r="B663" i="3"/>
  <c r="H663" i="3" s="1"/>
  <c r="B146" i="5" s="1"/>
  <c r="B664" i="3"/>
  <c r="H664" i="3" s="1"/>
  <c r="B665" i="3"/>
  <c r="H665" i="3" s="1"/>
  <c r="B147" i="5" s="1"/>
  <c r="B666" i="3"/>
  <c r="H666" i="3" s="1"/>
  <c r="B725" i="5" s="1"/>
  <c r="B667" i="3"/>
  <c r="H667" i="3" s="1"/>
  <c r="B668" i="3"/>
  <c r="H668" i="3" s="1"/>
  <c r="B669" i="3"/>
  <c r="H669" i="3" s="1"/>
  <c r="B670" i="3"/>
  <c r="H670" i="3" s="1"/>
  <c r="B671" i="3"/>
  <c r="H671" i="3" s="1"/>
  <c r="B729" i="5" s="1"/>
  <c r="B672" i="3"/>
  <c r="H672" i="3" s="1"/>
  <c r="B630" i="5" s="1"/>
  <c r="B673" i="3"/>
  <c r="H673" i="3" s="1"/>
  <c r="B148" i="5" s="1"/>
  <c r="B674" i="3"/>
  <c r="H674" i="3" s="1"/>
  <c r="B631" i="5" s="1"/>
  <c r="B675" i="3"/>
  <c r="H675" i="3" s="1"/>
  <c r="B632" i="5" s="1"/>
  <c r="B676" i="3"/>
  <c r="H676" i="3" s="1"/>
  <c r="B149" i="5" s="1"/>
  <c r="B677" i="3"/>
  <c r="H677" i="3" s="1"/>
  <c r="B678" i="3"/>
  <c r="H678" i="3" s="1"/>
  <c r="B679" i="3"/>
  <c r="H679" i="3" s="1"/>
  <c r="B680" i="3"/>
  <c r="H680" i="3" s="1"/>
  <c r="B681" i="3"/>
  <c r="H681" i="3" s="1"/>
  <c r="B633" i="5" s="1"/>
  <c r="B682" i="3"/>
  <c r="H682" i="3" s="1"/>
  <c r="B634" i="5" s="1"/>
  <c r="B683" i="3"/>
  <c r="H683" i="3" s="1"/>
  <c r="B635" i="5" s="1"/>
  <c r="B684" i="3"/>
  <c r="H684" i="3" s="1"/>
  <c r="B636" i="5" s="1"/>
  <c r="B685" i="3"/>
  <c r="H685" i="3" s="1"/>
  <c r="B686" i="3"/>
  <c r="H686" i="3" s="1"/>
  <c r="B638" i="5" s="1"/>
  <c r="B687" i="3"/>
  <c r="H687" i="3" s="1"/>
  <c r="B639" i="5" s="1"/>
  <c r="B688" i="3"/>
  <c r="H688" i="3" s="1"/>
  <c r="B689" i="3"/>
  <c r="H689" i="3" s="1"/>
  <c r="B732" i="5" s="1"/>
  <c r="B690" i="3"/>
  <c r="H690" i="3" s="1"/>
  <c r="B733" i="5" s="1"/>
  <c r="B691" i="3"/>
  <c r="H691" i="3" s="1"/>
  <c r="B640" i="5" s="1"/>
  <c r="B692" i="3"/>
  <c r="H692" i="3" s="1"/>
  <c r="B153" i="5" s="1"/>
  <c r="B693" i="3"/>
  <c r="H693" i="3" s="1"/>
  <c r="B641" i="5" s="1"/>
  <c r="B694" i="3"/>
  <c r="H694" i="3" s="1"/>
  <c r="B695" i="3"/>
  <c r="H695" i="3" s="1"/>
  <c r="B696" i="3"/>
  <c r="H696" i="3" s="1"/>
  <c r="B735" i="5" s="1"/>
  <c r="B697" i="3"/>
  <c r="H697" i="3" s="1"/>
  <c r="B643" i="5" s="1"/>
  <c r="B698" i="3"/>
  <c r="H698" i="3" s="1"/>
  <c r="B644" i="5" s="1"/>
  <c r="B699" i="3"/>
  <c r="H699" i="3" s="1"/>
  <c r="B700" i="3"/>
  <c r="H700" i="3" s="1"/>
  <c r="B17" i="5" s="1"/>
  <c r="B701" i="3"/>
  <c r="H701" i="3" s="1"/>
  <c r="B702" i="3"/>
  <c r="H702" i="3" s="1"/>
  <c r="B646" i="5" s="1"/>
  <c r="B703" i="3"/>
  <c r="H703" i="3" s="1"/>
  <c r="B704" i="3"/>
  <c r="H704" i="3" s="1"/>
  <c r="B647" i="5" s="1"/>
  <c r="B705" i="3"/>
  <c r="H705" i="3" s="1"/>
  <c r="B736" i="5" s="1"/>
  <c r="B706" i="3"/>
  <c r="H706" i="3" s="1"/>
  <c r="B648" i="5" s="1"/>
  <c r="B707" i="3"/>
  <c r="H707" i="3" s="1"/>
  <c r="B155" i="5" s="1"/>
  <c r="B708" i="3"/>
  <c r="H708" i="3" s="1"/>
  <c r="B709" i="3"/>
  <c r="H709" i="3" s="1"/>
  <c r="B710" i="3"/>
  <c r="H710" i="3" s="1"/>
  <c r="B711" i="3"/>
  <c r="H711" i="3" s="1"/>
  <c r="B712" i="3"/>
  <c r="H712" i="3" s="1"/>
  <c r="B651" i="5" s="1"/>
  <c r="B713" i="3"/>
  <c r="H713" i="3" s="1"/>
  <c r="B652" i="5" s="1"/>
  <c r="B714" i="3"/>
  <c r="H714" i="3" s="1"/>
  <c r="B156" i="5" s="1"/>
  <c r="B715" i="3"/>
  <c r="H715" i="3" s="1"/>
  <c r="B157" i="5" s="1"/>
  <c r="B716" i="3"/>
  <c r="H716" i="3" s="1"/>
  <c r="B653" i="5" s="1"/>
  <c r="B717" i="3"/>
  <c r="H717" i="3" s="1"/>
  <c r="B718" i="3"/>
  <c r="H718" i="3" s="1"/>
  <c r="B158" i="5" s="1"/>
  <c r="B719" i="3"/>
  <c r="H719" i="3" s="1"/>
  <c r="B19" i="5" s="1"/>
  <c r="B720" i="3"/>
  <c r="H720" i="3" s="1"/>
  <c r="B721" i="3"/>
  <c r="H721" i="3" s="1"/>
  <c r="B655" i="5" s="1"/>
  <c r="B722" i="3"/>
  <c r="H722" i="3" s="1"/>
  <c r="B656" i="5" s="1"/>
  <c r="B723" i="3"/>
  <c r="H723" i="3" s="1"/>
  <c r="B657" i="5" s="1"/>
  <c r="B724" i="3"/>
  <c r="H724" i="3" s="1"/>
  <c r="B725" i="3"/>
  <c r="H725" i="3" s="1"/>
  <c r="B739" i="5" s="1"/>
  <c r="B726" i="3"/>
  <c r="H726" i="3" s="1"/>
  <c r="B740" i="5" s="1"/>
  <c r="B727" i="3"/>
  <c r="H727" i="3" s="1"/>
  <c r="B659" i="5" s="1"/>
  <c r="B728" i="3"/>
  <c r="H728" i="3" s="1"/>
  <c r="B729" i="3"/>
  <c r="H729" i="3" s="1"/>
  <c r="B742" i="5" s="1"/>
  <c r="B730" i="3"/>
  <c r="H730" i="3" s="1"/>
  <c r="B743" i="5" s="1"/>
  <c r="B731" i="3"/>
  <c r="H731" i="3" s="1"/>
  <c r="B660" i="5" s="1"/>
  <c r="B732" i="3"/>
  <c r="H732" i="3" s="1"/>
  <c r="B661" i="5" s="1"/>
  <c r="B733" i="3"/>
  <c r="H733" i="3" s="1"/>
  <c r="B662" i="5" s="1"/>
  <c r="B734" i="3"/>
  <c r="H734" i="3" s="1"/>
  <c r="B735" i="3"/>
  <c r="H735" i="3" s="1"/>
  <c r="B736" i="3"/>
  <c r="H736" i="3" s="1"/>
  <c r="B737" i="3"/>
  <c r="H737" i="3" s="1"/>
  <c r="B666" i="5" s="1"/>
  <c r="B738" i="3"/>
  <c r="H738" i="3" s="1"/>
  <c r="B744" i="5" s="1"/>
  <c r="B739" i="3"/>
  <c r="H739" i="3" s="1"/>
  <c r="B667" i="5" s="1"/>
  <c r="B740" i="3"/>
  <c r="H740" i="3" s="1"/>
  <c r="B741" i="3"/>
  <c r="H741" i="3" s="1"/>
  <c r="B742" i="3"/>
  <c r="H742" i="3" s="1"/>
  <c r="B670" i="5" s="1"/>
  <c r="B743" i="3"/>
  <c r="H743" i="3" s="1"/>
  <c r="B671" i="5" s="1"/>
  <c r="B744" i="3"/>
  <c r="H744" i="3" s="1"/>
  <c r="B745" i="5" s="1"/>
  <c r="B745" i="3"/>
  <c r="H745" i="3" s="1"/>
  <c r="B746" i="3"/>
  <c r="H746" i="3" s="1"/>
  <c r="B673" i="5" s="1"/>
  <c r="B747" i="3"/>
  <c r="H747" i="3" s="1"/>
  <c r="B674" i="5" s="1"/>
  <c r="B748" i="3"/>
  <c r="H748" i="3" s="1"/>
  <c r="B746" i="5" s="1"/>
  <c r="B749" i="3"/>
  <c r="H749" i="3" s="1"/>
  <c r="B750" i="3"/>
  <c r="H750" i="3" s="1"/>
  <c r="B751" i="3"/>
  <c r="H751" i="3" s="1"/>
  <c r="B159" i="5" s="1"/>
  <c r="B752" i="3"/>
  <c r="H752" i="3" s="1"/>
  <c r="B753" i="3"/>
  <c r="H753" i="3" s="1"/>
  <c r="B677" i="5" s="1"/>
  <c r="B254" i="3"/>
  <c r="H254" i="3" s="1"/>
  <c r="B358" i="5" s="1"/>
  <c r="B368" i="3"/>
  <c r="H368" i="3" s="1"/>
  <c r="B445" i="5" s="1"/>
  <c r="B387" i="3"/>
  <c r="H387" i="3" s="1"/>
  <c r="B713" i="5" s="1"/>
  <c r="B420" i="3"/>
  <c r="H420" i="3" s="1"/>
  <c r="B423" i="3"/>
  <c r="H423" i="3" s="1"/>
  <c r="B481" i="5" s="1"/>
  <c r="B425" i="3"/>
  <c r="H425" i="3" s="1"/>
  <c r="B2" i="3"/>
  <c r="H2" i="3" s="1"/>
  <c r="B21" i="5" s="1"/>
  <c r="D152" i="5" l="1"/>
  <c r="E192" i="4"/>
  <c r="D630" i="5"/>
  <c r="E696" i="4"/>
  <c r="D628" i="5"/>
  <c r="E691" i="4"/>
  <c r="D624" i="5"/>
  <c r="E688" i="4"/>
  <c r="D621" i="5"/>
  <c r="E686" i="4"/>
  <c r="D14" i="5"/>
  <c r="E162" i="4"/>
  <c r="D613" i="5"/>
  <c r="E679" i="4"/>
  <c r="D605" i="5"/>
  <c r="E670" i="4"/>
  <c r="D10" i="5"/>
  <c r="E152" i="4"/>
  <c r="D595" i="5"/>
  <c r="E262" i="4"/>
  <c r="D583" i="5"/>
  <c r="E653" i="4"/>
  <c r="D575" i="5"/>
  <c r="E645" i="4"/>
  <c r="D115" i="5"/>
  <c r="E254" i="4"/>
  <c r="D563" i="5"/>
  <c r="E632" i="4"/>
  <c r="D556" i="5"/>
  <c r="E625" i="4"/>
  <c r="D109" i="5"/>
  <c r="E249" i="4"/>
  <c r="D546" i="5"/>
  <c r="E245" i="4"/>
  <c r="D525" i="5"/>
  <c r="E600" i="4"/>
  <c r="E594" i="4"/>
  <c r="D511" i="5"/>
  <c r="E589" i="4"/>
  <c r="D3" i="5"/>
  <c r="E145" i="4"/>
  <c r="D6" i="5"/>
  <c r="E150" i="4"/>
  <c r="D83" i="5"/>
  <c r="E220" i="4"/>
  <c r="D75" i="5"/>
  <c r="E563" i="4"/>
  <c r="D482" i="5"/>
  <c r="E559" i="4"/>
  <c r="D431" i="5"/>
  <c r="E109" i="4"/>
  <c r="D414" i="5"/>
  <c r="E497" i="4"/>
  <c r="D377" i="5"/>
  <c r="E469" i="4"/>
  <c r="D344" i="5"/>
  <c r="E63" i="4"/>
  <c r="D196" i="5"/>
  <c r="E340" i="4"/>
  <c r="D671" i="5"/>
  <c r="D664" i="5"/>
  <c r="D19" i="5"/>
  <c r="D738" i="5"/>
  <c r="D639" i="5"/>
  <c r="D730" i="5"/>
  <c r="E699" i="4"/>
  <c r="D729" i="5"/>
  <c r="E695" i="4"/>
  <c r="D146" i="5"/>
  <c r="E191" i="4"/>
  <c r="D144" i="5"/>
  <c r="E282" i="4"/>
  <c r="D139" i="5"/>
  <c r="E685" i="4"/>
  <c r="D13" i="5"/>
  <c r="E154" i="4"/>
  <c r="D722" i="5"/>
  <c r="E678" i="4"/>
  <c r="D609" i="5"/>
  <c r="E673" i="4"/>
  <c r="D125" i="5"/>
  <c r="E669" i="4"/>
  <c r="D120" i="5"/>
  <c r="E261" i="4"/>
  <c r="D589" i="5"/>
  <c r="E659" i="4"/>
  <c r="D582" i="5"/>
  <c r="E652" i="4"/>
  <c r="D574" i="5"/>
  <c r="E644" i="4"/>
  <c r="D568" i="5"/>
  <c r="E637" i="4"/>
  <c r="D562" i="5"/>
  <c r="E631" i="4"/>
  <c r="D555" i="5"/>
  <c r="E624" i="4"/>
  <c r="D108" i="5"/>
  <c r="E248" i="4"/>
  <c r="D105" i="5"/>
  <c r="E183" i="4"/>
  <c r="D531" i="5"/>
  <c r="E242" i="4"/>
  <c r="D515" i="5"/>
  <c r="E593" i="4"/>
  <c r="D510" i="5"/>
  <c r="E588" i="4"/>
  <c r="D88" i="5"/>
  <c r="E582" i="4"/>
  <c r="D77" i="5"/>
  <c r="E219" i="4"/>
  <c r="D753" i="5"/>
  <c r="E562" i="4"/>
  <c r="D481" i="5"/>
  <c r="E558" i="4"/>
  <c r="D475" i="5"/>
  <c r="E552" i="4"/>
  <c r="D71" i="5"/>
  <c r="E533" i="4"/>
  <c r="D449" i="5"/>
  <c r="E522" i="4"/>
  <c r="D413" i="5"/>
  <c r="E496" i="4"/>
  <c r="D693" i="5"/>
  <c r="E95" i="4"/>
  <c r="D351" i="5"/>
  <c r="E67" i="4"/>
  <c r="D325" i="5"/>
  <c r="E49" i="4"/>
  <c r="D59" i="5"/>
  <c r="E419" i="4"/>
  <c r="D226" i="5"/>
  <c r="E363" i="4"/>
  <c r="D188" i="5"/>
  <c r="E332" i="4"/>
  <c r="E741" i="4"/>
  <c r="E164" i="4"/>
  <c r="E693" i="4"/>
  <c r="E277" i="4"/>
  <c r="E677" i="4"/>
  <c r="E667" i="4"/>
  <c r="E650" i="4"/>
  <c r="E623" i="4"/>
  <c r="E243" i="4"/>
  <c r="E233" i="4"/>
  <c r="E135" i="4"/>
  <c r="E550" i="4"/>
  <c r="E104" i="4"/>
  <c r="E92" i="4"/>
  <c r="D638" i="5"/>
  <c r="D117" i="5"/>
  <c r="E255" i="4"/>
  <c r="D581" i="5"/>
  <c r="E651" i="4"/>
  <c r="D573" i="5"/>
  <c r="E643" i="4"/>
  <c r="D561" i="5"/>
  <c r="E630" i="4"/>
  <c r="D550" i="5"/>
  <c r="E618" i="4"/>
  <c r="D537" i="5"/>
  <c r="E609" i="4"/>
  <c r="D530" i="5"/>
  <c r="E603" i="4"/>
  <c r="D517" i="5"/>
  <c r="E596" i="4"/>
  <c r="D514" i="5"/>
  <c r="E592" i="4"/>
  <c r="D509" i="5"/>
  <c r="E587" i="4"/>
  <c r="D87" i="5"/>
  <c r="E222" i="4"/>
  <c r="D718" i="5"/>
  <c r="E127" i="4"/>
  <c r="D474" i="5"/>
  <c r="E551" i="4"/>
  <c r="D464" i="5"/>
  <c r="E539" i="4"/>
  <c r="D453" i="5"/>
  <c r="E122" i="4"/>
  <c r="D448" i="5"/>
  <c r="E521" i="4"/>
  <c r="D397" i="5"/>
  <c r="E89" i="4"/>
  <c r="D261" i="5"/>
  <c r="E392" i="4"/>
  <c r="D662" i="5"/>
  <c r="D739" i="5"/>
  <c r="D137" i="5"/>
  <c r="D119" i="5"/>
  <c r="D536" i="5"/>
  <c r="D522" i="5"/>
  <c r="D90" i="5"/>
  <c r="D429" i="5"/>
  <c r="E106" i="4"/>
  <c r="D396" i="5"/>
  <c r="E480" i="4"/>
  <c r="D302" i="5"/>
  <c r="E40" i="4"/>
  <c r="D237" i="5"/>
  <c r="E373" i="4"/>
  <c r="D218" i="5"/>
  <c r="E358" i="4"/>
  <c r="D45" i="5"/>
  <c r="E202" i="4"/>
  <c r="E194" i="4"/>
  <c r="E747" i="4"/>
  <c r="E739" i="4"/>
  <c r="E726" i="4"/>
  <c r="E715" i="4"/>
  <c r="E712" i="4"/>
  <c r="E705" i="4"/>
  <c r="E290" i="4"/>
  <c r="E139" i="4"/>
  <c r="E279" i="4"/>
  <c r="E187" i="4"/>
  <c r="E665" i="4"/>
  <c r="E257" i="4"/>
  <c r="E647" i="4"/>
  <c r="E634" i="4"/>
  <c r="E620" i="4"/>
  <c r="E612" i="4"/>
  <c r="E148" i="4"/>
  <c r="E226" i="4"/>
  <c r="E579" i="4"/>
  <c r="E560" i="4"/>
  <c r="E218" i="4"/>
  <c r="E524" i="4"/>
  <c r="E492" i="4"/>
  <c r="D728" i="5"/>
  <c r="E694" i="4"/>
  <c r="D627" i="5"/>
  <c r="J627" i="5" s="1"/>
  <c r="K627" i="5" s="1"/>
  <c r="E284" i="4"/>
  <c r="D143" i="5"/>
  <c r="E687" i="4"/>
  <c r="D12" i="5"/>
  <c r="E161" i="4"/>
  <c r="D618" i="5"/>
  <c r="E683" i="4"/>
  <c r="D130" i="5"/>
  <c r="E272" i="4"/>
  <c r="D128" i="5"/>
  <c r="E270" i="4"/>
  <c r="D604" i="5"/>
  <c r="E668" i="4"/>
  <c r="D594" i="5"/>
  <c r="E260" i="4"/>
  <c r="D111" i="5"/>
  <c r="E250" i="4"/>
  <c r="D544" i="5"/>
  <c r="E615" i="4"/>
  <c r="D523" i="5"/>
  <c r="E238" i="4"/>
  <c r="D82" i="5"/>
  <c r="E576" i="4"/>
  <c r="D491" i="5"/>
  <c r="E567" i="4"/>
  <c r="D750" i="5"/>
  <c r="E532" i="4"/>
  <c r="D436" i="5"/>
  <c r="E512" i="4"/>
  <c r="D705" i="5"/>
  <c r="J705" i="5" s="1"/>
  <c r="K705" i="5" s="1"/>
  <c r="E107" i="4"/>
  <c r="D425" i="5"/>
  <c r="E506" i="4"/>
  <c r="D402" i="5"/>
  <c r="E483" i="4"/>
  <c r="D87" i="4"/>
  <c r="D46" i="5"/>
  <c r="E324" i="4"/>
  <c r="D165" i="5"/>
  <c r="E308" i="4"/>
  <c r="D661" i="5"/>
  <c r="D658" i="5"/>
  <c r="D153" i="5"/>
  <c r="D636" i="5"/>
  <c r="D149" i="5"/>
  <c r="E286" i="4"/>
  <c r="D726" i="5"/>
  <c r="E141" i="4"/>
  <c r="D141" i="5"/>
  <c r="E189" i="4"/>
  <c r="D16" i="5"/>
  <c r="E155" i="4"/>
  <c r="D134" i="5"/>
  <c r="E160" i="4"/>
  <c r="D608" i="5"/>
  <c r="E268" i="4"/>
  <c r="D124" i="5"/>
  <c r="E266" i="4"/>
  <c r="D593" i="5"/>
  <c r="E661" i="4"/>
  <c r="D572" i="5"/>
  <c r="E641" i="4"/>
  <c r="D107" i="5"/>
  <c r="E247" i="4"/>
  <c r="D542" i="5"/>
  <c r="E614" i="4"/>
  <c r="D528" i="5"/>
  <c r="E240" i="4"/>
  <c r="D521" i="5"/>
  <c r="E599" i="4"/>
  <c r="D512" i="5"/>
  <c r="E590" i="4"/>
  <c r="D505" i="5"/>
  <c r="E584" i="4"/>
  <c r="D85" i="5"/>
  <c r="E581" i="4"/>
  <c r="D500" i="5"/>
  <c r="E574" i="4"/>
  <c r="D496" i="5"/>
  <c r="E572" i="4"/>
  <c r="D489" i="5"/>
  <c r="E565" i="4"/>
  <c r="D484" i="5"/>
  <c r="E130" i="4"/>
  <c r="D479" i="5"/>
  <c r="E556" i="4"/>
  <c r="D473" i="5"/>
  <c r="E549" i="4"/>
  <c r="D711" i="5"/>
  <c r="E121" i="4"/>
  <c r="D423" i="5"/>
  <c r="E505" i="4"/>
  <c r="D700" i="5"/>
  <c r="E100" i="4"/>
  <c r="D411" i="5"/>
  <c r="E493" i="4"/>
  <c r="D400" i="5"/>
  <c r="E481" i="4"/>
  <c r="D252" i="5"/>
  <c r="E383" i="4"/>
  <c r="D50" i="5"/>
  <c r="E172" i="4"/>
  <c r="E733" i="4"/>
  <c r="E722" i="4"/>
  <c r="E704" i="4"/>
  <c r="E692" i="4"/>
  <c r="E278" i="4"/>
  <c r="E186" i="4"/>
  <c r="E137" i="4"/>
  <c r="E601" i="4"/>
  <c r="E570" i="4"/>
  <c r="E128" i="4"/>
  <c r="E217" i="4"/>
  <c r="E534" i="4"/>
  <c r="E523" i="4"/>
  <c r="E114" i="4"/>
  <c r="E437" i="4"/>
  <c r="E210" i="4"/>
  <c r="D657" i="5"/>
  <c r="J657" i="5" s="1"/>
  <c r="K657" i="5" s="1"/>
  <c r="D157" i="5"/>
  <c r="D155" i="5"/>
  <c r="D645" i="5"/>
  <c r="D640" i="5"/>
  <c r="D629" i="5"/>
  <c r="D626" i="5"/>
  <c r="D623" i="5"/>
  <c r="D4" i="5"/>
  <c r="D131" i="5"/>
  <c r="D611" i="5"/>
  <c r="J611" i="5" s="1"/>
  <c r="K611" i="5" s="1"/>
  <c r="D602" i="5"/>
  <c r="D586" i="5"/>
  <c r="D571" i="5"/>
  <c r="D553" i="5"/>
  <c r="D541" i="5"/>
  <c r="D534" i="5"/>
  <c r="D527" i="5"/>
  <c r="D98" i="5"/>
  <c r="D96" i="5"/>
  <c r="D504" i="5"/>
  <c r="D472" i="5"/>
  <c r="D466" i="5"/>
  <c r="D416" i="5"/>
  <c r="D689" i="5"/>
  <c r="D347" i="5"/>
  <c r="D5" i="5"/>
  <c r="D192" i="5"/>
  <c r="D167" i="5"/>
  <c r="E301" i="4"/>
  <c r="E745" i="4"/>
  <c r="E737" i="4"/>
  <c r="E156" i="4"/>
  <c r="E721" i="4"/>
  <c r="E714" i="4"/>
  <c r="E710" i="4"/>
  <c r="E703" i="4"/>
  <c r="E138" i="4"/>
  <c r="E684" i="4"/>
  <c r="E274" i="4"/>
  <c r="E663" i="4"/>
  <c r="E642" i="4"/>
  <c r="E251" i="4"/>
  <c r="E608" i="4"/>
  <c r="E237" i="4"/>
  <c r="E224" i="4"/>
  <c r="E566" i="4"/>
  <c r="E110" i="4"/>
  <c r="E102" i="4"/>
  <c r="E485" i="4"/>
  <c r="D498" i="5"/>
  <c r="E136" i="4"/>
  <c r="D743" i="5"/>
  <c r="D156" i="5"/>
  <c r="D720" i="5"/>
  <c r="D606" i="5"/>
  <c r="D597" i="5"/>
  <c r="D103" i="5"/>
  <c r="D80" i="5"/>
  <c r="D460" i="5"/>
  <c r="D712" i="5"/>
  <c r="D70" i="5"/>
  <c r="D432" i="5"/>
  <c r="D421" i="5"/>
  <c r="D393" i="5"/>
  <c r="D385" i="5"/>
  <c r="D688" i="5"/>
  <c r="D367" i="5"/>
  <c r="D360" i="5"/>
  <c r="D354" i="5"/>
  <c r="D341" i="5"/>
  <c r="D333" i="5"/>
  <c r="D328" i="5"/>
  <c r="D300" i="5"/>
  <c r="D295" i="5"/>
  <c r="D280" i="5"/>
  <c r="D272" i="5"/>
  <c r="D257" i="5"/>
  <c r="D250" i="5"/>
  <c r="D242" i="5"/>
  <c r="D234" i="5"/>
  <c r="D228" i="5"/>
  <c r="D52" i="5"/>
  <c r="D215" i="5"/>
  <c r="D51" i="5"/>
  <c r="D203" i="5"/>
  <c r="D198" i="5"/>
  <c r="D183" i="5"/>
  <c r="D176" i="5"/>
  <c r="D42" i="5"/>
  <c r="D39" i="5"/>
  <c r="D35" i="5"/>
  <c r="D27" i="5"/>
  <c r="E744" i="4"/>
  <c r="E299" i="4"/>
  <c r="E166" i="4"/>
  <c r="E720" i="4"/>
  <c r="E709" i="4"/>
  <c r="E702" i="4"/>
  <c r="E283" i="4"/>
  <c r="E2" i="4"/>
  <c r="E273" i="4"/>
  <c r="E656" i="4"/>
  <c r="E640" i="4"/>
  <c r="E606" i="4"/>
  <c r="E231" i="4"/>
  <c r="E583" i="4"/>
  <c r="E543" i="4"/>
  <c r="E511" i="4"/>
  <c r="E499" i="4"/>
  <c r="E85" i="4"/>
  <c r="E465" i="4"/>
  <c r="E444" i="4"/>
  <c r="E432" i="4"/>
  <c r="E410" i="4"/>
  <c r="E388" i="4"/>
  <c r="E21" i="4"/>
  <c r="E345" i="4"/>
  <c r="E8" i="4"/>
  <c r="E196" i="4"/>
  <c r="D677" i="5"/>
  <c r="D672" i="5"/>
  <c r="D666" i="5"/>
  <c r="D655" i="5"/>
  <c r="D736" i="5"/>
  <c r="D643" i="5"/>
  <c r="D633" i="5"/>
  <c r="D614" i="5"/>
  <c r="D126" i="5"/>
  <c r="D118" i="5"/>
  <c r="D576" i="5"/>
  <c r="D564" i="5"/>
  <c r="D539" i="5"/>
  <c r="D532" i="5"/>
  <c r="D102" i="5"/>
  <c r="D97" i="5"/>
  <c r="D84" i="5"/>
  <c r="D446" i="5"/>
  <c r="D403" i="5"/>
  <c r="D384" i="5"/>
  <c r="D378" i="5"/>
  <c r="D373" i="5"/>
  <c r="E77" i="4"/>
  <c r="D66" i="5"/>
  <c r="E459" i="4"/>
  <c r="D353" i="5"/>
  <c r="E452" i="4"/>
  <c r="D345" i="5"/>
  <c r="E64" i="4"/>
  <c r="D683" i="5"/>
  <c r="E57" i="4"/>
  <c r="D319" i="5"/>
  <c r="E436" i="4"/>
  <c r="D311" i="5"/>
  <c r="E431" i="4"/>
  <c r="D306" i="5"/>
  <c r="E426" i="4"/>
  <c r="D294" i="5"/>
  <c r="E38" i="4"/>
  <c r="D287" i="5"/>
  <c r="E409" i="4"/>
  <c r="D279" i="5"/>
  <c r="E406" i="4"/>
  <c r="D271" i="5"/>
  <c r="E400" i="4"/>
  <c r="D256" i="5"/>
  <c r="E387" i="4"/>
  <c r="D249" i="5"/>
  <c r="E380" i="4"/>
  <c r="D241" i="5"/>
  <c r="E26" i="4"/>
  <c r="D681" i="5"/>
  <c r="E370" i="4"/>
  <c r="D227" i="5"/>
  <c r="E365" i="4"/>
  <c r="D222" i="5"/>
  <c r="E360" i="4"/>
  <c r="D214" i="5"/>
  <c r="E355" i="4"/>
  <c r="D207" i="5"/>
  <c r="E204" i="4"/>
  <c r="D202" i="5"/>
  <c r="E344" i="4"/>
  <c r="D197" i="5"/>
  <c r="E341" i="4"/>
  <c r="D182" i="5"/>
  <c r="E326" i="4"/>
  <c r="D38" i="5"/>
  <c r="E171" i="4"/>
  <c r="D34" i="5"/>
  <c r="E170" i="4"/>
  <c r="E751" i="4"/>
  <c r="E298" i="4"/>
  <c r="E730" i="4"/>
  <c r="E294" i="4"/>
  <c r="E708" i="4"/>
  <c r="E292" i="4"/>
  <c r="E690" i="4"/>
  <c r="E149" i="4"/>
  <c r="E681" i="4"/>
  <c r="E671" i="4"/>
  <c r="E264" i="4"/>
  <c r="E655" i="4"/>
  <c r="E639" i="4"/>
  <c r="E627" i="4"/>
  <c r="E246" i="4"/>
  <c r="E605" i="4"/>
  <c r="E235" i="4"/>
  <c r="E230" i="4"/>
  <c r="E223" i="4"/>
  <c r="E179" i="4"/>
  <c r="E132" i="4"/>
  <c r="E126" i="4"/>
  <c r="E542" i="4"/>
  <c r="E528" i="4"/>
  <c r="E519" i="4"/>
  <c r="E99" i="4"/>
  <c r="E473" i="4"/>
  <c r="D488" i="4"/>
  <c r="E488" i="4" s="1"/>
  <c r="D600" i="5"/>
  <c r="D551" i="5"/>
  <c r="D366" i="5"/>
  <c r="D175" i="5"/>
  <c r="D746" i="5"/>
  <c r="D653" i="5"/>
  <c r="D737" i="5"/>
  <c r="D145" i="5"/>
  <c r="D616" i="5"/>
  <c r="D721" i="5"/>
  <c r="D121" i="5"/>
  <c r="D587" i="5"/>
  <c r="D579" i="5"/>
  <c r="D567" i="5"/>
  <c r="D559" i="5"/>
  <c r="D554" i="5"/>
  <c r="D535" i="5"/>
  <c r="D99" i="5"/>
  <c r="D507" i="5"/>
  <c r="D467" i="5"/>
  <c r="D462" i="5"/>
  <c r="D457" i="5"/>
  <c r="D447" i="5"/>
  <c r="D441" i="5"/>
  <c r="D434" i="5"/>
  <c r="D704" i="5"/>
  <c r="D405" i="5"/>
  <c r="D395" i="5"/>
  <c r="D387" i="5"/>
  <c r="D379" i="5"/>
  <c r="D374" i="5"/>
  <c r="D369" i="5"/>
  <c r="D361" i="5"/>
  <c r="D356" i="5"/>
  <c r="D348" i="5"/>
  <c r="D342" i="5"/>
  <c r="D335" i="5"/>
  <c r="D329" i="5"/>
  <c r="D322" i="5"/>
  <c r="D314" i="5"/>
  <c r="D309" i="5"/>
  <c r="D301" i="5"/>
  <c r="D297" i="5"/>
  <c r="D290" i="5"/>
  <c r="D282" i="5"/>
  <c r="D274" i="5"/>
  <c r="D267" i="5"/>
  <c r="D259" i="5"/>
  <c r="D244" i="5"/>
  <c r="D236" i="5"/>
  <c r="D229" i="5"/>
  <c r="D223" i="5"/>
  <c r="D217" i="5"/>
  <c r="D209" i="5"/>
  <c r="D200" i="5"/>
  <c r="D193" i="5"/>
  <c r="D185" i="5"/>
  <c r="D178" i="5"/>
  <c r="D44" i="5"/>
  <c r="D168" i="5"/>
  <c r="D163" i="5"/>
  <c r="D29" i="5"/>
  <c r="D23" i="5"/>
  <c r="D68" i="5"/>
  <c r="D191" i="5"/>
  <c r="D106" i="5"/>
  <c r="D706" i="5"/>
  <c r="D340" i="5"/>
  <c r="D190" i="5"/>
  <c r="D674" i="5"/>
  <c r="J674" i="5" s="1"/>
  <c r="K674" i="5" s="1"/>
  <c r="D667" i="5"/>
  <c r="D660" i="5"/>
  <c r="D635" i="5"/>
  <c r="D632" i="5"/>
  <c r="D607" i="5"/>
  <c r="D598" i="5"/>
  <c r="D592" i="5"/>
  <c r="D578" i="5"/>
  <c r="D566" i="5"/>
  <c r="D112" i="5"/>
  <c r="D548" i="5"/>
  <c r="D520" i="5"/>
  <c r="D94" i="5"/>
  <c r="D499" i="5"/>
  <c r="D495" i="5"/>
  <c r="D488" i="5"/>
  <c r="D478" i="5"/>
  <c r="D713" i="5"/>
  <c r="D710" i="5"/>
  <c r="D707" i="5"/>
  <c r="D440" i="5"/>
  <c r="D428" i="5"/>
  <c r="D422" i="5"/>
  <c r="D410" i="5"/>
  <c r="D695" i="5"/>
  <c r="D399" i="5"/>
  <c r="D394" i="5"/>
  <c r="D386" i="5"/>
  <c r="D69" i="5"/>
  <c r="D368" i="5"/>
  <c r="D67" i="5"/>
  <c r="D355" i="5"/>
  <c r="D65" i="5"/>
  <c r="D334" i="5"/>
  <c r="D321" i="5"/>
  <c r="D313" i="5"/>
  <c r="D308" i="5"/>
  <c r="D61" i="5"/>
  <c r="D296" i="5"/>
  <c r="D289" i="5"/>
  <c r="D281" i="5"/>
  <c r="D273" i="5"/>
  <c r="D266" i="5"/>
  <c r="D258" i="5"/>
  <c r="D251" i="5"/>
  <c r="D243" i="5"/>
  <c r="D235" i="5"/>
  <c r="D55" i="5"/>
  <c r="D53" i="5"/>
  <c r="D216" i="5"/>
  <c r="D208" i="5"/>
  <c r="D49" i="5"/>
  <c r="D199" i="5"/>
  <c r="D184" i="5"/>
  <c r="D177" i="5"/>
  <c r="D43" i="5"/>
  <c r="D36" i="5"/>
  <c r="D28" i="5"/>
  <c r="D22" i="5"/>
  <c r="D346" i="5"/>
  <c r="D307" i="5"/>
  <c r="D8" i="5"/>
  <c r="D392" i="5"/>
  <c r="D60" i="5"/>
  <c r="D171" i="5"/>
  <c r="D741" i="5"/>
  <c r="D620" i="5"/>
  <c r="D129" i="5"/>
  <c r="D590" i="5"/>
  <c r="D538" i="5"/>
  <c r="D104" i="5"/>
  <c r="D518" i="5"/>
  <c r="D78" i="5"/>
  <c r="D493" i="5"/>
  <c r="D717" i="5"/>
  <c r="D470" i="5"/>
  <c r="D715" i="5"/>
  <c r="D2" i="5"/>
  <c r="D455" i="5"/>
  <c r="D709" i="5"/>
  <c r="D445" i="5"/>
  <c r="D438" i="5"/>
  <c r="D427" i="5"/>
  <c r="D701" i="5"/>
  <c r="D408" i="5"/>
  <c r="D694" i="5"/>
  <c r="D398" i="5"/>
  <c r="D391" i="5"/>
  <c r="D383" i="5"/>
  <c r="D686" i="5"/>
  <c r="J686" i="5" s="1"/>
  <c r="K686" i="5" s="1"/>
  <c r="D365" i="5"/>
  <c r="D359" i="5"/>
  <c r="D352" i="5"/>
  <c r="D339" i="5"/>
  <c r="D682" i="5"/>
  <c r="D326" i="5"/>
  <c r="D318" i="5"/>
  <c r="D64" i="5"/>
  <c r="D305" i="5"/>
  <c r="D299" i="5"/>
  <c r="D57" i="5"/>
  <c r="D286" i="5"/>
  <c r="D278" i="5"/>
  <c r="D747" i="5"/>
  <c r="D263" i="5"/>
  <c r="D255" i="5"/>
  <c r="D248" i="5"/>
  <c r="D240" i="5"/>
  <c r="D233" i="5"/>
  <c r="D54" i="5"/>
  <c r="D221" i="5"/>
  <c r="D213" i="5"/>
  <c r="D206" i="5"/>
  <c r="D48" i="5"/>
  <c r="D189" i="5"/>
  <c r="D181" i="5"/>
  <c r="D174" i="5"/>
  <c r="D41" i="5"/>
  <c r="D166" i="5"/>
  <c r="D33" i="5"/>
  <c r="D161" i="5"/>
  <c r="D631" i="5"/>
  <c r="D76" i="5"/>
  <c r="D327" i="5"/>
  <c r="D264" i="5"/>
  <c r="D162" i="5"/>
  <c r="D159" i="5"/>
  <c r="D659" i="5"/>
  <c r="D154" i="5"/>
  <c r="D619" i="5"/>
  <c r="D123" i="5"/>
  <c r="D545" i="5"/>
  <c r="D524" i="5"/>
  <c r="D101" i="5"/>
  <c r="D91" i="5"/>
  <c r="D501" i="5"/>
  <c r="D492" i="5"/>
  <c r="D73" i="5"/>
  <c r="D714" i="5"/>
  <c r="D454" i="5"/>
  <c r="D444" i="5"/>
  <c r="D437" i="5"/>
  <c r="D430" i="5"/>
  <c r="D426" i="5"/>
  <c r="D419" i="5"/>
  <c r="D696" i="5"/>
  <c r="D690" i="5"/>
  <c r="D390" i="5"/>
  <c r="D382" i="5"/>
  <c r="D376" i="5"/>
  <c r="D372" i="5"/>
  <c r="D364" i="5"/>
  <c r="D748" i="5"/>
  <c r="D343" i="5"/>
  <c r="D338" i="5"/>
  <c r="D332" i="5"/>
  <c r="D317" i="5"/>
  <c r="D63" i="5"/>
  <c r="D304" i="5"/>
  <c r="D293" i="5"/>
  <c r="D285" i="5"/>
  <c r="D277" i="5"/>
  <c r="D270" i="5"/>
  <c r="D262" i="5"/>
  <c r="D254" i="5"/>
  <c r="D247" i="5"/>
  <c r="D239" i="5"/>
  <c r="D232" i="5"/>
  <c r="D220" i="5"/>
  <c r="D212" i="5"/>
  <c r="D205" i="5"/>
  <c r="D679" i="5"/>
  <c r="D195" i="5"/>
  <c r="D180" i="5"/>
  <c r="D173" i="5"/>
  <c r="D170" i="5"/>
  <c r="D37" i="5"/>
  <c r="D32" i="5"/>
  <c r="D26" i="5"/>
  <c r="D670" i="5"/>
  <c r="D158" i="5"/>
  <c r="D650" i="5"/>
  <c r="D151" i="5"/>
  <c r="D138" i="5"/>
  <c r="D122" i="5"/>
  <c r="D114" i="5"/>
  <c r="D506" i="5"/>
  <c r="D485" i="5"/>
  <c r="D469" i="5"/>
  <c r="D443" i="5"/>
  <c r="D418" i="5"/>
  <c r="D698" i="5"/>
  <c r="D407" i="5"/>
  <c r="D381" i="5"/>
  <c r="D687" i="5"/>
  <c r="D371" i="5"/>
  <c r="D363" i="5"/>
  <c r="D358" i="5"/>
  <c r="D350" i="5"/>
  <c r="D685" i="5"/>
  <c r="D337" i="5"/>
  <c r="D331" i="5"/>
  <c r="D324" i="5"/>
  <c r="D316" i="5"/>
  <c r="D62" i="5"/>
  <c r="D303" i="5"/>
  <c r="D58" i="5"/>
  <c r="D292" i="5"/>
  <c r="D284" i="5"/>
  <c r="D276" i="5"/>
  <c r="D269" i="5"/>
  <c r="D253" i="5"/>
  <c r="D246" i="5"/>
  <c r="D238" i="5"/>
  <c r="D231" i="5"/>
  <c r="D225" i="5"/>
  <c r="D219" i="5"/>
  <c r="J219" i="5" s="1"/>
  <c r="K219" i="5" s="1"/>
  <c r="D211" i="5"/>
  <c r="D680" i="5"/>
  <c r="D201" i="5"/>
  <c r="D194" i="5"/>
  <c r="D187" i="5"/>
  <c r="D172" i="5"/>
  <c r="D40" i="5"/>
  <c r="D31" i="5"/>
  <c r="D25" i="5"/>
  <c r="D92" i="5"/>
  <c r="D456" i="5"/>
  <c r="D675" i="5"/>
  <c r="D654" i="5"/>
  <c r="D641" i="5"/>
  <c r="D637" i="5"/>
  <c r="D150" i="5"/>
  <c r="D142" i="5"/>
  <c r="D127" i="5"/>
  <c r="D588" i="5"/>
  <c r="D113" i="5"/>
  <c r="D549" i="5"/>
  <c r="D529" i="5"/>
  <c r="D513" i="5"/>
  <c r="D508" i="5"/>
  <c r="D86" i="5"/>
  <c r="D81" i="5"/>
  <c r="D752" i="5"/>
  <c r="D480" i="5"/>
  <c r="D468" i="5"/>
  <c r="D463" i="5"/>
  <c r="D458" i="5"/>
  <c r="D452" i="5"/>
  <c r="D708" i="5"/>
  <c r="D442" i="5"/>
  <c r="D435" i="5"/>
  <c r="D424" i="5"/>
  <c r="D417" i="5"/>
  <c r="D412" i="5"/>
  <c r="D406" i="5"/>
  <c r="D401" i="5"/>
  <c r="D388" i="5"/>
  <c r="D380" i="5"/>
  <c r="D375" i="5"/>
  <c r="D370" i="5"/>
  <c r="D362" i="5"/>
  <c r="D357" i="5"/>
  <c r="D349" i="5"/>
  <c r="D684" i="5"/>
  <c r="D336" i="5"/>
  <c r="D330" i="5"/>
  <c r="D323" i="5"/>
  <c r="D315" i="5"/>
  <c r="D310" i="5"/>
  <c r="D298" i="5"/>
  <c r="D291" i="5"/>
  <c r="D283" i="5"/>
  <c r="D275" i="5"/>
  <c r="D268" i="5"/>
  <c r="D260" i="5"/>
  <c r="D56" i="5"/>
  <c r="D245" i="5"/>
  <c r="D230" i="5"/>
  <c r="D224" i="5"/>
  <c r="D210" i="5"/>
  <c r="D204" i="5"/>
  <c r="D678" i="5"/>
  <c r="D47" i="5"/>
  <c r="D186" i="5"/>
  <c r="D179" i="5"/>
  <c r="D169" i="5"/>
  <c r="D164" i="5"/>
  <c r="D30" i="5"/>
  <c r="D24" i="5"/>
  <c r="F623" i="5"/>
  <c r="D651" i="6"/>
  <c r="F129" i="5"/>
  <c r="D616" i="6"/>
  <c r="F33" i="5"/>
  <c r="D16" i="6"/>
  <c r="D744" i="6"/>
  <c r="D704" i="6"/>
  <c r="D425" i="6"/>
  <c r="F611" i="5"/>
  <c r="D619" i="6"/>
  <c r="F582" i="5"/>
  <c r="D575" i="6"/>
  <c r="F701" i="5"/>
  <c r="D336" i="6"/>
  <c r="D570" i="6"/>
  <c r="D186" i="6"/>
  <c r="F686" i="5"/>
  <c r="D272" i="6"/>
  <c r="D702" i="6"/>
  <c r="D694" i="6"/>
  <c r="F525" i="5"/>
  <c r="J525" i="5" s="1"/>
  <c r="K525" i="5" s="1"/>
  <c r="D504" i="6"/>
  <c r="F224" i="5"/>
  <c r="D101" i="6"/>
  <c r="D670" i="6"/>
  <c r="D498" i="6"/>
  <c r="D350" i="6"/>
  <c r="D265" i="6"/>
  <c r="D94" i="6"/>
  <c r="D30" i="6"/>
  <c r="D9" i="6"/>
  <c r="F435" i="5"/>
  <c r="D357" i="6"/>
  <c r="F626" i="5"/>
  <c r="D659" i="6"/>
  <c r="F297" i="5"/>
  <c r="J297" i="5" s="1"/>
  <c r="K297" i="5" s="1"/>
  <c r="D180" i="6"/>
  <c r="D747" i="6"/>
  <c r="D723" i="6"/>
  <c r="B95" i="5"/>
  <c r="B335" i="5"/>
  <c r="B193" i="5"/>
  <c r="B29" i="5"/>
  <c r="B751" i="5"/>
  <c r="J751" i="5" s="1"/>
  <c r="K751" i="5" s="1"/>
  <c r="B259" i="5"/>
  <c r="B672" i="5"/>
  <c r="B723" i="5"/>
  <c r="B614" i="5"/>
  <c r="B564" i="5"/>
  <c r="B551" i="5"/>
  <c r="B526" i="5"/>
  <c r="B102" i="5"/>
  <c r="B434" i="5"/>
  <c r="B405" i="5"/>
  <c r="B387" i="5"/>
  <c r="B369" i="5"/>
  <c r="B355" i="5"/>
  <c r="B334" i="5"/>
  <c r="B5" i="5"/>
  <c r="B321" i="5"/>
  <c r="B313" i="5"/>
  <c r="B296" i="5"/>
  <c r="B728" i="5"/>
  <c r="B561" i="5"/>
  <c r="B550" i="5"/>
  <c r="B537" i="5"/>
  <c r="B676" i="5"/>
  <c r="B151" i="5"/>
  <c r="B663" i="5"/>
  <c r="B650" i="5"/>
  <c r="B734" i="5"/>
  <c r="J734" i="5" s="1"/>
  <c r="K734" i="5" s="1"/>
  <c r="B645" i="5"/>
  <c r="B629" i="5"/>
  <c r="B623" i="5"/>
  <c r="B11" i="5"/>
  <c r="B499" i="5"/>
  <c r="B717" i="5"/>
  <c r="B2" i="5"/>
  <c r="B449" i="5"/>
  <c r="B363" i="5"/>
  <c r="B357" i="5"/>
  <c r="B349" i="5"/>
  <c r="B336" i="5"/>
  <c r="B678" i="5"/>
  <c r="B186" i="5"/>
  <c r="B179" i="5"/>
  <c r="B30" i="5"/>
  <c r="B24" i="5"/>
  <c r="B243" i="5"/>
  <c r="B55" i="5"/>
  <c r="B53" i="5"/>
  <c r="B216" i="5"/>
  <c r="B208" i="5"/>
  <c r="B49" i="5"/>
  <c r="B192" i="5"/>
  <c r="B167" i="5"/>
  <c r="B22" i="5"/>
  <c r="B160" i="5"/>
  <c r="B665" i="5"/>
  <c r="B741" i="5"/>
  <c r="B20" i="5"/>
  <c r="B731" i="5"/>
  <c r="B152" i="5"/>
  <c r="B628" i="5"/>
  <c r="B624" i="5"/>
  <c r="B621" i="5"/>
  <c r="B14" i="5"/>
  <c r="B620" i="5"/>
  <c r="B613" i="5"/>
  <c r="B129" i="5"/>
  <c r="B595" i="5"/>
  <c r="B590" i="5"/>
  <c r="B115" i="5"/>
  <c r="B563" i="5"/>
  <c r="B556" i="5"/>
  <c r="B109" i="5"/>
  <c r="B546" i="5"/>
  <c r="B538" i="5"/>
  <c r="B516" i="5"/>
  <c r="B83" i="5"/>
  <c r="B78" i="5"/>
  <c r="B718" i="5"/>
  <c r="B716" i="5"/>
  <c r="B468" i="5"/>
  <c r="B463" i="5"/>
  <c r="B458" i="5"/>
  <c r="B711" i="5"/>
  <c r="B440" i="5"/>
  <c r="B428" i="5"/>
  <c r="B410" i="5"/>
  <c r="B695" i="5"/>
  <c r="B394" i="5"/>
  <c r="B689" i="5"/>
  <c r="B69" i="5"/>
  <c r="B368" i="5"/>
  <c r="B67" i="5"/>
  <c r="B346" i="5"/>
  <c r="B341" i="5"/>
  <c r="B328" i="5"/>
  <c r="B320" i="5"/>
  <c r="B312" i="5"/>
  <c r="B307" i="5"/>
  <c r="B300" i="5"/>
  <c r="B295" i="5"/>
  <c r="B288" i="5"/>
  <c r="B280" i="5"/>
  <c r="B272" i="5"/>
  <c r="B265" i="5"/>
  <c r="B257" i="5"/>
  <c r="B250" i="5"/>
  <c r="B242" i="5"/>
  <c r="B234" i="5"/>
  <c r="B52" i="5"/>
  <c r="B51" i="5"/>
  <c r="B203" i="5"/>
  <c r="B198" i="5"/>
  <c r="B191" i="5"/>
  <c r="B183" i="5"/>
  <c r="B176" i="5"/>
  <c r="B42" i="5"/>
  <c r="B39" i="5"/>
  <c r="B35" i="5"/>
  <c r="B27" i="5"/>
  <c r="B483" i="5"/>
  <c r="J483" i="5" s="1"/>
  <c r="K483" i="5" s="1"/>
  <c r="B664" i="5"/>
  <c r="B738" i="5"/>
  <c r="B154" i="5"/>
  <c r="B642" i="5"/>
  <c r="B730" i="5"/>
  <c r="B139" i="5"/>
  <c r="B13" i="5"/>
  <c r="B619" i="5"/>
  <c r="B722" i="5"/>
  <c r="B609" i="5"/>
  <c r="B589" i="5"/>
  <c r="B582" i="5"/>
  <c r="B574" i="5"/>
  <c r="B555" i="5"/>
  <c r="B108" i="5"/>
  <c r="B545" i="5"/>
  <c r="B105" i="5"/>
  <c r="B510" i="5"/>
  <c r="B91" i="5"/>
  <c r="B88" i="5"/>
  <c r="B501" i="5"/>
  <c r="B77" i="5"/>
  <c r="B753" i="5"/>
  <c r="J753" i="5" s="1"/>
  <c r="K753" i="5" s="1"/>
  <c r="B480" i="5"/>
  <c r="B473" i="5"/>
  <c r="B467" i="5"/>
  <c r="B457" i="5"/>
  <c r="B421" i="5"/>
  <c r="B699" i="5"/>
  <c r="B697" i="5"/>
  <c r="B404" i="5"/>
  <c r="B692" i="5"/>
  <c r="B393" i="5"/>
  <c r="B385" i="5"/>
  <c r="B688" i="5"/>
  <c r="B68" i="5"/>
  <c r="B367" i="5"/>
  <c r="B360" i="5"/>
  <c r="B353" i="5"/>
  <c r="B345" i="5"/>
  <c r="B340" i="5"/>
  <c r="B683" i="5"/>
  <c r="B319" i="5"/>
  <c r="B311" i="5"/>
  <c r="B306" i="5"/>
  <c r="B60" i="5"/>
  <c r="B294" i="5"/>
  <c r="B287" i="5"/>
  <c r="B279" i="5"/>
  <c r="B271" i="5"/>
  <c r="B264" i="5"/>
  <c r="B256" i="5"/>
  <c r="B249" i="5"/>
  <c r="B227" i="5"/>
  <c r="B214" i="5"/>
  <c r="B207" i="5"/>
  <c r="B202" i="5"/>
  <c r="B197" i="5"/>
  <c r="B190" i="5"/>
  <c r="B182" i="5"/>
  <c r="B175" i="5"/>
  <c r="B171" i="5"/>
  <c r="B38" i="5"/>
  <c r="B34" i="5"/>
  <c r="B162" i="5"/>
  <c r="B523" i="5"/>
  <c r="B509" i="5"/>
  <c r="B472" i="5"/>
  <c r="B712" i="5"/>
  <c r="B420" i="5"/>
  <c r="B339" i="5"/>
  <c r="B305" i="5"/>
  <c r="B278" i="5"/>
  <c r="B221" i="5"/>
  <c r="B174" i="5"/>
  <c r="B517" i="5"/>
  <c r="B87" i="5"/>
  <c r="B461" i="5"/>
  <c r="B749" i="5"/>
  <c r="J749" i="5" s="1"/>
  <c r="K749" i="5" s="1"/>
  <c r="B702" i="5"/>
  <c r="B378" i="5"/>
  <c r="B66" i="5"/>
  <c r="B682" i="5"/>
  <c r="B286" i="5"/>
  <c r="B213" i="5"/>
  <c r="B196" i="5"/>
  <c r="B181" i="5"/>
  <c r="B161" i="5"/>
  <c r="B479" i="5"/>
  <c r="B675" i="5"/>
  <c r="B669" i="5"/>
  <c r="B654" i="5"/>
  <c r="B649" i="5"/>
  <c r="B18" i="5"/>
  <c r="B637" i="5"/>
  <c r="B150" i="5"/>
  <c r="B727" i="5"/>
  <c r="B724" i="5"/>
  <c r="B137" i="5"/>
  <c r="B617" i="5"/>
  <c r="B612" i="5"/>
  <c r="B127" i="5"/>
  <c r="B599" i="5"/>
  <c r="B119" i="5"/>
  <c r="B116" i="5"/>
  <c r="B113" i="5"/>
  <c r="B560" i="5"/>
  <c r="B549" i="5"/>
  <c r="B543" i="5"/>
  <c r="B536" i="5"/>
  <c r="B522" i="5"/>
  <c r="B100" i="5"/>
  <c r="B508" i="5"/>
  <c r="B90" i="5"/>
  <c r="B86" i="5"/>
  <c r="B81" i="5"/>
  <c r="B497" i="5"/>
  <c r="B477" i="5"/>
  <c r="B471" i="5"/>
  <c r="B456" i="5"/>
  <c r="B450" i="5"/>
  <c r="B438" i="5"/>
  <c r="B431" i="5"/>
  <c r="B701" i="5"/>
  <c r="B408" i="5"/>
  <c r="B694" i="5"/>
  <c r="B398" i="5"/>
  <c r="B391" i="5"/>
  <c r="B383" i="5"/>
  <c r="B377" i="5"/>
  <c r="B365" i="5"/>
  <c r="B359" i="5"/>
  <c r="B351" i="5"/>
  <c r="B343" i="5"/>
  <c r="B338" i="5"/>
  <c r="B332" i="5"/>
  <c r="B325" i="5"/>
  <c r="B317" i="5"/>
  <c r="B63" i="5"/>
  <c r="B304" i="5"/>
  <c r="B59" i="5"/>
  <c r="B293" i="5"/>
  <c r="B285" i="5"/>
  <c r="B277" i="5"/>
  <c r="B270" i="5"/>
  <c r="B262" i="5"/>
  <c r="B254" i="5"/>
  <c r="B247" i="5"/>
  <c r="B239" i="5"/>
  <c r="B220" i="5"/>
  <c r="B212" i="5"/>
  <c r="B679" i="5"/>
  <c r="B195" i="5"/>
  <c r="B188" i="5"/>
  <c r="B180" i="5"/>
  <c r="B173" i="5"/>
  <c r="B170" i="5"/>
  <c r="B37" i="5"/>
  <c r="B32" i="5"/>
  <c r="B26" i="5"/>
  <c r="B514" i="5"/>
  <c r="B706" i="5"/>
  <c r="B415" i="5"/>
  <c r="B384" i="5"/>
  <c r="B318" i="5"/>
  <c r="B299" i="5"/>
  <c r="B248" i="5"/>
  <c r="B206" i="5"/>
  <c r="B41" i="5"/>
  <c r="B668" i="5"/>
  <c r="B658" i="5"/>
  <c r="B737" i="5"/>
  <c r="B726" i="5"/>
  <c r="B145" i="5"/>
  <c r="B141" i="5"/>
  <c r="B16" i="5"/>
  <c r="B134" i="5"/>
  <c r="B608" i="5"/>
  <c r="B593" i="5"/>
  <c r="B587" i="5"/>
  <c r="B579" i="5"/>
  <c r="B567" i="5"/>
  <c r="B559" i="5"/>
  <c r="B107" i="5"/>
  <c r="B535" i="5"/>
  <c r="B521" i="5"/>
  <c r="B99" i="5"/>
  <c r="B512" i="5"/>
  <c r="B507" i="5"/>
  <c r="B505" i="5"/>
  <c r="B85" i="5"/>
  <c r="B500" i="5"/>
  <c r="B496" i="5"/>
  <c r="B489" i="5"/>
  <c r="B484" i="5"/>
  <c r="B476" i="5"/>
  <c r="B465" i="5"/>
  <c r="B459" i="5"/>
  <c r="B455" i="5"/>
  <c r="B709" i="5"/>
  <c r="B437" i="5"/>
  <c r="B430" i="5"/>
  <c r="B426" i="5"/>
  <c r="B419" i="5"/>
  <c r="B693" i="5"/>
  <c r="B390" i="5"/>
  <c r="B382" i="5"/>
  <c r="B376" i="5"/>
  <c r="B372" i="5"/>
  <c r="B364" i="5"/>
  <c r="B748" i="5"/>
  <c r="J748" i="5" s="1"/>
  <c r="K748" i="5" s="1"/>
  <c r="B350" i="5"/>
  <c r="B685" i="5"/>
  <c r="B331" i="5"/>
  <c r="B324" i="5"/>
  <c r="B316" i="5"/>
  <c r="B62" i="5"/>
  <c r="B303" i="5"/>
  <c r="B58" i="5"/>
  <c r="B292" i="5"/>
  <c r="B284" i="5"/>
  <c r="B276" i="5"/>
  <c r="B261" i="5"/>
  <c r="B253" i="5"/>
  <c r="B238" i="5"/>
  <c r="B211" i="5"/>
  <c r="B680" i="5"/>
  <c r="B201" i="5"/>
  <c r="B194" i="5"/>
  <c r="B187" i="5"/>
  <c r="B46" i="5"/>
  <c r="B172" i="5"/>
  <c r="B40" i="5"/>
  <c r="B31" i="5"/>
  <c r="B25" i="5"/>
  <c r="J519" i="5"/>
  <c r="K519" i="5" s="1"/>
  <c r="J577" i="5"/>
  <c r="K577" i="5" s="1"/>
  <c r="C736" i="6"/>
  <c r="C608" i="6"/>
  <c r="C558" i="6"/>
  <c r="C485" i="6"/>
  <c r="C412" i="6"/>
  <c r="C250" i="6"/>
  <c r="C165" i="6"/>
  <c r="C80" i="6"/>
  <c r="J647" i="5"/>
  <c r="K647" i="5" s="1"/>
  <c r="J646" i="5"/>
  <c r="K646" i="5" s="1"/>
  <c r="J485" i="5"/>
  <c r="K485" i="5" s="1"/>
  <c r="C734" i="6"/>
  <c r="C691" i="6"/>
  <c r="C648" i="6"/>
  <c r="C606" i="6"/>
  <c r="C553" i="6"/>
  <c r="C480" i="6"/>
  <c r="C406" i="6"/>
  <c r="C329" i="6"/>
  <c r="C244" i="6"/>
  <c r="C158" i="6"/>
  <c r="C73" i="6"/>
  <c r="C726" i="6"/>
  <c r="C683" i="6"/>
  <c r="C640" i="6"/>
  <c r="C598" i="6"/>
  <c r="C540" i="6"/>
  <c r="C467" i="6"/>
  <c r="C394" i="6"/>
  <c r="C314" i="6"/>
  <c r="C229" i="6"/>
  <c r="C144" i="6"/>
  <c r="C58" i="6"/>
  <c r="C680" i="6"/>
  <c r="C638" i="6"/>
  <c r="C595" i="6"/>
  <c r="C534" i="6"/>
  <c r="C461" i="6"/>
  <c r="C388" i="6"/>
  <c r="C308" i="6"/>
  <c r="C222" i="6"/>
  <c r="C137" i="6"/>
  <c r="C52" i="6"/>
  <c r="C715" i="6"/>
  <c r="C672" i="6"/>
  <c r="C630" i="6"/>
  <c r="C587" i="6"/>
  <c r="C522" i="6"/>
  <c r="C449" i="6"/>
  <c r="C376" i="6"/>
  <c r="C293" i="6"/>
  <c r="C208" i="6"/>
  <c r="C122" i="6"/>
  <c r="C37" i="6"/>
  <c r="J435" i="5"/>
  <c r="K435" i="5" s="1"/>
  <c r="C712" i="6"/>
  <c r="C627" i="6"/>
  <c r="C584" i="6"/>
  <c r="C516" i="6"/>
  <c r="C443" i="6"/>
  <c r="C370" i="6"/>
  <c r="C286" i="6"/>
  <c r="C201" i="6"/>
  <c r="C116" i="6"/>
  <c r="C7" i="6"/>
  <c r="C15" i="6"/>
  <c r="C23" i="6"/>
  <c r="C31" i="6"/>
  <c r="C39" i="6"/>
  <c r="C47" i="6"/>
  <c r="C55" i="6"/>
  <c r="C63" i="6"/>
  <c r="C71" i="6"/>
  <c r="C79" i="6"/>
  <c r="C87" i="6"/>
  <c r="C95" i="6"/>
  <c r="C103" i="6"/>
  <c r="C111" i="6"/>
  <c r="C119" i="6"/>
  <c r="C127" i="6"/>
  <c r="C135" i="6"/>
  <c r="C143" i="6"/>
  <c r="C151" i="6"/>
  <c r="C159" i="6"/>
  <c r="C167" i="6"/>
  <c r="C175" i="6"/>
  <c r="C183" i="6"/>
  <c r="C191" i="6"/>
  <c r="C199" i="6"/>
  <c r="C207" i="6"/>
  <c r="C215" i="6"/>
  <c r="C223" i="6"/>
  <c r="C231" i="6"/>
  <c r="C239" i="6"/>
  <c r="C247" i="6"/>
  <c r="C255" i="6"/>
  <c r="C263" i="6"/>
  <c r="C271" i="6"/>
  <c r="C279" i="6"/>
  <c r="C287" i="6"/>
  <c r="C295" i="6"/>
  <c r="C303" i="6"/>
  <c r="C311" i="6"/>
  <c r="C319" i="6"/>
  <c r="C327" i="6"/>
  <c r="C335" i="6"/>
  <c r="C343" i="6"/>
  <c r="C351" i="6"/>
  <c r="C359" i="6"/>
  <c r="C367" i="6"/>
  <c r="C375" i="6"/>
  <c r="C383" i="6"/>
  <c r="C391" i="6"/>
  <c r="C399" i="6"/>
  <c r="C407" i="6"/>
  <c r="C415" i="6"/>
  <c r="C423" i="6"/>
  <c r="C431" i="6"/>
  <c r="C439" i="6"/>
  <c r="C447" i="6"/>
  <c r="C455" i="6"/>
  <c r="C463" i="6"/>
  <c r="C471" i="6"/>
  <c r="C479" i="6"/>
  <c r="C487" i="6"/>
  <c r="C495" i="6"/>
  <c r="C503" i="6"/>
  <c r="C511" i="6"/>
  <c r="C519" i="6"/>
  <c r="C527" i="6"/>
  <c r="C535" i="6"/>
  <c r="C543" i="6"/>
  <c r="C551" i="6"/>
  <c r="C559" i="6"/>
  <c r="C3" i="6"/>
  <c r="C11" i="6"/>
  <c r="C19" i="6"/>
  <c r="C27" i="6"/>
  <c r="C35" i="6"/>
  <c r="C43" i="6"/>
  <c r="C51" i="6"/>
  <c r="C59" i="6"/>
  <c r="C67" i="6"/>
  <c r="C75" i="6"/>
  <c r="C83" i="6"/>
  <c r="C91" i="6"/>
  <c r="C99" i="6"/>
  <c r="C107" i="6"/>
  <c r="C115" i="6"/>
  <c r="C123" i="6"/>
  <c r="C131" i="6"/>
  <c r="C139" i="6"/>
  <c r="C147" i="6"/>
  <c r="C155" i="6"/>
  <c r="C163" i="6"/>
  <c r="C171" i="6"/>
  <c r="C179" i="6"/>
  <c r="C187" i="6"/>
  <c r="C195" i="6"/>
  <c r="C203" i="6"/>
  <c r="C211" i="6"/>
  <c r="C219" i="6"/>
  <c r="C227" i="6"/>
  <c r="C235" i="6"/>
  <c r="C243" i="6"/>
  <c r="C251" i="6"/>
  <c r="C259" i="6"/>
  <c r="C267" i="6"/>
  <c r="C275" i="6"/>
  <c r="C283" i="6"/>
  <c r="C291" i="6"/>
  <c r="C299" i="6"/>
  <c r="C307" i="6"/>
  <c r="C315" i="6"/>
  <c r="C323" i="6"/>
  <c r="C331" i="6"/>
  <c r="C339" i="6"/>
  <c r="C347" i="6"/>
  <c r="C355" i="6"/>
  <c r="C10" i="6"/>
  <c r="C21" i="6"/>
  <c r="C32" i="6"/>
  <c r="C42" i="6"/>
  <c r="C53" i="6"/>
  <c r="C64" i="6"/>
  <c r="C74" i="6"/>
  <c r="C85" i="6"/>
  <c r="C96" i="6"/>
  <c r="C106" i="6"/>
  <c r="C117" i="6"/>
  <c r="C128" i="6"/>
  <c r="C138" i="6"/>
  <c r="C149" i="6"/>
  <c r="C160" i="6"/>
  <c r="C170" i="6"/>
  <c r="C181" i="6"/>
  <c r="C192" i="6"/>
  <c r="C202" i="6"/>
  <c r="C213" i="6"/>
  <c r="C224" i="6"/>
  <c r="C234" i="6"/>
  <c r="C245" i="6"/>
  <c r="C256" i="6"/>
  <c r="C266" i="6"/>
  <c r="C277" i="6"/>
  <c r="C288" i="6"/>
  <c r="C298" i="6"/>
  <c r="C309" i="6"/>
  <c r="C320" i="6"/>
  <c r="C330" i="6"/>
  <c r="C341" i="6"/>
  <c r="C352" i="6"/>
  <c r="C362" i="6"/>
  <c r="C371" i="6"/>
  <c r="C380" i="6"/>
  <c r="C389" i="6"/>
  <c r="C398" i="6"/>
  <c r="C408" i="6"/>
  <c r="C417" i="6"/>
  <c r="C426" i="6"/>
  <c r="C435" i="6"/>
  <c r="C444" i="6"/>
  <c r="C453" i="6"/>
  <c r="C462" i="6"/>
  <c r="C472" i="6"/>
  <c r="C481" i="6"/>
  <c r="C490" i="6"/>
  <c r="C499" i="6"/>
  <c r="C508" i="6"/>
  <c r="C517" i="6"/>
  <c r="C526" i="6"/>
  <c r="C536" i="6"/>
  <c r="C545" i="6"/>
  <c r="C554" i="6"/>
  <c r="C563" i="6"/>
  <c r="C571" i="6"/>
  <c r="C579" i="6"/>
  <c r="C13" i="6"/>
  <c r="C24" i="6"/>
  <c r="C34" i="6"/>
  <c r="C45" i="6"/>
  <c r="C56" i="6"/>
  <c r="C66" i="6"/>
  <c r="C77" i="6"/>
  <c r="C88" i="6"/>
  <c r="C98" i="6"/>
  <c r="C109" i="6"/>
  <c r="C120" i="6"/>
  <c r="C130" i="6"/>
  <c r="C141" i="6"/>
  <c r="C152" i="6"/>
  <c r="C162" i="6"/>
  <c r="C173" i="6"/>
  <c r="C184" i="6"/>
  <c r="C194" i="6"/>
  <c r="C205" i="6"/>
  <c r="C216" i="6"/>
  <c r="C226" i="6"/>
  <c r="C237" i="6"/>
  <c r="C248" i="6"/>
  <c r="C258" i="6"/>
  <c r="C269" i="6"/>
  <c r="C280" i="6"/>
  <c r="C290" i="6"/>
  <c r="C301" i="6"/>
  <c r="C312" i="6"/>
  <c r="C322" i="6"/>
  <c r="C333" i="6"/>
  <c r="C344" i="6"/>
  <c r="C354" i="6"/>
  <c r="C364" i="6"/>
  <c r="C373" i="6"/>
  <c r="C382" i="6"/>
  <c r="C392" i="6"/>
  <c r="C401" i="6"/>
  <c r="C410" i="6"/>
  <c r="C419" i="6"/>
  <c r="C428" i="6"/>
  <c r="C437" i="6"/>
  <c r="C446" i="6"/>
  <c r="C456" i="6"/>
  <c r="C465" i="6"/>
  <c r="C474" i="6"/>
  <c r="C483" i="6"/>
  <c r="C492" i="6"/>
  <c r="C501" i="6"/>
  <c r="C510" i="6"/>
  <c r="C520" i="6"/>
  <c r="C529" i="6"/>
  <c r="C538" i="6"/>
  <c r="C547" i="6"/>
  <c r="C556" i="6"/>
  <c r="C565" i="6"/>
  <c r="C573" i="6"/>
  <c r="C581" i="6"/>
  <c r="C589" i="6"/>
  <c r="C597" i="6"/>
  <c r="C605" i="6"/>
  <c r="C613" i="6"/>
  <c r="C621" i="6"/>
  <c r="C629" i="6"/>
  <c r="C637" i="6"/>
  <c r="C645" i="6"/>
  <c r="C653" i="6"/>
  <c r="C661" i="6"/>
  <c r="C669" i="6"/>
  <c r="C677" i="6"/>
  <c r="C685" i="6"/>
  <c r="C693" i="6"/>
  <c r="C701" i="6"/>
  <c r="C709" i="6"/>
  <c r="C717" i="6"/>
  <c r="C725" i="6"/>
  <c r="C733" i="6"/>
  <c r="C741" i="6"/>
  <c r="C749" i="6"/>
  <c r="C4" i="6"/>
  <c r="C14" i="6"/>
  <c r="C25" i="6"/>
  <c r="C36" i="6"/>
  <c r="C46" i="6"/>
  <c r="C57" i="6"/>
  <c r="C68" i="6"/>
  <c r="C78" i="6"/>
  <c r="C89" i="6"/>
  <c r="C100" i="6"/>
  <c r="C110" i="6"/>
  <c r="C121" i="6"/>
  <c r="C132" i="6"/>
  <c r="C142" i="6"/>
  <c r="C153" i="6"/>
  <c r="C164" i="6"/>
  <c r="C174" i="6"/>
  <c r="C185" i="6"/>
  <c r="C196" i="6"/>
  <c r="C206" i="6"/>
  <c r="C217" i="6"/>
  <c r="C228" i="6"/>
  <c r="C238" i="6"/>
  <c r="C249" i="6"/>
  <c r="C260" i="6"/>
  <c r="C270" i="6"/>
  <c r="C281" i="6"/>
  <c r="C292" i="6"/>
  <c r="C302" i="6"/>
  <c r="C313" i="6"/>
  <c r="C324" i="6"/>
  <c r="C334" i="6"/>
  <c r="C345" i="6"/>
  <c r="C356" i="6"/>
  <c r="C365" i="6"/>
  <c r="C374" i="6"/>
  <c r="C384" i="6"/>
  <c r="C393" i="6"/>
  <c r="C402" i="6"/>
  <c r="C411" i="6"/>
  <c r="C420" i="6"/>
  <c r="C429" i="6"/>
  <c r="C438" i="6"/>
  <c r="C448" i="6"/>
  <c r="C457" i="6"/>
  <c r="C466" i="6"/>
  <c r="C475" i="6"/>
  <c r="C484" i="6"/>
  <c r="C493" i="6"/>
  <c r="C502" i="6"/>
  <c r="C512" i="6"/>
  <c r="C521" i="6"/>
  <c r="C530" i="6"/>
  <c r="C539" i="6"/>
  <c r="C548" i="6"/>
  <c r="C557" i="6"/>
  <c r="C566" i="6"/>
  <c r="C574" i="6"/>
  <c r="C8" i="6"/>
  <c r="C18" i="6"/>
  <c r="C29" i="6"/>
  <c r="C40" i="6"/>
  <c r="C50" i="6"/>
  <c r="C61" i="6"/>
  <c r="C72" i="6"/>
  <c r="C82" i="6"/>
  <c r="C93" i="6"/>
  <c r="C104" i="6"/>
  <c r="C114" i="6"/>
  <c r="C125" i="6"/>
  <c r="C136" i="6"/>
  <c r="C146" i="6"/>
  <c r="C157" i="6"/>
  <c r="C168" i="6"/>
  <c r="C178" i="6"/>
  <c r="C189" i="6"/>
  <c r="C200" i="6"/>
  <c r="C210" i="6"/>
  <c r="C221" i="6"/>
  <c r="C232" i="6"/>
  <c r="C242" i="6"/>
  <c r="C253" i="6"/>
  <c r="C264" i="6"/>
  <c r="C274" i="6"/>
  <c r="C285" i="6"/>
  <c r="C296" i="6"/>
  <c r="C306" i="6"/>
  <c r="C317" i="6"/>
  <c r="C328" i="6"/>
  <c r="C338" i="6"/>
  <c r="C349" i="6"/>
  <c r="C360" i="6"/>
  <c r="C369" i="6"/>
  <c r="C378" i="6"/>
  <c r="C387" i="6"/>
  <c r="C396" i="6"/>
  <c r="C405" i="6"/>
  <c r="C414" i="6"/>
  <c r="C424" i="6"/>
  <c r="C433" i="6"/>
  <c r="C442" i="6"/>
  <c r="C451" i="6"/>
  <c r="C460" i="6"/>
  <c r="C469" i="6"/>
  <c r="C478" i="6"/>
  <c r="C488" i="6"/>
  <c r="C497" i="6"/>
  <c r="C506" i="6"/>
  <c r="C515" i="6"/>
  <c r="C524" i="6"/>
  <c r="C533" i="6"/>
  <c r="C542" i="6"/>
  <c r="C552" i="6"/>
  <c r="C561" i="6"/>
  <c r="C569" i="6"/>
  <c r="C577" i="6"/>
  <c r="C585" i="6"/>
  <c r="C593" i="6"/>
  <c r="C601" i="6"/>
  <c r="C609" i="6"/>
  <c r="C617" i="6"/>
  <c r="C625" i="6"/>
  <c r="C633" i="6"/>
  <c r="C641" i="6"/>
  <c r="C649" i="6"/>
  <c r="C657" i="6"/>
  <c r="C665" i="6"/>
  <c r="C673" i="6"/>
  <c r="C681" i="6"/>
  <c r="C689" i="6"/>
  <c r="C697" i="6"/>
  <c r="C705" i="6"/>
  <c r="C713" i="6"/>
  <c r="C721" i="6"/>
  <c r="C729" i="6"/>
  <c r="C737" i="6"/>
  <c r="C745" i="6"/>
  <c r="C753" i="6"/>
  <c r="C746" i="6"/>
  <c r="C735" i="6"/>
  <c r="C724" i="6"/>
  <c r="C714" i="6"/>
  <c r="C703" i="6"/>
  <c r="C692" i="6"/>
  <c r="C682" i="6"/>
  <c r="C671" i="6"/>
  <c r="C660" i="6"/>
  <c r="C650" i="6"/>
  <c r="C639" i="6"/>
  <c r="C628" i="6"/>
  <c r="C618" i="6"/>
  <c r="C607" i="6"/>
  <c r="C596" i="6"/>
  <c r="C586" i="6"/>
  <c r="C572" i="6"/>
  <c r="C555" i="6"/>
  <c r="C537" i="6"/>
  <c r="C518" i="6"/>
  <c r="C500" i="6"/>
  <c r="C482" i="6"/>
  <c r="C464" i="6"/>
  <c r="C445" i="6"/>
  <c r="C427" i="6"/>
  <c r="C409" i="6"/>
  <c r="C390" i="6"/>
  <c r="C372" i="6"/>
  <c r="C353" i="6"/>
  <c r="C332" i="6"/>
  <c r="C310" i="6"/>
  <c r="C289" i="6"/>
  <c r="C268" i="6"/>
  <c r="C246" i="6"/>
  <c r="C225" i="6"/>
  <c r="C204" i="6"/>
  <c r="C182" i="6"/>
  <c r="C161" i="6"/>
  <c r="C140" i="6"/>
  <c r="C118" i="6"/>
  <c r="C97" i="6"/>
  <c r="C76" i="6"/>
  <c r="C54" i="6"/>
  <c r="C33" i="6"/>
  <c r="C12" i="6"/>
  <c r="C2" i="6"/>
  <c r="C743" i="6"/>
  <c r="C732" i="6"/>
  <c r="C722" i="6"/>
  <c r="C711" i="6"/>
  <c r="C700" i="6"/>
  <c r="C690" i="6"/>
  <c r="C679" i="6"/>
  <c r="C668" i="6"/>
  <c r="C658" i="6"/>
  <c r="C647" i="6"/>
  <c r="C636" i="6"/>
  <c r="C626" i="6"/>
  <c r="C615" i="6"/>
  <c r="C604" i="6"/>
  <c r="C594" i="6"/>
  <c r="C583" i="6"/>
  <c r="C568" i="6"/>
  <c r="C550" i="6"/>
  <c r="C532" i="6"/>
  <c r="C514" i="6"/>
  <c r="C496" i="6"/>
  <c r="C477" i="6"/>
  <c r="C459" i="6"/>
  <c r="C441" i="6"/>
  <c r="C422" i="6"/>
  <c r="C404" i="6"/>
  <c r="C386" i="6"/>
  <c r="C368" i="6"/>
  <c r="C348" i="6"/>
  <c r="C326" i="6"/>
  <c r="C305" i="6"/>
  <c r="C284" i="6"/>
  <c r="C262" i="6"/>
  <c r="C241" i="6"/>
  <c r="C220" i="6"/>
  <c r="C198" i="6"/>
  <c r="C177" i="6"/>
  <c r="C156" i="6"/>
  <c r="C134" i="6"/>
  <c r="C113" i="6"/>
  <c r="C92" i="6"/>
  <c r="C70" i="6"/>
  <c r="C49" i="6"/>
  <c r="C28" i="6"/>
  <c r="C6" i="6"/>
  <c r="C752" i="6"/>
  <c r="C742" i="6"/>
  <c r="C731" i="6"/>
  <c r="C720" i="6"/>
  <c r="C710" i="6"/>
  <c r="C699" i="6"/>
  <c r="C688" i="6"/>
  <c r="C678" i="6"/>
  <c r="C667" i="6"/>
  <c r="C656" i="6"/>
  <c r="C646" i="6"/>
  <c r="C635" i="6"/>
  <c r="C624" i="6"/>
  <c r="C614" i="6"/>
  <c r="C603" i="6"/>
  <c r="C592" i="6"/>
  <c r="C582" i="6"/>
  <c r="C567" i="6"/>
  <c r="C549" i="6"/>
  <c r="C531" i="6"/>
  <c r="C513" i="6"/>
  <c r="C494" i="6"/>
  <c r="C476" i="6"/>
  <c r="C458" i="6"/>
  <c r="C440" i="6"/>
  <c r="C421" i="6"/>
  <c r="C403" i="6"/>
  <c r="C385" i="6"/>
  <c r="C366" i="6"/>
  <c r="C346" i="6"/>
  <c r="C325" i="6"/>
  <c r="C304" i="6"/>
  <c r="C282" i="6"/>
  <c r="C261" i="6"/>
  <c r="C240" i="6"/>
  <c r="C218" i="6"/>
  <c r="C197" i="6"/>
  <c r="C176" i="6"/>
  <c r="C154" i="6"/>
  <c r="C133" i="6"/>
  <c r="C112" i="6"/>
  <c r="C90" i="6"/>
  <c r="C69" i="6"/>
  <c r="C48" i="6"/>
  <c r="C26" i="6"/>
  <c r="C5" i="6"/>
  <c r="C751" i="6"/>
  <c r="C740" i="6"/>
  <c r="C730" i="6"/>
  <c r="C719" i="6"/>
  <c r="C708" i="6"/>
  <c r="C698" i="6"/>
  <c r="C687" i="6"/>
  <c r="C676" i="6"/>
  <c r="C666" i="6"/>
  <c r="C655" i="6"/>
  <c r="C644" i="6"/>
  <c r="C634" i="6"/>
  <c r="C623" i="6"/>
  <c r="C612" i="6"/>
  <c r="C602" i="6"/>
  <c r="C591" i="6"/>
  <c r="C580" i="6"/>
  <c r="C564" i="6"/>
  <c r="C546" i="6"/>
  <c r="C528" i="6"/>
  <c r="C509" i="6"/>
  <c r="C491" i="6"/>
  <c r="C473" i="6"/>
  <c r="C454" i="6"/>
  <c r="C436" i="6"/>
  <c r="C418" i="6"/>
  <c r="C400" i="6"/>
  <c r="C381" i="6"/>
  <c r="C363" i="6"/>
  <c r="C342" i="6"/>
  <c r="C321" i="6"/>
  <c r="C300" i="6"/>
  <c r="C278" i="6"/>
  <c r="C257" i="6"/>
  <c r="C236" i="6"/>
  <c r="C214" i="6"/>
  <c r="C193" i="6"/>
  <c r="C172" i="6"/>
  <c r="C150" i="6"/>
  <c r="C129" i="6"/>
  <c r="C108" i="6"/>
  <c r="C86" i="6"/>
  <c r="C65" i="6"/>
  <c r="C44" i="6"/>
  <c r="C22" i="6"/>
  <c r="C750" i="6"/>
  <c r="C739" i="6"/>
  <c r="C728" i="6"/>
  <c r="C718" i="6"/>
  <c r="C707" i="6"/>
  <c r="C696" i="6"/>
  <c r="C686" i="6"/>
  <c r="C675" i="6"/>
  <c r="C664" i="6"/>
  <c r="C654" i="6"/>
  <c r="C643" i="6"/>
  <c r="C632" i="6"/>
  <c r="C622" i="6"/>
  <c r="C611" i="6"/>
  <c r="C600" i="6"/>
  <c r="C590" i="6"/>
  <c r="C578" i="6"/>
  <c r="C562" i="6"/>
  <c r="C544" i="6"/>
  <c r="C525" i="6"/>
  <c r="C507" i="6"/>
  <c r="C489" i="6"/>
  <c r="C470" i="6"/>
  <c r="C452" i="6"/>
  <c r="C434" i="6"/>
  <c r="C416" i="6"/>
  <c r="C397" i="6"/>
  <c r="C379" i="6"/>
  <c r="C361" i="6"/>
  <c r="C340" i="6"/>
  <c r="C318" i="6"/>
  <c r="C297" i="6"/>
  <c r="C276" i="6"/>
  <c r="C254" i="6"/>
  <c r="C233" i="6"/>
  <c r="C212" i="6"/>
  <c r="C190" i="6"/>
  <c r="C169" i="6"/>
  <c r="C148" i="6"/>
  <c r="C126" i="6"/>
  <c r="C105" i="6"/>
  <c r="C84" i="6"/>
  <c r="C62" i="6"/>
  <c r="C41" i="6"/>
  <c r="C20" i="6"/>
  <c r="C748" i="6"/>
  <c r="C738" i="6"/>
  <c r="C727" i="6"/>
  <c r="C716" i="6"/>
  <c r="C706" i="6"/>
  <c r="C695" i="6"/>
  <c r="C684" i="6"/>
  <c r="C674" i="6"/>
  <c r="C663" i="6"/>
  <c r="C652" i="6"/>
  <c r="C642" i="6"/>
  <c r="C631" i="6"/>
  <c r="C620" i="6"/>
  <c r="C610" i="6"/>
  <c r="C599" i="6"/>
  <c r="C588" i="6"/>
  <c r="C576" i="6"/>
  <c r="C560" i="6"/>
  <c r="C541" i="6"/>
  <c r="C523" i="6"/>
  <c r="C505" i="6"/>
  <c r="C486" i="6"/>
  <c r="C468" i="6"/>
  <c r="C450" i="6"/>
  <c r="C432" i="6"/>
  <c r="C413" i="6"/>
  <c r="C395" i="6"/>
  <c r="C377" i="6"/>
  <c r="C358" i="6"/>
  <c r="C337" i="6"/>
  <c r="C316" i="6"/>
  <c r="C294" i="6"/>
  <c r="C273" i="6"/>
  <c r="C252" i="6"/>
  <c r="C230" i="6"/>
  <c r="C209" i="6"/>
  <c r="C188" i="6"/>
  <c r="C166" i="6"/>
  <c r="C145" i="6"/>
  <c r="C124" i="6"/>
  <c r="C102" i="6"/>
  <c r="C81" i="6"/>
  <c r="C60" i="6"/>
  <c r="C38" i="6"/>
  <c r="C17" i="6"/>
  <c r="B605" i="5"/>
  <c r="B511" i="5"/>
  <c r="B215" i="5"/>
  <c r="B82" i="5"/>
  <c r="B409" i="5"/>
  <c r="B691" i="5"/>
  <c r="B57" i="5"/>
  <c r="B721" i="5"/>
  <c r="B554" i="5"/>
  <c r="B74" i="5"/>
  <c r="B337" i="5"/>
  <c r="B225" i="5"/>
  <c r="B165" i="5"/>
  <c r="J366" i="5"/>
  <c r="K366" i="5" s="1"/>
  <c r="J745" i="5"/>
  <c r="K745" i="5" s="1"/>
  <c r="J626" i="5" l="1"/>
  <c r="K626" i="5" s="1"/>
  <c r="J33" i="5"/>
  <c r="K33" i="5" s="1"/>
  <c r="J129" i="5"/>
  <c r="K129" i="5" s="1"/>
  <c r="J623" i="5"/>
  <c r="K623" i="5" s="1"/>
  <c r="J162" i="5"/>
  <c r="K162" i="5" s="1"/>
  <c r="J701" i="5"/>
  <c r="K701" i="5" s="1"/>
  <c r="J728" i="5"/>
  <c r="K728" i="5" s="1"/>
  <c r="D516" i="5"/>
  <c r="D389" i="5"/>
  <c r="E87" i="4"/>
  <c r="J582" i="5"/>
  <c r="K582" i="5" s="1"/>
  <c r="J300" i="5"/>
  <c r="K300" i="5" s="1"/>
  <c r="J224" i="5"/>
  <c r="K224" i="5" s="1"/>
  <c r="J40" i="5"/>
  <c r="K40" i="5" s="1"/>
  <c r="F337" i="5"/>
  <c r="J337" i="5" s="1"/>
  <c r="K337" i="5" s="1"/>
  <c r="D230" i="6"/>
  <c r="F585" i="5"/>
  <c r="J585" i="5" s="1"/>
  <c r="K585" i="5" s="1"/>
  <c r="D578" i="6"/>
  <c r="F440" i="5"/>
  <c r="J440" i="5" s="1"/>
  <c r="K440" i="5" s="1"/>
  <c r="D363" i="6"/>
  <c r="F517" i="5"/>
  <c r="J517" i="5" s="1"/>
  <c r="K517" i="5" s="1"/>
  <c r="D494" i="6"/>
  <c r="F575" i="5"/>
  <c r="J575" i="5" s="1"/>
  <c r="K575" i="5" s="1"/>
  <c r="D568" i="6"/>
  <c r="F591" i="5"/>
  <c r="J591" i="5" s="1"/>
  <c r="K591" i="5" s="1"/>
  <c r="D586" i="6"/>
  <c r="F421" i="5"/>
  <c r="J421" i="5" s="1"/>
  <c r="K421" i="5" s="1"/>
  <c r="D338" i="6"/>
  <c r="F434" i="5"/>
  <c r="D356" i="6"/>
  <c r="F580" i="5"/>
  <c r="J580" i="5" s="1"/>
  <c r="K580" i="5" s="1"/>
  <c r="D573" i="6"/>
  <c r="F30" i="5"/>
  <c r="J30" i="5" s="1"/>
  <c r="K30" i="5" s="1"/>
  <c r="D13" i="6"/>
  <c r="F237" i="5"/>
  <c r="J237" i="5" s="1"/>
  <c r="K237" i="5" s="1"/>
  <c r="D117" i="6"/>
  <c r="F568" i="5"/>
  <c r="J568" i="5" s="1"/>
  <c r="K568" i="5" s="1"/>
  <c r="D559" i="6"/>
  <c r="F690" i="5"/>
  <c r="J690" i="5" s="1"/>
  <c r="K690" i="5" s="1"/>
  <c r="D303" i="6"/>
  <c r="F663" i="5"/>
  <c r="J663" i="5" s="1"/>
  <c r="K663" i="5" s="1"/>
  <c r="D734" i="6"/>
  <c r="F207" i="5"/>
  <c r="D81" i="6"/>
  <c r="F356" i="5"/>
  <c r="J356" i="5" s="1"/>
  <c r="K356" i="5" s="1"/>
  <c r="D252" i="6"/>
  <c r="F716" i="5"/>
  <c r="J716" i="5" s="1"/>
  <c r="K716" i="5" s="1"/>
  <c r="D413" i="6"/>
  <c r="F115" i="5"/>
  <c r="J115" i="5" s="1"/>
  <c r="K115" i="5" s="1"/>
  <c r="D560" i="6"/>
  <c r="F141" i="5"/>
  <c r="J141" i="5" s="1"/>
  <c r="K141" i="5" s="1"/>
  <c r="D652" i="6"/>
  <c r="F744" i="5"/>
  <c r="J744" i="5" s="1"/>
  <c r="K744" i="5" s="1"/>
  <c r="D738" i="6"/>
  <c r="F246" i="5"/>
  <c r="J246" i="5" s="1"/>
  <c r="K246" i="5" s="1"/>
  <c r="D126" i="6"/>
  <c r="F392" i="5"/>
  <c r="J392" i="5" s="1"/>
  <c r="K392" i="5" s="1"/>
  <c r="D297" i="6"/>
  <c r="F500" i="5"/>
  <c r="D452" i="6"/>
  <c r="F594" i="5"/>
  <c r="J594" i="5" s="1"/>
  <c r="K594" i="5" s="1"/>
  <c r="D590" i="6"/>
  <c r="F632" i="5"/>
  <c r="J632" i="5" s="1"/>
  <c r="K632" i="5" s="1"/>
  <c r="D675" i="6"/>
  <c r="F178" i="5"/>
  <c r="J178" i="5" s="1"/>
  <c r="K178" i="5" s="1"/>
  <c r="D44" i="6"/>
  <c r="F324" i="5"/>
  <c r="J324" i="5" s="1"/>
  <c r="K324" i="5" s="1"/>
  <c r="D214" i="6"/>
  <c r="F452" i="5"/>
  <c r="J452" i="5" s="1"/>
  <c r="K452" i="5" s="1"/>
  <c r="D381" i="6"/>
  <c r="F546" i="5"/>
  <c r="J546" i="5" s="1"/>
  <c r="K546" i="5" s="1"/>
  <c r="D528" i="6"/>
  <c r="F133" i="5"/>
  <c r="J133" i="5" s="1"/>
  <c r="K133" i="5" s="1"/>
  <c r="D634" i="6"/>
  <c r="F19" i="5"/>
  <c r="J19" i="5" s="1"/>
  <c r="K19" i="5" s="1"/>
  <c r="D719" i="6"/>
  <c r="F39" i="5"/>
  <c r="J39" i="5" s="1"/>
  <c r="K39" i="5" s="1"/>
  <c r="D26" i="6"/>
  <c r="F310" i="5"/>
  <c r="J310" i="5" s="1"/>
  <c r="K310" i="5" s="1"/>
  <c r="D197" i="6"/>
  <c r="F443" i="5"/>
  <c r="J443" i="5" s="1"/>
  <c r="K443" i="5" s="1"/>
  <c r="D366" i="6"/>
  <c r="F532" i="5"/>
  <c r="J532" i="5" s="1"/>
  <c r="K532" i="5" s="1"/>
  <c r="D513" i="6"/>
  <c r="F613" i="5"/>
  <c r="D624" i="6"/>
  <c r="F650" i="5"/>
  <c r="J650" i="5" s="1"/>
  <c r="K650" i="5" s="1"/>
  <c r="D710" i="6"/>
  <c r="F681" i="5"/>
  <c r="J681" i="5" s="1"/>
  <c r="K681" i="5" s="1"/>
  <c r="D113" i="6"/>
  <c r="F379" i="5"/>
  <c r="J379" i="5" s="1"/>
  <c r="K379" i="5" s="1"/>
  <c r="D284" i="6"/>
  <c r="F494" i="5"/>
  <c r="J494" i="5" s="1"/>
  <c r="K494" i="5" s="1"/>
  <c r="D441" i="6"/>
  <c r="F589" i="5"/>
  <c r="J589" i="5" s="1"/>
  <c r="K589" i="5" s="1"/>
  <c r="D583" i="6"/>
  <c r="F726" i="5"/>
  <c r="J726" i="5" s="1"/>
  <c r="K726" i="5" s="1"/>
  <c r="D668" i="6"/>
  <c r="F21" i="5"/>
  <c r="J21" i="5" s="1"/>
  <c r="K21" i="5" s="1"/>
  <c r="D2" i="6"/>
  <c r="F259" i="5"/>
  <c r="D140" i="6"/>
  <c r="F402" i="5"/>
  <c r="J402" i="5" s="1"/>
  <c r="K402" i="5" s="1"/>
  <c r="D310" i="6"/>
  <c r="F6" i="5"/>
  <c r="J6" i="5" s="1"/>
  <c r="K6" i="5" s="1"/>
  <c r="D464" i="6"/>
  <c r="F121" i="5"/>
  <c r="J121" i="5" s="1"/>
  <c r="K121" i="5" s="1"/>
  <c r="D596" i="6"/>
  <c r="F634" i="5"/>
  <c r="J634" i="5" s="1"/>
  <c r="K634" i="5" s="1"/>
  <c r="D682" i="6"/>
  <c r="F672" i="5"/>
  <c r="J672" i="5" s="1"/>
  <c r="K672" i="5" s="1"/>
  <c r="D745" i="6"/>
  <c r="F633" i="5"/>
  <c r="J633" i="5" s="1"/>
  <c r="K633" i="5" s="1"/>
  <c r="D681" i="6"/>
  <c r="F610" i="5"/>
  <c r="J610" i="5" s="1"/>
  <c r="K610" i="5" s="1"/>
  <c r="D617" i="6"/>
  <c r="F563" i="5"/>
  <c r="J563" i="5" s="1"/>
  <c r="K563" i="5" s="1"/>
  <c r="D552" i="6"/>
  <c r="F509" i="5"/>
  <c r="J509" i="5" s="1"/>
  <c r="K509" i="5" s="1"/>
  <c r="D478" i="6"/>
  <c r="F468" i="5"/>
  <c r="J468" i="5" s="1"/>
  <c r="K468" i="5" s="1"/>
  <c r="D405" i="6"/>
  <c r="F414" i="5"/>
  <c r="J414" i="5" s="1"/>
  <c r="K414" i="5" s="1"/>
  <c r="D328" i="6"/>
  <c r="F346" i="5"/>
  <c r="J346" i="5" s="1"/>
  <c r="K346" i="5" s="1"/>
  <c r="D242" i="6"/>
  <c r="F275" i="5"/>
  <c r="J275" i="5" s="1"/>
  <c r="K275" i="5" s="1"/>
  <c r="D157" i="6"/>
  <c r="F48" i="5"/>
  <c r="J48" i="5" s="1"/>
  <c r="K48" i="5" s="1"/>
  <c r="D72" i="6"/>
  <c r="F573" i="5"/>
  <c r="J573" i="5" s="1"/>
  <c r="K573" i="5" s="1"/>
  <c r="D566" i="6"/>
  <c r="F100" i="5"/>
  <c r="J100" i="5" s="1"/>
  <c r="K100" i="5" s="1"/>
  <c r="D493" i="6"/>
  <c r="F479" i="5"/>
  <c r="J479" i="5" s="1"/>
  <c r="K479" i="5" s="1"/>
  <c r="D420" i="6"/>
  <c r="F702" i="5"/>
  <c r="J702" i="5" s="1"/>
  <c r="K702" i="5" s="1"/>
  <c r="D345" i="6"/>
  <c r="F361" i="5"/>
  <c r="J361" i="5" s="1"/>
  <c r="K361" i="5" s="1"/>
  <c r="D260" i="6"/>
  <c r="F292" i="5"/>
  <c r="D174" i="6"/>
  <c r="F214" i="5"/>
  <c r="J214" i="5" s="1"/>
  <c r="K214" i="5" s="1"/>
  <c r="D89" i="6"/>
  <c r="F23" i="5"/>
  <c r="J23" i="5" s="1"/>
  <c r="K23" i="5" s="1"/>
  <c r="D4" i="6"/>
  <c r="F641" i="5"/>
  <c r="J641" i="5" s="1"/>
  <c r="K641" i="5" s="1"/>
  <c r="D693" i="6"/>
  <c r="F617" i="5"/>
  <c r="J617" i="5" s="1"/>
  <c r="K617" i="5" s="1"/>
  <c r="D629" i="6"/>
  <c r="F116" i="5"/>
  <c r="J116" i="5" s="1"/>
  <c r="K116" i="5" s="1"/>
  <c r="D565" i="6"/>
  <c r="F99" i="5"/>
  <c r="D492" i="6"/>
  <c r="F478" i="5"/>
  <c r="J478" i="5" s="1"/>
  <c r="K478" i="5" s="1"/>
  <c r="D419" i="6"/>
  <c r="F427" i="5"/>
  <c r="J427" i="5" s="1"/>
  <c r="K427" i="5" s="1"/>
  <c r="D344" i="6"/>
  <c r="F360" i="5"/>
  <c r="J360" i="5" s="1"/>
  <c r="K360" i="5" s="1"/>
  <c r="D258" i="6"/>
  <c r="F291" i="5"/>
  <c r="J291" i="5" s="1"/>
  <c r="K291" i="5" s="1"/>
  <c r="D173" i="6"/>
  <c r="F213" i="5"/>
  <c r="J213" i="5" s="1"/>
  <c r="K213" i="5" s="1"/>
  <c r="D88" i="6"/>
  <c r="F586" i="5"/>
  <c r="J586" i="5" s="1"/>
  <c r="K586" i="5" s="1"/>
  <c r="D579" i="6"/>
  <c r="F528" i="5"/>
  <c r="J528" i="5" s="1"/>
  <c r="K528" i="5" s="1"/>
  <c r="D508" i="6"/>
  <c r="F488" i="5"/>
  <c r="J488" i="5" s="1"/>
  <c r="K488" i="5" s="1"/>
  <c r="D435" i="6"/>
  <c r="F70" i="5"/>
  <c r="J70" i="5" s="1"/>
  <c r="K70" i="5" s="1"/>
  <c r="D362" i="6"/>
  <c r="F375" i="5"/>
  <c r="J375" i="5" s="1"/>
  <c r="K375" i="5" s="1"/>
  <c r="D277" i="6"/>
  <c r="F305" i="5"/>
  <c r="J305" i="5" s="1"/>
  <c r="K305" i="5" s="1"/>
  <c r="D192" i="6"/>
  <c r="F228" i="5"/>
  <c r="J228" i="5" s="1"/>
  <c r="K228" i="5" s="1"/>
  <c r="D106" i="6"/>
  <c r="F164" i="5"/>
  <c r="J164" i="5" s="1"/>
  <c r="K164" i="5" s="1"/>
  <c r="D21" i="6"/>
  <c r="F399" i="5"/>
  <c r="J399" i="5" s="1"/>
  <c r="K399" i="5" s="1"/>
  <c r="D307" i="6"/>
  <c r="F347" i="5"/>
  <c r="J347" i="5" s="1"/>
  <c r="K347" i="5" s="1"/>
  <c r="D243" i="6"/>
  <c r="F296" i="5"/>
  <c r="J296" i="5" s="1"/>
  <c r="K296" i="5" s="1"/>
  <c r="D179" i="6"/>
  <c r="F235" i="5"/>
  <c r="J235" i="5" s="1"/>
  <c r="K235" i="5" s="1"/>
  <c r="D115" i="6"/>
  <c r="F184" i="5"/>
  <c r="J184" i="5" s="1"/>
  <c r="K184" i="5" s="1"/>
  <c r="D51" i="6"/>
  <c r="F562" i="5"/>
  <c r="J562" i="5" s="1"/>
  <c r="K562" i="5" s="1"/>
  <c r="D551" i="6"/>
  <c r="F515" i="5"/>
  <c r="J515" i="5" s="1"/>
  <c r="K515" i="5" s="1"/>
  <c r="D487" i="6"/>
  <c r="F481" i="5"/>
  <c r="J481" i="5" s="1"/>
  <c r="K481" i="5" s="1"/>
  <c r="D423" i="6"/>
  <c r="F437" i="5"/>
  <c r="D359" i="6"/>
  <c r="F390" i="5"/>
  <c r="J390" i="5" s="1"/>
  <c r="K390" i="5" s="1"/>
  <c r="D295" i="6"/>
  <c r="F338" i="5"/>
  <c r="J338" i="5" s="1"/>
  <c r="K338" i="5" s="1"/>
  <c r="D231" i="6"/>
  <c r="F285" i="5"/>
  <c r="J285" i="5" s="1"/>
  <c r="K285" i="5" s="1"/>
  <c r="D167" i="6"/>
  <c r="F226" i="5"/>
  <c r="J226" i="5" s="1"/>
  <c r="K226" i="5" s="1"/>
  <c r="D103" i="6"/>
  <c r="F173" i="5"/>
  <c r="J173" i="5" s="1"/>
  <c r="K173" i="5" s="1"/>
  <c r="D39" i="6"/>
  <c r="F381" i="5"/>
  <c r="J381" i="5" s="1"/>
  <c r="K381" i="5" s="1"/>
  <c r="D286" i="6"/>
  <c r="F45" i="5"/>
  <c r="J45" i="5" s="1"/>
  <c r="K45" i="5" s="1"/>
  <c r="D37" i="6"/>
  <c r="F618" i="5"/>
  <c r="J618" i="5" s="1"/>
  <c r="K618" i="5" s="1"/>
  <c r="D630" i="6"/>
  <c r="F331" i="5"/>
  <c r="J331" i="5" s="1"/>
  <c r="K331" i="5" s="1"/>
  <c r="D222" i="6"/>
  <c r="F554" i="5"/>
  <c r="J554" i="5" s="1"/>
  <c r="K554" i="5" s="1"/>
  <c r="D540" i="6"/>
  <c r="F415" i="5"/>
  <c r="D329" i="6"/>
  <c r="F513" i="5"/>
  <c r="J513" i="5" s="1"/>
  <c r="K513" i="5" s="1"/>
  <c r="D485" i="6"/>
  <c r="F15" i="5"/>
  <c r="J15" i="5" s="1"/>
  <c r="K15" i="5" s="1"/>
  <c r="D642" i="6"/>
  <c r="F628" i="5"/>
  <c r="J628" i="5" s="1"/>
  <c r="K628" i="5" s="1"/>
  <c r="D664" i="6"/>
  <c r="F57" i="5"/>
  <c r="D176" i="6"/>
  <c r="F363" i="5"/>
  <c r="J363" i="5" s="1"/>
  <c r="K363" i="5" s="1"/>
  <c r="D262" i="6"/>
  <c r="F384" i="5"/>
  <c r="J384" i="5" s="1"/>
  <c r="K384" i="5" s="1"/>
  <c r="D289" i="6"/>
  <c r="F516" i="5"/>
  <c r="D488" i="6"/>
  <c r="F752" i="5"/>
  <c r="D429" i="6"/>
  <c r="F18" i="5"/>
  <c r="J18" i="5" s="1"/>
  <c r="K18" i="5" s="1"/>
  <c r="D701" i="6"/>
  <c r="F370" i="5"/>
  <c r="J370" i="5" s="1"/>
  <c r="K370" i="5" s="1"/>
  <c r="D269" i="6"/>
  <c r="F41" i="5"/>
  <c r="J41" i="5" s="1"/>
  <c r="K41" i="5" s="1"/>
  <c r="D32" i="6"/>
  <c r="F192" i="5"/>
  <c r="D59" i="6"/>
  <c r="F232" i="5"/>
  <c r="J232" i="5" s="1"/>
  <c r="K232" i="5" s="1"/>
  <c r="D111" i="6"/>
  <c r="F256" i="5"/>
  <c r="J256" i="5" s="1"/>
  <c r="K256" i="5" s="1"/>
  <c r="D137" i="6"/>
  <c r="F225" i="5"/>
  <c r="J225" i="5" s="1"/>
  <c r="K225" i="5" s="1"/>
  <c r="D102" i="6"/>
  <c r="F373" i="5"/>
  <c r="J373" i="5" s="1"/>
  <c r="K373" i="5" s="1"/>
  <c r="D273" i="6"/>
  <c r="F75" i="5"/>
  <c r="J75" i="5" s="1"/>
  <c r="K75" i="5" s="1"/>
  <c r="D432" i="6"/>
  <c r="F583" i="5"/>
  <c r="J583" i="5" s="1"/>
  <c r="K583" i="5" s="1"/>
  <c r="D576" i="6"/>
  <c r="F146" i="5"/>
  <c r="J146" i="5" s="1"/>
  <c r="K146" i="5" s="1"/>
  <c r="D663" i="6"/>
  <c r="F746" i="5"/>
  <c r="J746" i="5" s="1"/>
  <c r="K746" i="5" s="1"/>
  <c r="D748" i="6"/>
  <c r="F267" i="5"/>
  <c r="J267" i="5" s="1"/>
  <c r="K267" i="5" s="1"/>
  <c r="D148" i="6"/>
  <c r="F407" i="5"/>
  <c r="J407" i="5" s="1"/>
  <c r="K407" i="5" s="1"/>
  <c r="D318" i="6"/>
  <c r="F506" i="5"/>
  <c r="J506" i="5" s="1"/>
  <c r="K506" i="5" s="1"/>
  <c r="D470" i="6"/>
  <c r="F10" i="5"/>
  <c r="J10" i="5" s="1"/>
  <c r="K10" i="5" s="1"/>
  <c r="D600" i="6"/>
  <c r="F638" i="5"/>
  <c r="J638" i="5" s="1"/>
  <c r="K638" i="5" s="1"/>
  <c r="D686" i="6"/>
  <c r="F197" i="5"/>
  <c r="J197" i="5" s="1"/>
  <c r="K197" i="5" s="1"/>
  <c r="D65" i="6"/>
  <c r="F342" i="5"/>
  <c r="J342" i="5" s="1"/>
  <c r="K342" i="5" s="1"/>
  <c r="D236" i="6"/>
  <c r="F715" i="5"/>
  <c r="J715" i="5" s="1"/>
  <c r="K715" i="5" s="1"/>
  <c r="D400" i="6"/>
  <c r="F558" i="5"/>
  <c r="J558" i="5" s="1"/>
  <c r="K558" i="5" s="1"/>
  <c r="D546" i="6"/>
  <c r="F16" i="5"/>
  <c r="J16" i="5" s="1"/>
  <c r="K16" i="5" s="1"/>
  <c r="D644" i="6"/>
  <c r="F743" i="5"/>
  <c r="J743" i="5" s="1"/>
  <c r="K743" i="5" s="1"/>
  <c r="D730" i="6"/>
  <c r="F181" i="5"/>
  <c r="J181" i="5" s="1"/>
  <c r="K181" i="5" s="1"/>
  <c r="D48" i="6"/>
  <c r="F328" i="5"/>
  <c r="J328" i="5" s="1"/>
  <c r="K328" i="5" s="1"/>
  <c r="D218" i="6"/>
  <c r="F456" i="5"/>
  <c r="J456" i="5" s="1"/>
  <c r="K456" i="5" s="1"/>
  <c r="D385" i="6"/>
  <c r="F548" i="5"/>
  <c r="J548" i="5" s="1"/>
  <c r="K548" i="5" s="1"/>
  <c r="D531" i="6"/>
  <c r="F11" i="5"/>
  <c r="J11" i="5" s="1"/>
  <c r="K11" i="5" s="1"/>
  <c r="D635" i="6"/>
  <c r="F20" i="5"/>
  <c r="J20" i="5" s="1"/>
  <c r="K20" i="5" s="1"/>
  <c r="D720" i="6"/>
  <c r="F253" i="5"/>
  <c r="J253" i="5" s="1"/>
  <c r="K253" i="5" s="1"/>
  <c r="D134" i="6"/>
  <c r="F691" i="5"/>
  <c r="J691" i="5" s="1"/>
  <c r="K691" i="5" s="1"/>
  <c r="D305" i="6"/>
  <c r="F503" i="5"/>
  <c r="J503" i="5" s="1"/>
  <c r="K503" i="5" s="1"/>
  <c r="D459" i="6"/>
  <c r="F597" i="5"/>
  <c r="J597" i="5" s="1"/>
  <c r="K597" i="5" s="1"/>
  <c r="D594" i="6"/>
  <c r="F730" i="5"/>
  <c r="J730" i="5" s="1"/>
  <c r="K730" i="5" s="1"/>
  <c r="D679" i="6"/>
  <c r="F279" i="5"/>
  <c r="J279" i="5" s="1"/>
  <c r="K279" i="5" s="1"/>
  <c r="D161" i="6"/>
  <c r="F700" i="5"/>
  <c r="J700" i="5" s="1"/>
  <c r="K700" i="5" s="1"/>
  <c r="D332" i="6"/>
  <c r="F95" i="5"/>
  <c r="J95" i="5" s="1"/>
  <c r="K95" i="5" s="1"/>
  <c r="D482" i="6"/>
  <c r="F125" i="5"/>
  <c r="J125" i="5" s="1"/>
  <c r="K125" i="5" s="1"/>
  <c r="D607" i="6"/>
  <c r="F153" i="5"/>
  <c r="J153" i="5" s="1"/>
  <c r="K153" i="5" s="1"/>
  <c r="D692" i="6"/>
  <c r="F666" i="5"/>
  <c r="J666" i="5" s="1"/>
  <c r="K666" i="5" s="1"/>
  <c r="D737" i="6"/>
  <c r="F148" i="5"/>
  <c r="J148" i="5" s="1"/>
  <c r="K148" i="5" s="1"/>
  <c r="D673" i="6"/>
  <c r="F126" i="5"/>
  <c r="J126" i="5" s="1"/>
  <c r="K126" i="5" s="1"/>
  <c r="D609" i="6"/>
  <c r="F111" i="5"/>
  <c r="J111" i="5" s="1"/>
  <c r="K111" i="5" s="1"/>
  <c r="D542" i="6"/>
  <c r="F90" i="5"/>
  <c r="J90" i="5" s="1"/>
  <c r="K90" i="5" s="1"/>
  <c r="D469" i="6"/>
  <c r="F462" i="5"/>
  <c r="J462" i="5" s="1"/>
  <c r="K462" i="5" s="1"/>
  <c r="D396" i="6"/>
  <c r="F406" i="5"/>
  <c r="J406" i="5" s="1"/>
  <c r="K406" i="5" s="1"/>
  <c r="D317" i="6"/>
  <c r="F339" i="5"/>
  <c r="J339" i="5" s="1"/>
  <c r="K339" i="5" s="1"/>
  <c r="D232" i="6"/>
  <c r="F265" i="5"/>
  <c r="D146" i="6"/>
  <c r="F47" i="5"/>
  <c r="J47" i="5" s="1"/>
  <c r="K47" i="5" s="1"/>
  <c r="D61" i="6"/>
  <c r="F113" i="5"/>
  <c r="J113" i="5" s="1"/>
  <c r="K113" i="5" s="1"/>
  <c r="D557" i="6"/>
  <c r="F512" i="5"/>
  <c r="J512" i="5" s="1"/>
  <c r="K512" i="5" s="1"/>
  <c r="D484" i="6"/>
  <c r="F472" i="5"/>
  <c r="J472" i="5" s="1"/>
  <c r="K472" i="5" s="1"/>
  <c r="D411" i="6"/>
  <c r="F418" i="5"/>
  <c r="J418" i="5" s="1"/>
  <c r="K418" i="5" s="1"/>
  <c r="D334" i="6"/>
  <c r="F353" i="5"/>
  <c r="J353" i="5" s="1"/>
  <c r="K353" i="5" s="1"/>
  <c r="D249" i="6"/>
  <c r="F282" i="5"/>
  <c r="J282" i="5" s="1"/>
  <c r="K282" i="5" s="1"/>
  <c r="D164" i="6"/>
  <c r="F680" i="5"/>
  <c r="D78" i="6"/>
  <c r="F675" i="5"/>
  <c r="J675" i="5" s="1"/>
  <c r="K675" i="5" s="1"/>
  <c r="D749" i="6"/>
  <c r="F637" i="5"/>
  <c r="J637" i="5" s="1"/>
  <c r="K637" i="5" s="1"/>
  <c r="D685" i="6"/>
  <c r="F612" i="5"/>
  <c r="J612" i="5" s="1"/>
  <c r="K612" i="5" s="1"/>
  <c r="D621" i="6"/>
  <c r="F567" i="5"/>
  <c r="J567" i="5" s="1"/>
  <c r="K567" i="5" s="1"/>
  <c r="D556" i="6"/>
  <c r="F96" i="5"/>
  <c r="J96" i="5" s="1"/>
  <c r="K96" i="5" s="1"/>
  <c r="D483" i="6"/>
  <c r="F471" i="5"/>
  <c r="J471" i="5" s="1"/>
  <c r="K471" i="5" s="1"/>
  <c r="D410" i="6"/>
  <c r="F417" i="5"/>
  <c r="J417" i="5" s="1"/>
  <c r="K417" i="5" s="1"/>
  <c r="D333" i="6"/>
  <c r="F352" i="5"/>
  <c r="J352" i="5" s="1"/>
  <c r="K352" i="5" s="1"/>
  <c r="D248" i="6"/>
  <c r="F280" i="5"/>
  <c r="J280" i="5" s="1"/>
  <c r="K280" i="5" s="1"/>
  <c r="D162" i="6"/>
  <c r="F204" i="5"/>
  <c r="J204" i="5" s="1"/>
  <c r="K204" i="5" s="1"/>
  <c r="D77" i="6"/>
  <c r="F578" i="5"/>
  <c r="J578" i="5" s="1"/>
  <c r="K578" i="5" s="1"/>
  <c r="D571" i="6"/>
  <c r="F520" i="5"/>
  <c r="J520" i="5" s="1"/>
  <c r="K520" i="5" s="1"/>
  <c r="D499" i="6"/>
  <c r="F751" i="5"/>
  <c r="D426" i="6"/>
  <c r="F431" i="5"/>
  <c r="J431" i="5" s="1"/>
  <c r="K431" i="5" s="1"/>
  <c r="D352" i="6"/>
  <c r="F367" i="5"/>
  <c r="J367" i="5" s="1"/>
  <c r="K367" i="5" s="1"/>
  <c r="D266" i="6"/>
  <c r="F298" i="5"/>
  <c r="J298" i="5" s="1"/>
  <c r="K298" i="5" s="1"/>
  <c r="D181" i="6"/>
  <c r="F221" i="5"/>
  <c r="J221" i="5" s="1"/>
  <c r="K221" i="5" s="1"/>
  <c r="D96" i="6"/>
  <c r="F27" i="5"/>
  <c r="J27" i="5" s="1"/>
  <c r="K27" i="5" s="1"/>
  <c r="D10" i="6"/>
  <c r="F394" i="5"/>
  <c r="J394" i="5" s="1"/>
  <c r="K394" i="5" s="1"/>
  <c r="D299" i="6"/>
  <c r="F65" i="5"/>
  <c r="J65" i="5" s="1"/>
  <c r="K65" i="5" s="1"/>
  <c r="D235" i="6"/>
  <c r="F289" i="5"/>
  <c r="J289" i="5" s="1"/>
  <c r="K289" i="5" s="1"/>
  <c r="D171" i="6"/>
  <c r="F55" i="5"/>
  <c r="J55" i="5" s="1"/>
  <c r="K55" i="5" s="1"/>
  <c r="D107" i="6"/>
  <c r="F177" i="5"/>
  <c r="J177" i="5" s="1"/>
  <c r="K177" i="5" s="1"/>
  <c r="D43" i="6"/>
  <c r="F555" i="5"/>
  <c r="J555" i="5" s="1"/>
  <c r="K555" i="5" s="1"/>
  <c r="D543" i="6"/>
  <c r="F510" i="5"/>
  <c r="D479" i="6"/>
  <c r="F475" i="5"/>
  <c r="J475" i="5" s="1"/>
  <c r="K475" i="5" s="1"/>
  <c r="D415" i="6"/>
  <c r="F430" i="5"/>
  <c r="J430" i="5" s="1"/>
  <c r="K430" i="5" s="1"/>
  <c r="D351" i="6"/>
  <c r="F382" i="5"/>
  <c r="J382" i="5" s="1"/>
  <c r="K382" i="5" s="1"/>
  <c r="D287" i="6"/>
  <c r="F332" i="5"/>
  <c r="J332" i="5" s="1"/>
  <c r="K332" i="5" s="1"/>
  <c r="D223" i="6"/>
  <c r="F277" i="5"/>
  <c r="J277" i="5" s="1"/>
  <c r="K277" i="5" s="1"/>
  <c r="D159" i="6"/>
  <c r="F220" i="5"/>
  <c r="J220" i="5" s="1"/>
  <c r="K220" i="5" s="1"/>
  <c r="D95" i="6"/>
  <c r="F170" i="5"/>
  <c r="J170" i="5" s="1"/>
  <c r="K170" i="5" s="1"/>
  <c r="D31" i="6"/>
  <c r="F749" i="5"/>
  <c r="D370" i="6"/>
  <c r="F242" i="5"/>
  <c r="J242" i="5" s="1"/>
  <c r="K242" i="5" s="1"/>
  <c r="D122" i="6"/>
  <c r="F630" i="5"/>
  <c r="J630" i="5" s="1"/>
  <c r="K630" i="5" s="1"/>
  <c r="D672" i="6"/>
  <c r="F400" i="5"/>
  <c r="J400" i="5" s="1"/>
  <c r="K400" i="5" s="1"/>
  <c r="D308" i="6"/>
  <c r="F122" i="5"/>
  <c r="J122" i="5" s="1"/>
  <c r="K122" i="5" s="1"/>
  <c r="D598" i="6"/>
  <c r="F469" i="5"/>
  <c r="J469" i="5" s="1"/>
  <c r="K469" i="5" s="1"/>
  <c r="D406" i="6"/>
  <c r="F114" i="5"/>
  <c r="J114" i="5" s="1"/>
  <c r="K114" i="5" s="1"/>
  <c r="D558" i="6"/>
  <c r="F227" i="5"/>
  <c r="J227" i="5" s="1"/>
  <c r="K227" i="5" s="1"/>
  <c r="D105" i="6"/>
  <c r="F306" i="5"/>
  <c r="J306" i="5" s="1"/>
  <c r="K306" i="5" s="1"/>
  <c r="D193" i="6"/>
  <c r="F128" i="5"/>
  <c r="J128" i="5" s="1"/>
  <c r="K128" i="5" s="1"/>
  <c r="D614" i="6"/>
  <c r="F677" i="5"/>
  <c r="J677" i="5" s="1"/>
  <c r="K677" i="5" s="1"/>
  <c r="D753" i="6"/>
  <c r="F51" i="5"/>
  <c r="J51" i="5" s="1"/>
  <c r="K51" i="5" s="1"/>
  <c r="D82" i="6"/>
  <c r="F371" i="5"/>
  <c r="J371" i="5" s="1"/>
  <c r="K371" i="5" s="1"/>
  <c r="D270" i="6"/>
  <c r="F484" i="5"/>
  <c r="J484" i="5" s="1"/>
  <c r="K484" i="5" s="1"/>
  <c r="D428" i="6"/>
  <c r="F496" i="5"/>
  <c r="J496" i="5" s="1"/>
  <c r="K496" i="5" s="1"/>
  <c r="D444" i="6"/>
  <c r="F695" i="5"/>
  <c r="J695" i="5" s="1"/>
  <c r="K695" i="5" s="1"/>
  <c r="D315" i="6"/>
  <c r="F444" i="5"/>
  <c r="J444" i="5" s="1"/>
  <c r="K444" i="5" s="1"/>
  <c r="D367" i="6"/>
  <c r="F311" i="5"/>
  <c r="J311" i="5" s="1"/>
  <c r="K311" i="5" s="1"/>
  <c r="D201" i="6"/>
  <c r="F152" i="5"/>
  <c r="J152" i="5" s="1"/>
  <c r="K152" i="5" s="1"/>
  <c r="D680" i="6"/>
  <c r="F244" i="5"/>
  <c r="J244" i="5" s="1"/>
  <c r="K244" i="5" s="1"/>
  <c r="D124" i="6"/>
  <c r="F389" i="5"/>
  <c r="D294" i="6"/>
  <c r="F80" i="5"/>
  <c r="J80" i="5" s="1"/>
  <c r="K80" i="5" s="1"/>
  <c r="D450" i="6"/>
  <c r="F593" i="5"/>
  <c r="J593" i="5" s="1"/>
  <c r="K593" i="5" s="1"/>
  <c r="D588" i="6"/>
  <c r="F631" i="5"/>
  <c r="J631" i="5" s="1"/>
  <c r="K631" i="5" s="1"/>
  <c r="D674" i="6"/>
  <c r="F287" i="5"/>
  <c r="J287" i="5" s="1"/>
  <c r="K287" i="5" s="1"/>
  <c r="D169" i="6"/>
  <c r="F423" i="5"/>
  <c r="J423" i="5" s="1"/>
  <c r="K423" i="5" s="1"/>
  <c r="D340" i="6"/>
  <c r="F97" i="5"/>
  <c r="J97" i="5" s="1"/>
  <c r="K97" i="5" s="1"/>
  <c r="D489" i="6"/>
  <c r="F607" i="5"/>
  <c r="J607" i="5" s="1"/>
  <c r="K607" i="5" s="1"/>
  <c r="D611" i="6"/>
  <c r="F735" i="5"/>
  <c r="J735" i="5" s="1"/>
  <c r="K735" i="5" s="1"/>
  <c r="D696" i="6"/>
  <c r="F211" i="5"/>
  <c r="J211" i="5" s="1"/>
  <c r="K211" i="5" s="1"/>
  <c r="D86" i="6"/>
  <c r="F66" i="5"/>
  <c r="J66" i="5" s="1"/>
  <c r="K66" i="5" s="1"/>
  <c r="D257" i="6"/>
  <c r="F477" i="5"/>
  <c r="J477" i="5" s="1"/>
  <c r="K477" i="5" s="1"/>
  <c r="D418" i="6"/>
  <c r="F572" i="5"/>
  <c r="J572" i="5" s="1"/>
  <c r="K572" i="5" s="1"/>
  <c r="D564" i="6"/>
  <c r="F144" i="5"/>
  <c r="J144" i="5" s="1"/>
  <c r="K144" i="5" s="1"/>
  <c r="D655" i="6"/>
  <c r="F668" i="5"/>
  <c r="J668" i="5" s="1"/>
  <c r="K668" i="5" s="1"/>
  <c r="D740" i="6"/>
  <c r="F678" i="5"/>
  <c r="D69" i="6"/>
  <c r="F344" i="5"/>
  <c r="J344" i="5" s="1"/>
  <c r="K344" i="5" s="1"/>
  <c r="D240" i="6"/>
  <c r="F466" i="5"/>
  <c r="J466" i="5" s="1"/>
  <c r="K466" i="5" s="1"/>
  <c r="D403" i="6"/>
  <c r="F560" i="5"/>
  <c r="J560" i="5" s="1"/>
  <c r="K560" i="5" s="1"/>
  <c r="D549" i="6"/>
  <c r="F138" i="5"/>
  <c r="J138" i="5" s="1"/>
  <c r="K138" i="5" s="1"/>
  <c r="D646" i="6"/>
  <c r="F660" i="5"/>
  <c r="J660" i="5" s="1"/>
  <c r="K660" i="5" s="1"/>
  <c r="D731" i="6"/>
  <c r="F274" i="5"/>
  <c r="J274" i="5" s="1"/>
  <c r="K274" i="5" s="1"/>
  <c r="D156" i="6"/>
  <c r="F698" i="5"/>
  <c r="J698" i="5" s="1"/>
  <c r="K698" i="5" s="1"/>
  <c r="D326" i="6"/>
  <c r="F508" i="5"/>
  <c r="J508" i="5" s="1"/>
  <c r="K508" i="5" s="1"/>
  <c r="D477" i="6"/>
  <c r="F124" i="5"/>
  <c r="J124" i="5" s="1"/>
  <c r="K124" i="5" s="1"/>
  <c r="D604" i="6"/>
  <c r="F733" i="5"/>
  <c r="J733" i="5" s="1"/>
  <c r="K733" i="5" s="1"/>
  <c r="D690" i="6"/>
  <c r="F29" i="5"/>
  <c r="J29" i="5" s="1"/>
  <c r="K29" i="5" s="1"/>
  <c r="D12" i="6"/>
  <c r="F58" i="5"/>
  <c r="D182" i="6"/>
  <c r="F706" i="5"/>
  <c r="J706" i="5" s="1"/>
  <c r="K706" i="5" s="1"/>
  <c r="D353" i="6"/>
  <c r="F521" i="5"/>
  <c r="J521" i="5" s="1"/>
  <c r="K521" i="5" s="1"/>
  <c r="D500" i="6"/>
  <c r="F720" i="5"/>
  <c r="J720" i="5" s="1"/>
  <c r="K720" i="5" s="1"/>
  <c r="D618" i="6"/>
  <c r="F154" i="5"/>
  <c r="J154" i="5" s="1"/>
  <c r="K154" i="5" s="1"/>
  <c r="D703" i="6"/>
  <c r="F742" i="5"/>
  <c r="J742" i="5" s="1"/>
  <c r="K742" i="5" s="1"/>
  <c r="D729" i="6"/>
  <c r="F147" i="5"/>
  <c r="J147" i="5" s="1"/>
  <c r="K147" i="5" s="1"/>
  <c r="D665" i="6"/>
  <c r="F600" i="5"/>
  <c r="J600" i="5" s="1"/>
  <c r="K600" i="5" s="1"/>
  <c r="D601" i="6"/>
  <c r="F549" i="5"/>
  <c r="J549" i="5" s="1"/>
  <c r="K549" i="5" s="1"/>
  <c r="D533" i="6"/>
  <c r="F85" i="5"/>
  <c r="J85" i="5" s="1"/>
  <c r="K85" i="5" s="1"/>
  <c r="D460" i="6"/>
  <c r="F713" i="5"/>
  <c r="J713" i="5" s="1"/>
  <c r="K713" i="5" s="1"/>
  <c r="D387" i="6"/>
  <c r="F692" i="5"/>
  <c r="J692" i="5" s="1"/>
  <c r="K692" i="5" s="1"/>
  <c r="D306" i="6"/>
  <c r="F330" i="5"/>
  <c r="J330" i="5" s="1"/>
  <c r="K330" i="5" s="1"/>
  <c r="D221" i="6"/>
  <c r="F255" i="5"/>
  <c r="J255" i="5" s="1"/>
  <c r="K255" i="5" s="1"/>
  <c r="D136" i="6"/>
  <c r="F183" i="5"/>
  <c r="J183" i="5" s="1"/>
  <c r="K183" i="5" s="1"/>
  <c r="D50" i="6"/>
  <c r="F559" i="5"/>
  <c r="J559" i="5" s="1"/>
  <c r="K559" i="5" s="1"/>
  <c r="D548" i="6"/>
  <c r="F94" i="5"/>
  <c r="J94" i="5" s="1"/>
  <c r="K94" i="5" s="1"/>
  <c r="D475" i="6"/>
  <c r="F72" i="5"/>
  <c r="J72" i="5" s="1"/>
  <c r="K72" i="5" s="1"/>
  <c r="D402" i="6"/>
  <c r="F411" i="5"/>
  <c r="J411" i="5" s="1"/>
  <c r="K411" i="5" s="1"/>
  <c r="D324" i="6"/>
  <c r="F685" i="5"/>
  <c r="J685" i="5" s="1"/>
  <c r="K685" i="5" s="1"/>
  <c r="D238" i="6"/>
  <c r="F271" i="5"/>
  <c r="D153" i="6"/>
  <c r="F200" i="5"/>
  <c r="J200" i="5" s="1"/>
  <c r="K200" i="5" s="1"/>
  <c r="D68" i="6"/>
  <c r="F669" i="5"/>
  <c r="J669" i="5" s="1"/>
  <c r="K669" i="5" s="1"/>
  <c r="D741" i="6"/>
  <c r="F150" i="5"/>
  <c r="J150" i="5" s="1"/>
  <c r="K150" i="5" s="1"/>
  <c r="D677" i="6"/>
  <c r="F127" i="5"/>
  <c r="J127" i="5" s="1"/>
  <c r="K127" i="5" s="1"/>
  <c r="D613" i="6"/>
  <c r="F112" i="5"/>
  <c r="J112" i="5" s="1"/>
  <c r="K112" i="5" s="1"/>
  <c r="D547" i="6"/>
  <c r="F93" i="5"/>
  <c r="J93" i="5" s="1"/>
  <c r="K93" i="5" s="1"/>
  <c r="D474" i="6"/>
  <c r="F465" i="5"/>
  <c r="J465" i="5" s="1"/>
  <c r="K465" i="5" s="1"/>
  <c r="D401" i="6"/>
  <c r="F697" i="5"/>
  <c r="J697" i="5" s="1"/>
  <c r="K697" i="5" s="1"/>
  <c r="D322" i="6"/>
  <c r="F684" i="5"/>
  <c r="J684" i="5" s="1"/>
  <c r="K684" i="5" s="1"/>
  <c r="D237" i="6"/>
  <c r="F747" i="5"/>
  <c r="J747" i="5" s="1"/>
  <c r="K747" i="5" s="1"/>
  <c r="D152" i="6"/>
  <c r="F198" i="5"/>
  <c r="J198" i="5" s="1"/>
  <c r="K198" i="5" s="1"/>
  <c r="D66" i="6"/>
  <c r="F571" i="5"/>
  <c r="J571" i="5" s="1"/>
  <c r="K571" i="5" s="1"/>
  <c r="D563" i="6"/>
  <c r="F9" i="5"/>
  <c r="J9" i="5" s="1"/>
  <c r="K9" i="5" s="1"/>
  <c r="D490" i="6"/>
  <c r="F476" i="5"/>
  <c r="J476" i="5" s="1"/>
  <c r="K476" i="5" s="1"/>
  <c r="D417" i="6"/>
  <c r="F424" i="5"/>
  <c r="J424" i="5" s="1"/>
  <c r="K424" i="5" s="1"/>
  <c r="D341" i="6"/>
  <c r="F359" i="5"/>
  <c r="J359" i="5" s="1"/>
  <c r="K359" i="5" s="1"/>
  <c r="D256" i="6"/>
  <c r="F288" i="5"/>
  <c r="J288" i="5" s="1"/>
  <c r="K288" i="5" s="1"/>
  <c r="D170" i="6"/>
  <c r="F210" i="5"/>
  <c r="J210" i="5" s="1"/>
  <c r="K210" i="5" s="1"/>
  <c r="D85" i="6"/>
  <c r="F433" i="5"/>
  <c r="J433" i="5" s="1"/>
  <c r="K433" i="5" s="1"/>
  <c r="D355" i="6"/>
  <c r="F386" i="5"/>
  <c r="J386" i="5" s="1"/>
  <c r="K386" i="5" s="1"/>
  <c r="D291" i="6"/>
  <c r="F334" i="5"/>
  <c r="J334" i="5" s="1"/>
  <c r="K334" i="5" s="1"/>
  <c r="D227" i="6"/>
  <c r="F281" i="5"/>
  <c r="J281" i="5" s="1"/>
  <c r="K281" i="5" s="1"/>
  <c r="D163" i="6"/>
  <c r="F53" i="5"/>
  <c r="J53" i="5" s="1"/>
  <c r="K53" i="5" s="1"/>
  <c r="D99" i="6"/>
  <c r="F43" i="5"/>
  <c r="J43" i="5" s="1"/>
  <c r="K43" i="5" s="1"/>
  <c r="D35" i="6"/>
  <c r="F108" i="5"/>
  <c r="J108" i="5" s="1"/>
  <c r="K108" i="5" s="1"/>
  <c r="D535" i="6"/>
  <c r="F91" i="5"/>
  <c r="J91" i="5" s="1"/>
  <c r="K91" i="5" s="1"/>
  <c r="D471" i="6"/>
  <c r="F73" i="5"/>
  <c r="J73" i="5" s="1"/>
  <c r="K73" i="5" s="1"/>
  <c r="D407" i="6"/>
  <c r="F426" i="5"/>
  <c r="D343" i="6"/>
  <c r="F376" i="5"/>
  <c r="J376" i="5" s="1"/>
  <c r="K376" i="5" s="1"/>
  <c r="D279" i="6"/>
  <c r="F325" i="5"/>
  <c r="J325" i="5" s="1"/>
  <c r="K325" i="5" s="1"/>
  <c r="D215" i="6"/>
  <c r="F270" i="5"/>
  <c r="J270" i="5" s="1"/>
  <c r="K270" i="5" s="1"/>
  <c r="D151" i="6"/>
  <c r="F212" i="5"/>
  <c r="J212" i="5" s="1"/>
  <c r="K212" i="5" s="1"/>
  <c r="D87" i="6"/>
  <c r="F37" i="5"/>
  <c r="J37" i="5" s="1"/>
  <c r="K37" i="5" s="1"/>
  <c r="D23" i="6"/>
  <c r="F495" i="5"/>
  <c r="J495" i="5" s="1"/>
  <c r="K495" i="5" s="1"/>
  <c r="D443" i="6"/>
  <c r="F318" i="5"/>
  <c r="J318" i="5" s="1"/>
  <c r="K318" i="5" s="1"/>
  <c r="D208" i="6"/>
  <c r="F157" i="5"/>
  <c r="J157" i="5" s="1"/>
  <c r="K157" i="5" s="1"/>
  <c r="D715" i="6"/>
  <c r="F457" i="5"/>
  <c r="J457" i="5" s="1"/>
  <c r="K457" i="5" s="1"/>
  <c r="D388" i="6"/>
  <c r="F191" i="5"/>
  <c r="J191" i="5" s="1"/>
  <c r="K191" i="5" s="1"/>
  <c r="D58" i="6"/>
  <c r="F14" i="5"/>
  <c r="J14" i="5" s="1"/>
  <c r="K14" i="5" s="1"/>
  <c r="D640" i="6"/>
  <c r="F511" i="5"/>
  <c r="J511" i="5" s="1"/>
  <c r="K511" i="5" s="1"/>
  <c r="D480" i="6"/>
  <c r="F605" i="5"/>
  <c r="J605" i="5" s="1"/>
  <c r="K605" i="5" s="1"/>
  <c r="D608" i="6"/>
  <c r="F165" i="5"/>
  <c r="J165" i="5" s="1"/>
  <c r="K165" i="5" s="1"/>
  <c r="D22" i="6"/>
  <c r="F722" i="5"/>
  <c r="J722" i="5" s="1"/>
  <c r="K722" i="5" s="1"/>
  <c r="D623" i="6"/>
  <c r="F703" i="5"/>
  <c r="J703" i="5" s="1"/>
  <c r="K703" i="5" s="1"/>
  <c r="D346" i="6"/>
  <c r="F718" i="5"/>
  <c r="J718" i="5" s="1"/>
  <c r="K718" i="5" s="1"/>
  <c r="D422" i="6"/>
  <c r="F497" i="5"/>
  <c r="J497" i="5" s="1"/>
  <c r="K497" i="5" s="1"/>
  <c r="D445" i="6"/>
  <c r="F474" i="5"/>
  <c r="J474" i="5" s="1"/>
  <c r="K474" i="5" s="1"/>
  <c r="D414" i="6"/>
  <c r="F581" i="5"/>
  <c r="J581" i="5" s="1"/>
  <c r="K581" i="5" s="1"/>
  <c r="D574" i="6"/>
  <c r="F31" i="5"/>
  <c r="J31" i="5" s="1"/>
  <c r="K31" i="5" s="1"/>
  <c r="D14" i="6"/>
  <c r="F536" i="5"/>
  <c r="J536" i="5" s="1"/>
  <c r="K536" i="5" s="1"/>
  <c r="D517" i="6"/>
  <c r="F243" i="5"/>
  <c r="J243" i="5" s="1"/>
  <c r="K243" i="5" s="1"/>
  <c r="D123" i="6"/>
  <c r="F504" i="5"/>
  <c r="J504" i="5" s="1"/>
  <c r="K504" i="5" s="1"/>
  <c r="D467" i="6"/>
  <c r="F264" i="5"/>
  <c r="J264" i="5" s="1"/>
  <c r="K264" i="5" s="1"/>
  <c r="D145" i="6"/>
  <c r="F405" i="5"/>
  <c r="J405" i="5" s="1"/>
  <c r="K405" i="5" s="1"/>
  <c r="D316" i="6"/>
  <c r="F505" i="5"/>
  <c r="J505" i="5" s="1"/>
  <c r="K505" i="5" s="1"/>
  <c r="D468" i="6"/>
  <c r="F123" i="5"/>
  <c r="J123" i="5" s="1"/>
  <c r="K123" i="5" s="1"/>
  <c r="D599" i="6"/>
  <c r="F636" i="5"/>
  <c r="J636" i="5" s="1"/>
  <c r="K636" i="5" s="1"/>
  <c r="D684" i="6"/>
  <c r="F163" i="5"/>
  <c r="J163" i="5" s="1"/>
  <c r="K163" i="5" s="1"/>
  <c r="D20" i="6"/>
  <c r="F303" i="5"/>
  <c r="J303" i="5" s="1"/>
  <c r="K303" i="5" s="1"/>
  <c r="D190" i="6"/>
  <c r="F439" i="5"/>
  <c r="J439" i="5" s="1"/>
  <c r="K439" i="5" s="1"/>
  <c r="D361" i="6"/>
  <c r="F527" i="5"/>
  <c r="J527" i="5" s="1"/>
  <c r="K527" i="5" s="1"/>
  <c r="D507" i="6"/>
  <c r="F130" i="5"/>
  <c r="J130" i="5" s="1"/>
  <c r="K130" i="5" s="1"/>
  <c r="D622" i="6"/>
  <c r="F155" i="5"/>
  <c r="J155" i="5" s="1"/>
  <c r="K155" i="5" s="1"/>
  <c r="D707" i="6"/>
  <c r="F229" i="5"/>
  <c r="J229" i="5" s="1"/>
  <c r="K229" i="5" s="1"/>
  <c r="D108" i="6"/>
  <c r="F687" i="5"/>
  <c r="J687" i="5" s="1"/>
  <c r="K687" i="5" s="1"/>
  <c r="D278" i="6"/>
  <c r="F489" i="5"/>
  <c r="J489" i="5" s="1"/>
  <c r="K489" i="5" s="1"/>
  <c r="D436" i="6"/>
  <c r="F587" i="5"/>
  <c r="J587" i="5" s="1"/>
  <c r="K587" i="5" s="1"/>
  <c r="D580" i="6"/>
  <c r="F725" i="5"/>
  <c r="J725" i="5" s="1"/>
  <c r="K725" i="5" s="1"/>
  <c r="D666" i="6"/>
  <c r="F159" i="5"/>
  <c r="J159" i="5" s="1"/>
  <c r="K159" i="5" s="1"/>
  <c r="D751" i="6"/>
  <c r="F215" i="5"/>
  <c r="J215" i="5" s="1"/>
  <c r="K215" i="5" s="1"/>
  <c r="D90" i="6"/>
  <c r="F362" i="5"/>
  <c r="J362" i="5" s="1"/>
  <c r="K362" i="5" s="1"/>
  <c r="D261" i="6"/>
  <c r="F480" i="5"/>
  <c r="J480" i="5" s="1"/>
  <c r="K480" i="5" s="1"/>
  <c r="D421" i="6"/>
  <c r="F574" i="5"/>
  <c r="J574" i="5" s="1"/>
  <c r="K574" i="5" s="1"/>
  <c r="D567" i="6"/>
  <c r="F624" i="5"/>
  <c r="J624" i="5" s="1"/>
  <c r="K624" i="5" s="1"/>
  <c r="D656" i="6"/>
  <c r="F670" i="5"/>
  <c r="J670" i="5" s="1"/>
  <c r="K670" i="5" s="1"/>
  <c r="D742" i="6"/>
  <c r="F25" i="5"/>
  <c r="J25" i="5" s="1"/>
  <c r="K25" i="5" s="1"/>
  <c r="D6" i="6"/>
  <c r="F294" i="5"/>
  <c r="J294" i="5" s="1"/>
  <c r="K294" i="5" s="1"/>
  <c r="D177" i="6"/>
  <c r="F704" i="5"/>
  <c r="J704" i="5" s="1"/>
  <c r="K704" i="5" s="1"/>
  <c r="D348" i="6"/>
  <c r="F518" i="5"/>
  <c r="J518" i="5" s="1"/>
  <c r="K518" i="5" s="1"/>
  <c r="D496" i="6"/>
  <c r="F609" i="5"/>
  <c r="J609" i="5" s="1"/>
  <c r="K609" i="5" s="1"/>
  <c r="D615" i="6"/>
  <c r="F17" i="5"/>
  <c r="J17" i="5" s="1"/>
  <c r="K17" i="5" s="1"/>
  <c r="D700" i="6"/>
  <c r="F171" i="5"/>
  <c r="J171" i="5" s="1"/>
  <c r="K171" i="5" s="1"/>
  <c r="D33" i="6"/>
  <c r="F314" i="5"/>
  <c r="J314" i="5" s="1"/>
  <c r="K314" i="5" s="1"/>
  <c r="D204" i="6"/>
  <c r="F447" i="5"/>
  <c r="J447" i="5" s="1"/>
  <c r="K447" i="5" s="1"/>
  <c r="D372" i="6"/>
  <c r="F537" i="5"/>
  <c r="J537" i="5" s="1"/>
  <c r="K537" i="5" s="1"/>
  <c r="D518" i="6"/>
  <c r="F616" i="5"/>
  <c r="J616" i="5" s="1"/>
  <c r="K616" i="5" s="1"/>
  <c r="D628" i="6"/>
  <c r="F156" i="5"/>
  <c r="J156" i="5" s="1"/>
  <c r="K156" i="5" s="1"/>
  <c r="D714" i="6"/>
  <c r="F655" i="5"/>
  <c r="J655" i="5" s="1"/>
  <c r="K655" i="5" s="1"/>
  <c r="D721" i="6"/>
  <c r="F723" i="5"/>
  <c r="J723" i="5" s="1"/>
  <c r="K723" i="5" s="1"/>
  <c r="D657" i="6"/>
  <c r="F596" i="5"/>
  <c r="J596" i="5" s="1"/>
  <c r="K596" i="5" s="1"/>
  <c r="D593" i="6"/>
  <c r="F542" i="5"/>
  <c r="J542" i="5" s="1"/>
  <c r="K542" i="5" s="1"/>
  <c r="D524" i="6"/>
  <c r="F499" i="5"/>
  <c r="J499" i="5" s="1"/>
  <c r="K499" i="5" s="1"/>
  <c r="D451" i="6"/>
  <c r="F451" i="5"/>
  <c r="J451" i="5" s="1"/>
  <c r="K451" i="5" s="1"/>
  <c r="D378" i="6"/>
  <c r="F391" i="5"/>
  <c r="J391" i="5" s="1"/>
  <c r="K391" i="5" s="1"/>
  <c r="D296" i="6"/>
  <c r="F320" i="5"/>
  <c r="J320" i="5" s="1"/>
  <c r="K320" i="5" s="1"/>
  <c r="D210" i="6"/>
  <c r="F245" i="5"/>
  <c r="J245" i="5" s="1"/>
  <c r="K245" i="5" s="1"/>
  <c r="D125" i="6"/>
  <c r="F174" i="5"/>
  <c r="J174" i="5" s="1"/>
  <c r="K174" i="5" s="1"/>
  <c r="D40" i="6"/>
  <c r="F553" i="5"/>
  <c r="J553" i="5" s="1"/>
  <c r="K553" i="5" s="1"/>
  <c r="D539" i="6"/>
  <c r="F89" i="5"/>
  <c r="J89" i="5" s="1"/>
  <c r="K89" i="5" s="1"/>
  <c r="D466" i="6"/>
  <c r="F459" i="5"/>
  <c r="J459" i="5" s="1"/>
  <c r="K459" i="5" s="1"/>
  <c r="D393" i="6"/>
  <c r="F403" i="5"/>
  <c r="J403" i="5" s="1"/>
  <c r="K403" i="5" s="1"/>
  <c r="D313" i="6"/>
  <c r="F335" i="5"/>
  <c r="J335" i="5" s="1"/>
  <c r="K335" i="5" s="1"/>
  <c r="D228" i="6"/>
  <c r="F261" i="5"/>
  <c r="J261" i="5" s="1"/>
  <c r="K261" i="5" s="1"/>
  <c r="D142" i="6"/>
  <c r="F190" i="5"/>
  <c r="J190" i="5" s="1"/>
  <c r="K190" i="5" s="1"/>
  <c r="D57" i="6"/>
  <c r="F662" i="5"/>
  <c r="J662" i="5" s="1"/>
  <c r="K662" i="5" s="1"/>
  <c r="D733" i="6"/>
  <c r="F727" i="5"/>
  <c r="J727" i="5" s="1"/>
  <c r="K727" i="5" s="1"/>
  <c r="D669" i="6"/>
  <c r="F603" i="5"/>
  <c r="J603" i="5" s="1"/>
  <c r="K603" i="5" s="1"/>
  <c r="D605" i="6"/>
  <c r="F552" i="5"/>
  <c r="J552" i="5" s="1"/>
  <c r="K552" i="5" s="1"/>
  <c r="D538" i="6"/>
  <c r="F7" i="5"/>
  <c r="J7" i="5" s="1"/>
  <c r="K7" i="5" s="1"/>
  <c r="D465" i="6"/>
  <c r="F2" i="5"/>
  <c r="J2" i="5" s="1"/>
  <c r="K2" i="5" s="1"/>
  <c r="D392" i="6"/>
  <c r="F694" i="5"/>
  <c r="J694" i="5" s="1"/>
  <c r="K694" i="5" s="1"/>
  <c r="D312" i="6"/>
  <c r="F333" i="5"/>
  <c r="J333" i="5" s="1"/>
  <c r="K333" i="5" s="1"/>
  <c r="D226" i="6"/>
  <c r="F260" i="5"/>
  <c r="J260" i="5" s="1"/>
  <c r="K260" i="5" s="1"/>
  <c r="D141" i="6"/>
  <c r="F189" i="5"/>
  <c r="J189" i="5" s="1"/>
  <c r="K189" i="5" s="1"/>
  <c r="D56" i="6"/>
  <c r="F565" i="5"/>
  <c r="J565" i="5" s="1"/>
  <c r="K565" i="5" s="1"/>
  <c r="D554" i="6"/>
  <c r="F8" i="5"/>
  <c r="J8" i="5" s="1"/>
  <c r="K8" i="5" s="1"/>
  <c r="D481" i="6"/>
  <c r="F470" i="5"/>
  <c r="J470" i="5" s="1"/>
  <c r="K470" i="5" s="1"/>
  <c r="D408" i="6"/>
  <c r="F699" i="5"/>
  <c r="J699" i="5" s="1"/>
  <c r="K699" i="5" s="1"/>
  <c r="D330" i="6"/>
  <c r="F349" i="5"/>
  <c r="J349" i="5" s="1"/>
  <c r="K349" i="5" s="1"/>
  <c r="D245" i="6"/>
  <c r="F278" i="5"/>
  <c r="J278" i="5" s="1"/>
  <c r="K278" i="5" s="1"/>
  <c r="D160" i="6"/>
  <c r="F203" i="5"/>
  <c r="J203" i="5" s="1"/>
  <c r="K203" i="5" s="1"/>
  <c r="D74" i="6"/>
  <c r="F428" i="5"/>
  <c r="J428" i="5" s="1"/>
  <c r="K428" i="5" s="1"/>
  <c r="D347" i="6"/>
  <c r="F689" i="5"/>
  <c r="J689" i="5" s="1"/>
  <c r="K689" i="5" s="1"/>
  <c r="D283" i="6"/>
  <c r="F5" i="5"/>
  <c r="J5" i="5" s="1"/>
  <c r="K5" i="5" s="1"/>
  <c r="D219" i="6"/>
  <c r="F273" i="5"/>
  <c r="J273" i="5" s="1"/>
  <c r="K273" i="5" s="1"/>
  <c r="D155" i="6"/>
  <c r="F216" i="5"/>
  <c r="J216" i="5" s="1"/>
  <c r="K216" i="5" s="1"/>
  <c r="D91" i="6"/>
  <c r="F167" i="5"/>
  <c r="J167" i="5" s="1"/>
  <c r="K167" i="5" s="1"/>
  <c r="D27" i="6"/>
  <c r="F545" i="5"/>
  <c r="D527" i="6"/>
  <c r="F88" i="5"/>
  <c r="J88" i="5" s="1"/>
  <c r="K88" i="5" s="1"/>
  <c r="D463" i="6"/>
  <c r="F714" i="5"/>
  <c r="J714" i="5" s="1"/>
  <c r="K714" i="5" s="1"/>
  <c r="D399" i="6"/>
  <c r="F419" i="5"/>
  <c r="J419" i="5" s="1"/>
  <c r="K419" i="5" s="1"/>
  <c r="D335" i="6"/>
  <c r="F372" i="5"/>
  <c r="J372" i="5" s="1"/>
  <c r="K372" i="5" s="1"/>
  <c r="D271" i="6"/>
  <c r="F317" i="5"/>
  <c r="J317" i="5" s="1"/>
  <c r="K317" i="5" s="1"/>
  <c r="D207" i="6"/>
  <c r="F262" i="5"/>
  <c r="J262" i="5" s="1"/>
  <c r="K262" i="5" s="1"/>
  <c r="D143" i="6"/>
  <c r="F205" i="5"/>
  <c r="J205" i="5" s="1"/>
  <c r="K205" i="5" s="1"/>
  <c r="D79" i="6"/>
  <c r="F32" i="5"/>
  <c r="J32" i="5" s="1"/>
  <c r="K32" i="5" s="1"/>
  <c r="D15" i="6"/>
  <c r="F535" i="5"/>
  <c r="J535" i="5" s="1"/>
  <c r="K535" i="5" s="1"/>
  <c r="D516" i="6"/>
  <c r="F388" i="5"/>
  <c r="J388" i="5" s="1"/>
  <c r="K388" i="5" s="1"/>
  <c r="D293" i="6"/>
  <c r="F86" i="5"/>
  <c r="J86" i="5" s="1"/>
  <c r="K86" i="5" s="1"/>
  <c r="D461" i="6"/>
  <c r="F263" i="5"/>
  <c r="J263" i="5" s="1"/>
  <c r="K263" i="5" s="1"/>
  <c r="D144" i="6"/>
  <c r="F635" i="5"/>
  <c r="J635" i="5" s="1"/>
  <c r="K635" i="5" s="1"/>
  <c r="D683" i="6"/>
  <c r="F564" i="5"/>
  <c r="J564" i="5" s="1"/>
  <c r="K564" i="5" s="1"/>
  <c r="D553" i="6"/>
  <c r="F665" i="5"/>
  <c r="J665" i="5" s="1"/>
  <c r="K665" i="5" s="1"/>
  <c r="D736" i="6"/>
  <c r="F193" i="5"/>
  <c r="J193" i="5" s="1"/>
  <c r="K193" i="5" s="1"/>
  <c r="D60" i="6"/>
  <c r="F374" i="5"/>
  <c r="J374" i="5" s="1"/>
  <c r="K374" i="5" s="1"/>
  <c r="D276" i="6"/>
  <c r="F24" i="5"/>
  <c r="J24" i="5" s="1"/>
  <c r="K24" i="5" s="1"/>
  <c r="D5" i="6"/>
  <c r="F625" i="5"/>
  <c r="J625" i="5" s="1"/>
  <c r="K625" i="5" s="1"/>
  <c r="D658" i="6"/>
  <c r="F729" i="5"/>
  <c r="J729" i="5" s="1"/>
  <c r="K729" i="5" s="1"/>
  <c r="D671" i="6"/>
  <c r="F614" i="5"/>
  <c r="J614" i="5" s="1"/>
  <c r="K614" i="5" s="1"/>
  <c r="D625" i="6"/>
  <c r="F523" i="5"/>
  <c r="J523" i="5" s="1"/>
  <c r="K523" i="5" s="1"/>
  <c r="D502" i="6"/>
  <c r="F135" i="5"/>
  <c r="J135" i="5" s="1"/>
  <c r="K135" i="5" s="1"/>
  <c r="D637" i="6"/>
  <c r="F52" i="5"/>
  <c r="J52" i="5" s="1"/>
  <c r="K52" i="5" s="1"/>
  <c r="D98" i="6"/>
  <c r="F383" i="5"/>
  <c r="J383" i="5" s="1"/>
  <c r="K383" i="5" s="1"/>
  <c r="D288" i="6"/>
  <c r="F355" i="5"/>
  <c r="J355" i="5" s="1"/>
  <c r="K355" i="5" s="1"/>
  <c r="D251" i="6"/>
  <c r="F293" i="5"/>
  <c r="J293" i="5" s="1"/>
  <c r="K293" i="5" s="1"/>
  <c r="D175" i="6"/>
  <c r="F348" i="5"/>
  <c r="J348" i="5" s="1"/>
  <c r="K348" i="5" s="1"/>
  <c r="D244" i="6"/>
  <c r="F284" i="5"/>
  <c r="J284" i="5" s="1"/>
  <c r="K284" i="5" s="1"/>
  <c r="D166" i="6"/>
  <c r="F420" i="5"/>
  <c r="J420" i="5" s="1"/>
  <c r="K420" i="5" s="1"/>
  <c r="D337" i="6"/>
  <c r="F514" i="5"/>
  <c r="J514" i="5" s="1"/>
  <c r="K514" i="5" s="1"/>
  <c r="D486" i="6"/>
  <c r="F606" i="5"/>
  <c r="J606" i="5" s="1"/>
  <c r="K606" i="5" s="1"/>
  <c r="D610" i="6"/>
  <c r="F642" i="5"/>
  <c r="J642" i="5" s="1"/>
  <c r="K642" i="5" s="1"/>
  <c r="D695" i="6"/>
  <c r="F175" i="5"/>
  <c r="J175" i="5" s="1"/>
  <c r="K175" i="5" s="1"/>
  <c r="D41" i="6"/>
  <c r="F322" i="5"/>
  <c r="J322" i="5" s="1"/>
  <c r="K322" i="5" s="1"/>
  <c r="D212" i="6"/>
  <c r="F710" i="5"/>
  <c r="J710" i="5" s="1"/>
  <c r="K710" i="5" s="1"/>
  <c r="D379" i="6"/>
  <c r="F543" i="5"/>
  <c r="J543" i="5" s="1"/>
  <c r="K543" i="5" s="1"/>
  <c r="D525" i="6"/>
  <c r="F620" i="5"/>
  <c r="J620" i="5" s="1"/>
  <c r="K620" i="5" s="1"/>
  <c r="D632" i="6"/>
  <c r="F158" i="5"/>
  <c r="J158" i="5" s="1"/>
  <c r="K158" i="5" s="1"/>
  <c r="D718" i="6"/>
  <c r="F249" i="5"/>
  <c r="J249" i="5" s="1"/>
  <c r="K249" i="5" s="1"/>
  <c r="D129" i="6"/>
  <c r="F395" i="5"/>
  <c r="J395" i="5" s="1"/>
  <c r="K395" i="5" s="1"/>
  <c r="D300" i="6"/>
  <c r="F82" i="5"/>
  <c r="J82" i="5" s="1"/>
  <c r="K82" i="5" s="1"/>
  <c r="D454" i="6"/>
  <c r="F120" i="5"/>
  <c r="J120" i="5" s="1"/>
  <c r="K120" i="5" s="1"/>
  <c r="D591" i="6"/>
  <c r="F149" i="5"/>
  <c r="J149" i="5" s="1"/>
  <c r="K149" i="5" s="1"/>
  <c r="D676" i="6"/>
  <c r="F233" i="5"/>
  <c r="J233" i="5" s="1"/>
  <c r="K233" i="5" s="1"/>
  <c r="D112" i="6"/>
  <c r="F688" i="5"/>
  <c r="J688" i="5" s="1"/>
  <c r="K688" i="5" s="1"/>
  <c r="D282" i="6"/>
  <c r="F493" i="5"/>
  <c r="J493" i="5" s="1"/>
  <c r="K493" i="5" s="1"/>
  <c r="D440" i="6"/>
  <c r="F117" i="5"/>
  <c r="J117" i="5" s="1"/>
  <c r="K117" i="5" s="1"/>
  <c r="D582" i="6"/>
  <c r="F629" i="5"/>
  <c r="J629" i="5" s="1"/>
  <c r="K629" i="5" s="1"/>
  <c r="D667" i="6"/>
  <c r="F160" i="5"/>
  <c r="J160" i="5" s="1"/>
  <c r="K160" i="5" s="1"/>
  <c r="D752" i="6"/>
  <c r="F168" i="5"/>
  <c r="J168" i="5" s="1"/>
  <c r="K168" i="5" s="1"/>
  <c r="D28" i="6"/>
  <c r="F62" i="5"/>
  <c r="J62" i="5" s="1"/>
  <c r="K62" i="5" s="1"/>
  <c r="D198" i="6"/>
  <c r="F445" i="5"/>
  <c r="J445" i="5" s="1"/>
  <c r="K445" i="5" s="1"/>
  <c r="D368" i="6"/>
  <c r="F533" i="5"/>
  <c r="J533" i="5" s="1"/>
  <c r="K533" i="5" s="1"/>
  <c r="D514" i="6"/>
  <c r="F615" i="5"/>
  <c r="J615" i="5" s="1"/>
  <c r="K615" i="5" s="1"/>
  <c r="D626" i="6"/>
  <c r="F738" i="5"/>
  <c r="D711" i="6"/>
  <c r="F187" i="5"/>
  <c r="J187" i="5" s="1"/>
  <c r="K187" i="5" s="1"/>
  <c r="D54" i="6"/>
  <c r="F683" i="5"/>
  <c r="J683" i="5" s="1"/>
  <c r="K683" i="5" s="1"/>
  <c r="D225" i="6"/>
  <c r="F750" i="5"/>
  <c r="D390" i="6"/>
  <c r="F551" i="5"/>
  <c r="J551" i="5" s="1"/>
  <c r="K551" i="5" s="1"/>
  <c r="D537" i="6"/>
  <c r="F13" i="5"/>
  <c r="J13" i="5" s="1"/>
  <c r="K13" i="5" s="1"/>
  <c r="D639" i="6"/>
  <c r="F658" i="5"/>
  <c r="J658" i="5" s="1"/>
  <c r="K658" i="5" s="1"/>
  <c r="D724" i="6"/>
  <c r="F652" i="5"/>
  <c r="J652" i="5" s="1"/>
  <c r="K652" i="5" s="1"/>
  <c r="D713" i="6"/>
  <c r="F140" i="5"/>
  <c r="J140" i="5" s="1"/>
  <c r="K140" i="5" s="1"/>
  <c r="D649" i="6"/>
  <c r="F118" i="5"/>
  <c r="J118" i="5" s="1"/>
  <c r="K118" i="5" s="1"/>
  <c r="D585" i="6"/>
  <c r="F534" i="5"/>
  <c r="J534" i="5" s="1"/>
  <c r="K534" i="5" s="1"/>
  <c r="D515" i="6"/>
  <c r="F76" i="5"/>
  <c r="J76" i="5" s="1"/>
  <c r="K76" i="5" s="1"/>
  <c r="D442" i="6"/>
  <c r="F446" i="5"/>
  <c r="J446" i="5" s="1"/>
  <c r="K446" i="5" s="1"/>
  <c r="D369" i="6"/>
  <c r="F380" i="5"/>
  <c r="J380" i="5" s="1"/>
  <c r="K380" i="5" s="1"/>
  <c r="D285" i="6"/>
  <c r="F64" i="5"/>
  <c r="J64" i="5" s="1"/>
  <c r="K64" i="5" s="1"/>
  <c r="D200" i="6"/>
  <c r="F234" i="5"/>
  <c r="J234" i="5" s="1"/>
  <c r="K234" i="5" s="1"/>
  <c r="D114" i="6"/>
  <c r="F169" i="5"/>
  <c r="J169" i="5" s="1"/>
  <c r="K169" i="5" s="1"/>
  <c r="D29" i="6"/>
  <c r="F547" i="5"/>
  <c r="J547" i="5" s="1"/>
  <c r="K547" i="5" s="1"/>
  <c r="D530" i="6"/>
  <c r="F84" i="5"/>
  <c r="J84" i="5" s="1"/>
  <c r="K84" i="5" s="1"/>
  <c r="D457" i="6"/>
  <c r="F455" i="5"/>
  <c r="J455" i="5" s="1"/>
  <c r="K455" i="5" s="1"/>
  <c r="D384" i="6"/>
  <c r="F397" i="5"/>
  <c r="J397" i="5" s="1"/>
  <c r="K397" i="5" s="1"/>
  <c r="D302" i="6"/>
  <c r="F327" i="5"/>
  <c r="J327" i="5" s="1"/>
  <c r="K327" i="5" s="1"/>
  <c r="D217" i="6"/>
  <c r="F252" i="5"/>
  <c r="J252" i="5" s="1"/>
  <c r="K252" i="5" s="1"/>
  <c r="D132" i="6"/>
  <c r="F46" i="5"/>
  <c r="J46" i="5" s="1"/>
  <c r="K46" i="5" s="1"/>
  <c r="D46" i="6"/>
  <c r="F739" i="5"/>
  <c r="J739" i="5" s="1"/>
  <c r="K739" i="5" s="1"/>
  <c r="D725" i="6"/>
  <c r="F724" i="5"/>
  <c r="J724" i="5" s="1"/>
  <c r="K724" i="5" s="1"/>
  <c r="D661" i="6"/>
  <c r="F599" i="5"/>
  <c r="J599" i="5" s="1"/>
  <c r="K599" i="5" s="1"/>
  <c r="D597" i="6"/>
  <c r="F106" i="5"/>
  <c r="J106" i="5" s="1"/>
  <c r="K106" i="5" s="1"/>
  <c r="D529" i="6"/>
  <c r="F83" i="5"/>
  <c r="J83" i="5" s="1"/>
  <c r="K83" i="5" s="1"/>
  <c r="D456" i="6"/>
  <c r="F453" i="5"/>
  <c r="J453" i="5" s="1"/>
  <c r="K453" i="5" s="1"/>
  <c r="D382" i="6"/>
  <c r="F396" i="5"/>
  <c r="J396" i="5" s="1"/>
  <c r="K396" i="5" s="1"/>
  <c r="D301" i="6"/>
  <c r="F326" i="5"/>
  <c r="J326" i="5" s="1"/>
  <c r="K326" i="5" s="1"/>
  <c r="D216" i="6"/>
  <c r="F250" i="5"/>
  <c r="J250" i="5" s="1"/>
  <c r="K250" i="5" s="1"/>
  <c r="D130" i="6"/>
  <c r="F179" i="5"/>
  <c r="J179" i="5" s="1"/>
  <c r="K179" i="5" s="1"/>
  <c r="D45" i="6"/>
  <c r="F557" i="5"/>
  <c r="J557" i="5" s="1"/>
  <c r="K557" i="5" s="1"/>
  <c r="D545" i="6"/>
  <c r="F3" i="5"/>
  <c r="J3" i="5" s="1"/>
  <c r="K3" i="5" s="1"/>
  <c r="D472" i="6"/>
  <c r="F464" i="5"/>
  <c r="J464" i="5" s="1"/>
  <c r="K464" i="5" s="1"/>
  <c r="D398" i="6"/>
  <c r="F408" i="5"/>
  <c r="J408" i="5" s="1"/>
  <c r="K408" i="5" s="1"/>
  <c r="D320" i="6"/>
  <c r="F341" i="5"/>
  <c r="J341" i="5" s="1"/>
  <c r="K341" i="5" s="1"/>
  <c r="D234" i="6"/>
  <c r="F268" i="5"/>
  <c r="J268" i="5" s="1"/>
  <c r="K268" i="5" s="1"/>
  <c r="D149" i="6"/>
  <c r="F196" i="5"/>
  <c r="J196" i="5" s="1"/>
  <c r="K196" i="5" s="1"/>
  <c r="D64" i="6"/>
  <c r="F422" i="5"/>
  <c r="J422" i="5" s="1"/>
  <c r="K422" i="5" s="1"/>
  <c r="D339" i="6"/>
  <c r="F69" i="5"/>
  <c r="J69" i="5" s="1"/>
  <c r="K69" i="5" s="1"/>
  <c r="D275" i="6"/>
  <c r="F321" i="5"/>
  <c r="J321" i="5" s="1"/>
  <c r="K321" i="5" s="1"/>
  <c r="D211" i="6"/>
  <c r="F266" i="5"/>
  <c r="J266" i="5" s="1"/>
  <c r="K266" i="5" s="1"/>
  <c r="D147" i="6"/>
  <c r="F208" i="5"/>
  <c r="J208" i="5" s="1"/>
  <c r="K208" i="5" s="1"/>
  <c r="D83" i="6"/>
  <c r="F36" i="5"/>
  <c r="J36" i="5" s="1"/>
  <c r="K36" i="5" s="1"/>
  <c r="D19" i="6"/>
  <c r="F105" i="5"/>
  <c r="J105" i="5" s="1"/>
  <c r="K105" i="5" s="1"/>
  <c r="D519" i="6"/>
  <c r="F501" i="5"/>
  <c r="J501" i="5" s="1"/>
  <c r="K501" i="5" s="1"/>
  <c r="D455" i="6"/>
  <c r="F71" i="5"/>
  <c r="J71" i="5" s="1"/>
  <c r="K71" i="5" s="1"/>
  <c r="D391" i="6"/>
  <c r="F413" i="5"/>
  <c r="J413" i="5" s="1"/>
  <c r="K413" i="5" s="1"/>
  <c r="D327" i="6"/>
  <c r="F364" i="5"/>
  <c r="J364" i="5" s="1"/>
  <c r="K364" i="5" s="1"/>
  <c r="D263" i="6"/>
  <c r="F63" i="5"/>
  <c r="J63" i="5" s="1"/>
  <c r="K63" i="5" s="1"/>
  <c r="D199" i="6"/>
  <c r="F254" i="5"/>
  <c r="J254" i="5" s="1"/>
  <c r="K254" i="5" s="1"/>
  <c r="D135" i="6"/>
  <c r="F679" i="5"/>
  <c r="J679" i="5" s="1"/>
  <c r="K679" i="5" s="1"/>
  <c r="D71" i="6"/>
  <c r="F26" i="5"/>
  <c r="J26" i="5" s="1"/>
  <c r="K26" i="5" s="1"/>
  <c r="D7" i="6"/>
  <c r="F590" i="5"/>
  <c r="J590" i="5" s="1"/>
  <c r="K590" i="5" s="1"/>
  <c r="D584" i="6"/>
  <c r="F709" i="5"/>
  <c r="J709" i="5" s="1"/>
  <c r="K709" i="5" s="1"/>
  <c r="D376" i="6"/>
  <c r="F550" i="5"/>
  <c r="J550" i="5" s="1"/>
  <c r="K550" i="5" s="1"/>
  <c r="D534" i="6"/>
  <c r="F336" i="5"/>
  <c r="J336" i="5" s="1"/>
  <c r="K336" i="5" s="1"/>
  <c r="D229" i="6"/>
  <c r="F740" i="5"/>
  <c r="J740" i="5" s="1"/>
  <c r="K740" i="5" s="1"/>
  <c r="D726" i="6"/>
  <c r="F604" i="5"/>
  <c r="J604" i="5" s="1"/>
  <c r="K604" i="5" s="1"/>
  <c r="D606" i="6"/>
  <c r="F206" i="5"/>
  <c r="J206" i="5" s="1"/>
  <c r="K206" i="5" s="1"/>
  <c r="D80" i="6"/>
  <c r="F110" i="5"/>
  <c r="J110" i="5" s="1"/>
  <c r="K110" i="5" s="1"/>
  <c r="D541" i="6"/>
  <c r="F487" i="5"/>
  <c r="J487" i="5" s="1"/>
  <c r="K487" i="5" s="1"/>
  <c r="D434" i="6"/>
  <c r="F529" i="5"/>
  <c r="J529" i="5" s="1"/>
  <c r="K529" i="5" s="1"/>
  <c r="D509" i="6"/>
  <c r="F645" i="5"/>
  <c r="J645" i="5" s="1"/>
  <c r="K645" i="5" s="1"/>
  <c r="D699" i="6"/>
  <c r="F238" i="5"/>
  <c r="J238" i="5" s="1"/>
  <c r="K238" i="5" s="1"/>
  <c r="D118" i="6"/>
  <c r="F569" i="5"/>
  <c r="J569" i="5" s="1"/>
  <c r="K569" i="5" s="1"/>
  <c r="D561" i="6"/>
  <c r="F286" i="5"/>
  <c r="J286" i="5" s="1"/>
  <c r="K286" i="5" s="1"/>
  <c r="D168" i="6"/>
  <c r="F60" i="5"/>
  <c r="J60" i="5" s="1"/>
  <c r="K60" i="5" s="1"/>
  <c r="D185" i="6"/>
  <c r="F522" i="5"/>
  <c r="J522" i="5" s="1"/>
  <c r="K522" i="5" s="1"/>
  <c r="D501" i="6"/>
  <c r="F299" i="5"/>
  <c r="J299" i="5" s="1"/>
  <c r="K299" i="5" s="1"/>
  <c r="D184" i="6"/>
  <c r="F707" i="5"/>
  <c r="J707" i="5" s="1"/>
  <c r="K707" i="5" s="1"/>
  <c r="D371" i="6"/>
  <c r="F61" i="5"/>
  <c r="J61" i="5" s="1"/>
  <c r="K61" i="5" s="1"/>
  <c r="D187" i="6"/>
  <c r="F753" i="5"/>
  <c r="D431" i="6"/>
  <c r="F180" i="5"/>
  <c r="J180" i="5" s="1"/>
  <c r="K180" i="5" s="1"/>
  <c r="D47" i="6"/>
  <c r="F592" i="5"/>
  <c r="J592" i="5" s="1"/>
  <c r="K592" i="5" s="1"/>
  <c r="D587" i="6"/>
  <c r="F34" i="5"/>
  <c r="J34" i="5" s="1"/>
  <c r="K34" i="5" s="1"/>
  <c r="D17" i="6"/>
  <c r="F301" i="5"/>
  <c r="J301" i="5" s="1"/>
  <c r="K301" i="5" s="1"/>
  <c r="D188" i="6"/>
  <c r="F436" i="5"/>
  <c r="J436" i="5" s="1"/>
  <c r="K436" i="5" s="1"/>
  <c r="D358" i="6"/>
  <c r="F526" i="5"/>
  <c r="J526" i="5" s="1"/>
  <c r="K526" i="5" s="1"/>
  <c r="D505" i="6"/>
  <c r="F721" i="5"/>
  <c r="J721" i="5" s="1"/>
  <c r="K721" i="5" s="1"/>
  <c r="D620" i="6"/>
  <c r="F648" i="5"/>
  <c r="J648" i="5" s="1"/>
  <c r="K648" i="5" s="1"/>
  <c r="D706" i="6"/>
  <c r="F194" i="5"/>
  <c r="J194" i="5" s="1"/>
  <c r="K194" i="5" s="1"/>
  <c r="D62" i="6"/>
  <c r="F340" i="5"/>
  <c r="J340" i="5" s="1"/>
  <c r="K340" i="5" s="1"/>
  <c r="D233" i="6"/>
  <c r="F463" i="5"/>
  <c r="J463" i="5" s="1"/>
  <c r="K463" i="5" s="1"/>
  <c r="D397" i="6"/>
  <c r="F556" i="5"/>
  <c r="J556" i="5" s="1"/>
  <c r="K556" i="5" s="1"/>
  <c r="D544" i="6"/>
  <c r="F4" i="5"/>
  <c r="J4" i="5" s="1"/>
  <c r="K4" i="5" s="1"/>
  <c r="D643" i="6"/>
  <c r="F741" i="5"/>
  <c r="J741" i="5" s="1"/>
  <c r="K741" i="5" s="1"/>
  <c r="D728" i="6"/>
  <c r="F269" i="5"/>
  <c r="J269" i="5" s="1"/>
  <c r="K269" i="5" s="1"/>
  <c r="D150" i="6"/>
  <c r="F409" i="5"/>
  <c r="J409" i="5" s="1"/>
  <c r="K409" i="5" s="1"/>
  <c r="D321" i="6"/>
  <c r="F92" i="5"/>
  <c r="J92" i="5" s="1"/>
  <c r="K92" i="5" s="1"/>
  <c r="D473" i="6"/>
  <c r="F601" i="5"/>
  <c r="J601" i="5" s="1"/>
  <c r="K601" i="5" s="1"/>
  <c r="D602" i="6"/>
  <c r="F639" i="5"/>
  <c r="J639" i="5" s="1"/>
  <c r="K639" i="5" s="1"/>
  <c r="D687" i="6"/>
  <c r="F56" i="5"/>
  <c r="J56" i="5" s="1"/>
  <c r="K56" i="5" s="1"/>
  <c r="D133" i="6"/>
  <c r="F398" i="5"/>
  <c r="J398" i="5" s="1"/>
  <c r="K398" i="5" s="1"/>
  <c r="D304" i="6"/>
  <c r="F502" i="5"/>
  <c r="J502" i="5" s="1"/>
  <c r="K502" i="5" s="1"/>
  <c r="D458" i="6"/>
  <c r="F595" i="5"/>
  <c r="J595" i="5" s="1"/>
  <c r="K595" i="5" s="1"/>
  <c r="D592" i="6"/>
  <c r="F151" i="5"/>
  <c r="J151" i="5" s="1"/>
  <c r="K151" i="5" s="1"/>
  <c r="D678" i="6"/>
  <c r="F182" i="5"/>
  <c r="J182" i="5" s="1"/>
  <c r="K182" i="5" s="1"/>
  <c r="D49" i="6"/>
  <c r="F329" i="5"/>
  <c r="J329" i="5" s="1"/>
  <c r="K329" i="5" s="1"/>
  <c r="D220" i="6"/>
  <c r="F712" i="5"/>
  <c r="J712" i="5" s="1"/>
  <c r="K712" i="5" s="1"/>
  <c r="D386" i="6"/>
  <c r="F107" i="5"/>
  <c r="J107" i="5" s="1"/>
  <c r="K107" i="5" s="1"/>
  <c r="D532" i="6"/>
  <c r="F134" i="5"/>
  <c r="J134" i="5" s="1"/>
  <c r="K134" i="5" s="1"/>
  <c r="D636" i="6"/>
  <c r="F656" i="5"/>
  <c r="J656" i="5" s="1"/>
  <c r="K656" i="5" s="1"/>
  <c r="D722" i="6"/>
  <c r="F50" i="5"/>
  <c r="J50" i="5" s="1"/>
  <c r="K50" i="5" s="1"/>
  <c r="D76" i="6"/>
  <c r="F350" i="5"/>
  <c r="J350" i="5" s="1"/>
  <c r="K350" i="5" s="1"/>
  <c r="D246" i="6"/>
  <c r="F74" i="5"/>
  <c r="J74" i="5" s="1"/>
  <c r="K74" i="5" s="1"/>
  <c r="D409" i="6"/>
  <c r="F566" i="5"/>
  <c r="J566" i="5" s="1"/>
  <c r="K566" i="5" s="1"/>
  <c r="D555" i="6"/>
  <c r="F622" i="5"/>
  <c r="J622" i="5" s="1"/>
  <c r="K622" i="5" s="1"/>
  <c r="D650" i="6"/>
  <c r="F664" i="5"/>
  <c r="J664" i="5" s="1"/>
  <c r="K664" i="5" s="1"/>
  <c r="D735" i="6"/>
  <c r="F736" i="5"/>
  <c r="J736" i="5" s="1"/>
  <c r="K736" i="5" s="1"/>
  <c r="D705" i="6"/>
  <c r="F136" i="5"/>
  <c r="J136" i="5" s="1"/>
  <c r="K136" i="5" s="1"/>
  <c r="D641" i="6"/>
  <c r="F584" i="5"/>
  <c r="J584" i="5" s="1"/>
  <c r="K584" i="5" s="1"/>
  <c r="D577" i="6"/>
  <c r="F103" i="5"/>
  <c r="J103" i="5" s="1"/>
  <c r="K103" i="5" s="1"/>
  <c r="D506" i="6"/>
  <c r="F486" i="5"/>
  <c r="J486" i="5" s="1"/>
  <c r="K486" i="5" s="1"/>
  <c r="D433" i="6"/>
  <c r="F438" i="5"/>
  <c r="J438" i="5" s="1"/>
  <c r="K438" i="5" s="1"/>
  <c r="D360" i="6"/>
  <c r="F68" i="5"/>
  <c r="J68" i="5" s="1"/>
  <c r="K68" i="5" s="1"/>
  <c r="D274" i="6"/>
  <c r="F302" i="5"/>
  <c r="J302" i="5" s="1"/>
  <c r="K302" i="5" s="1"/>
  <c r="D189" i="6"/>
  <c r="F54" i="5"/>
  <c r="J54" i="5" s="1"/>
  <c r="K54" i="5" s="1"/>
  <c r="D104" i="6"/>
  <c r="F35" i="5"/>
  <c r="J35" i="5" s="1"/>
  <c r="K35" i="5" s="1"/>
  <c r="D18" i="6"/>
  <c r="F539" i="5"/>
  <c r="J539" i="5" s="1"/>
  <c r="K539" i="5" s="1"/>
  <c r="D521" i="6"/>
  <c r="F78" i="5"/>
  <c r="J78" i="5" s="1"/>
  <c r="K78" i="5" s="1"/>
  <c r="D448" i="6"/>
  <c r="F448" i="5"/>
  <c r="J448" i="5" s="1"/>
  <c r="K448" i="5" s="1"/>
  <c r="D374" i="6"/>
  <c r="F387" i="5"/>
  <c r="J387" i="5" s="1"/>
  <c r="K387" i="5" s="1"/>
  <c r="D292" i="6"/>
  <c r="F316" i="5"/>
  <c r="J316" i="5" s="1"/>
  <c r="K316" i="5" s="1"/>
  <c r="D206" i="6"/>
  <c r="F241" i="5"/>
  <c r="J241" i="5" s="1"/>
  <c r="K241" i="5" s="1"/>
  <c r="D121" i="6"/>
  <c r="F44" i="5"/>
  <c r="J44" i="5" s="1"/>
  <c r="K44" i="5" s="1"/>
  <c r="D36" i="6"/>
  <c r="F654" i="5"/>
  <c r="J654" i="5" s="1"/>
  <c r="K654" i="5" s="1"/>
  <c r="D717" i="6"/>
  <c r="F142" i="5"/>
  <c r="J142" i="5" s="1"/>
  <c r="K142" i="5" s="1"/>
  <c r="D653" i="6"/>
  <c r="F119" i="5"/>
  <c r="J119" i="5" s="1"/>
  <c r="K119" i="5" s="1"/>
  <c r="D589" i="6"/>
  <c r="F538" i="5"/>
  <c r="J538" i="5" s="1"/>
  <c r="K538" i="5" s="1"/>
  <c r="D520" i="6"/>
  <c r="F498" i="5"/>
  <c r="J498" i="5" s="1"/>
  <c r="K498" i="5" s="1"/>
  <c r="D446" i="6"/>
  <c r="F708" i="5"/>
  <c r="J708" i="5" s="1"/>
  <c r="K708" i="5" s="1"/>
  <c r="D373" i="6"/>
  <c r="F385" i="5"/>
  <c r="J385" i="5" s="1"/>
  <c r="K385" i="5" s="1"/>
  <c r="D290" i="6"/>
  <c r="F315" i="5"/>
  <c r="J315" i="5" s="1"/>
  <c r="K315" i="5" s="1"/>
  <c r="D205" i="6"/>
  <c r="F240" i="5"/>
  <c r="J240" i="5" s="1"/>
  <c r="K240" i="5" s="1"/>
  <c r="D120" i="6"/>
  <c r="F42" i="5"/>
  <c r="J42" i="5" s="1"/>
  <c r="K42" i="5" s="1"/>
  <c r="D34" i="6"/>
  <c r="F109" i="5"/>
  <c r="J109" i="5" s="1"/>
  <c r="K109" i="5" s="1"/>
  <c r="D536" i="6"/>
  <c r="F87" i="5"/>
  <c r="J87" i="5" s="1"/>
  <c r="K87" i="5" s="1"/>
  <c r="D462" i="6"/>
  <c r="F458" i="5"/>
  <c r="J458" i="5" s="1"/>
  <c r="K458" i="5" s="1"/>
  <c r="D389" i="6"/>
  <c r="F401" i="5"/>
  <c r="J401" i="5" s="1"/>
  <c r="K401" i="5" s="1"/>
  <c r="D309" i="6"/>
  <c r="F682" i="5"/>
  <c r="J682" i="5" s="1"/>
  <c r="K682" i="5" s="1"/>
  <c r="D224" i="6"/>
  <c r="F257" i="5"/>
  <c r="J257" i="5" s="1"/>
  <c r="K257" i="5" s="1"/>
  <c r="D138" i="6"/>
  <c r="F186" i="5"/>
  <c r="J186" i="5" s="1"/>
  <c r="K186" i="5" s="1"/>
  <c r="D53" i="6"/>
  <c r="F416" i="5"/>
  <c r="J416" i="5" s="1"/>
  <c r="K416" i="5" s="1"/>
  <c r="D331" i="6"/>
  <c r="F368" i="5"/>
  <c r="J368" i="5" s="1"/>
  <c r="K368" i="5" s="1"/>
  <c r="D267" i="6"/>
  <c r="F313" i="5"/>
  <c r="J313" i="5" s="1"/>
  <c r="K313" i="5" s="1"/>
  <c r="D203" i="6"/>
  <c r="F258" i="5"/>
  <c r="J258" i="5" s="1"/>
  <c r="K258" i="5" s="1"/>
  <c r="D139" i="6"/>
  <c r="F49" i="5"/>
  <c r="J49" i="5" s="1"/>
  <c r="K49" i="5" s="1"/>
  <c r="D75" i="6"/>
  <c r="F28" i="5"/>
  <c r="J28" i="5" s="1"/>
  <c r="K28" i="5" s="1"/>
  <c r="D11" i="6"/>
  <c r="F531" i="5"/>
  <c r="J531" i="5" s="1"/>
  <c r="K531" i="5" s="1"/>
  <c r="D511" i="6"/>
  <c r="F77" i="5"/>
  <c r="J77" i="5" s="1"/>
  <c r="K77" i="5" s="1"/>
  <c r="D447" i="6"/>
  <c r="F454" i="5"/>
  <c r="J454" i="5" s="1"/>
  <c r="K454" i="5" s="1"/>
  <c r="D383" i="6"/>
  <c r="F696" i="5"/>
  <c r="J696" i="5" s="1"/>
  <c r="K696" i="5" s="1"/>
  <c r="D319" i="6"/>
  <c r="F748" i="5"/>
  <c r="D255" i="6"/>
  <c r="F304" i="5"/>
  <c r="J304" i="5" s="1"/>
  <c r="K304" i="5" s="1"/>
  <c r="D191" i="6"/>
  <c r="F247" i="5"/>
  <c r="J247" i="5" s="1"/>
  <c r="K247" i="5" s="1"/>
  <c r="D127" i="6"/>
  <c r="F195" i="5"/>
  <c r="J195" i="5" s="1"/>
  <c r="K195" i="5" s="1"/>
  <c r="D63" i="6"/>
  <c r="F131" i="5"/>
  <c r="J131" i="5" s="1"/>
  <c r="K131" i="5" s="1"/>
  <c r="D627" i="6"/>
  <c r="F79" i="5"/>
  <c r="J79" i="5" s="1"/>
  <c r="K79" i="5" s="1"/>
  <c r="D449" i="6"/>
  <c r="F598" i="5"/>
  <c r="J598" i="5" s="1"/>
  <c r="K598" i="5" s="1"/>
  <c r="D595" i="6"/>
  <c r="F404" i="5"/>
  <c r="J404" i="5" s="1"/>
  <c r="K404" i="5" s="1"/>
  <c r="D314" i="6"/>
  <c r="F202" i="5"/>
  <c r="J202" i="5" s="1"/>
  <c r="K202" i="5" s="1"/>
  <c r="D73" i="6"/>
  <c r="F621" i="5"/>
  <c r="J621" i="5" s="1"/>
  <c r="K621" i="5" s="1"/>
  <c r="D648" i="6"/>
  <c r="F283" i="5"/>
  <c r="J283" i="5" s="1"/>
  <c r="K283" i="5" s="1"/>
  <c r="D165" i="6"/>
  <c r="F461" i="5"/>
  <c r="J461" i="5" s="1"/>
  <c r="K461" i="5" s="1"/>
  <c r="D395" i="6"/>
  <c r="F659" i="5"/>
  <c r="J659" i="5" s="1"/>
  <c r="K659" i="5" s="1"/>
  <c r="D727" i="6"/>
  <c r="F676" i="5"/>
  <c r="J676" i="5" s="1"/>
  <c r="K676" i="5" s="1"/>
  <c r="D750" i="6"/>
  <c r="F737" i="5"/>
  <c r="J737" i="5" s="1"/>
  <c r="K737" i="5" s="1"/>
  <c r="D708" i="6"/>
  <c r="F217" i="5"/>
  <c r="J217" i="5" s="1"/>
  <c r="K217" i="5" s="1"/>
  <c r="D92" i="6"/>
  <c r="F671" i="5"/>
  <c r="J671" i="5" s="1"/>
  <c r="K671" i="5" s="1"/>
  <c r="D743" i="6"/>
  <c r="F732" i="5"/>
  <c r="J732" i="5" s="1"/>
  <c r="K732" i="5" s="1"/>
  <c r="D689" i="6"/>
  <c r="F357" i="5"/>
  <c r="J357" i="5" s="1"/>
  <c r="K357" i="5" s="1"/>
  <c r="D253" i="6"/>
  <c r="F223" i="5"/>
  <c r="J223" i="5" s="1"/>
  <c r="K223" i="5" s="1"/>
  <c r="D100" i="6"/>
  <c r="F432" i="5"/>
  <c r="J432" i="5" s="1"/>
  <c r="K432" i="5" s="1"/>
  <c r="D354" i="6"/>
  <c r="F312" i="5"/>
  <c r="J312" i="5" s="1"/>
  <c r="K312" i="5" s="1"/>
  <c r="D202" i="6"/>
  <c r="F101" i="5"/>
  <c r="J101" i="5" s="1"/>
  <c r="K101" i="5" s="1"/>
  <c r="D495" i="6"/>
  <c r="F343" i="5"/>
  <c r="J343" i="5" s="1"/>
  <c r="K343" i="5" s="1"/>
  <c r="D239" i="6"/>
  <c r="F473" i="5"/>
  <c r="J473" i="5" s="1"/>
  <c r="K473" i="5" s="1"/>
  <c r="D412" i="6"/>
  <c r="J57" i="5"/>
  <c r="K57" i="5" s="1"/>
  <c r="F172" i="5"/>
  <c r="J172" i="5" s="1"/>
  <c r="K172" i="5" s="1"/>
  <c r="D38" i="6"/>
  <c r="F319" i="5"/>
  <c r="J319" i="5" s="1"/>
  <c r="K319" i="5" s="1"/>
  <c r="D209" i="6"/>
  <c r="F450" i="5"/>
  <c r="J450" i="5" s="1"/>
  <c r="K450" i="5" s="1"/>
  <c r="D377" i="6"/>
  <c r="F541" i="5"/>
  <c r="J541" i="5" s="1"/>
  <c r="K541" i="5" s="1"/>
  <c r="D523" i="6"/>
  <c r="F619" i="5"/>
  <c r="J619" i="5" s="1"/>
  <c r="K619" i="5" s="1"/>
  <c r="D631" i="6"/>
  <c r="F653" i="5"/>
  <c r="J653" i="5" s="1"/>
  <c r="K653" i="5" s="1"/>
  <c r="D716" i="6"/>
  <c r="F209" i="5"/>
  <c r="J209" i="5" s="1"/>
  <c r="K209" i="5" s="1"/>
  <c r="D84" i="6"/>
  <c r="F358" i="5"/>
  <c r="J358" i="5" s="1"/>
  <c r="K358" i="5" s="1"/>
  <c r="D254" i="6"/>
  <c r="F717" i="5"/>
  <c r="D416" i="6"/>
  <c r="F570" i="5"/>
  <c r="J570" i="5" s="1"/>
  <c r="K570" i="5" s="1"/>
  <c r="D562" i="6"/>
  <c r="F143" i="5"/>
  <c r="J143" i="5" s="1"/>
  <c r="K143" i="5" s="1"/>
  <c r="D654" i="6"/>
  <c r="F667" i="5"/>
  <c r="J667" i="5" s="1"/>
  <c r="K667" i="5" s="1"/>
  <c r="D739" i="6"/>
  <c r="F290" i="5"/>
  <c r="J290" i="5" s="1"/>
  <c r="K290" i="5" s="1"/>
  <c r="D172" i="6"/>
  <c r="F425" i="5"/>
  <c r="J425" i="5" s="1"/>
  <c r="K425" i="5" s="1"/>
  <c r="D342" i="6"/>
  <c r="F98" i="5"/>
  <c r="J98" i="5" s="1"/>
  <c r="K98" i="5" s="1"/>
  <c r="D491" i="6"/>
  <c r="F608" i="5"/>
  <c r="J608" i="5" s="1"/>
  <c r="K608" i="5" s="1"/>
  <c r="D612" i="6"/>
  <c r="F644" i="5"/>
  <c r="J644" i="5" s="1"/>
  <c r="K644" i="5" s="1"/>
  <c r="D698" i="6"/>
  <c r="F272" i="5"/>
  <c r="J272" i="5" s="1"/>
  <c r="K272" i="5" s="1"/>
  <c r="D154" i="6"/>
  <c r="F412" i="5"/>
  <c r="J412" i="5" s="1"/>
  <c r="K412" i="5" s="1"/>
  <c r="D325" i="6"/>
  <c r="F507" i="5"/>
  <c r="J507" i="5" s="1"/>
  <c r="K507" i="5" s="1"/>
  <c r="D476" i="6"/>
  <c r="F602" i="5"/>
  <c r="J602" i="5" s="1"/>
  <c r="K602" i="5" s="1"/>
  <c r="D603" i="6"/>
  <c r="F731" i="5"/>
  <c r="J731" i="5" s="1"/>
  <c r="K731" i="5" s="1"/>
  <c r="D688" i="6"/>
  <c r="F201" i="5"/>
  <c r="J201" i="5" s="1"/>
  <c r="K201" i="5" s="1"/>
  <c r="D70" i="6"/>
  <c r="F345" i="5"/>
  <c r="D241" i="6"/>
  <c r="F467" i="5"/>
  <c r="J467" i="5" s="1"/>
  <c r="K467" i="5" s="1"/>
  <c r="D404" i="6"/>
  <c r="F561" i="5"/>
  <c r="J561" i="5" s="1"/>
  <c r="K561" i="5" s="1"/>
  <c r="D550" i="6"/>
  <c r="F139" i="5"/>
  <c r="J139" i="5" s="1"/>
  <c r="K139" i="5" s="1"/>
  <c r="D647" i="6"/>
  <c r="F661" i="5"/>
  <c r="J661" i="5" s="1"/>
  <c r="K661" i="5" s="1"/>
  <c r="D732" i="6"/>
  <c r="F222" i="5"/>
  <c r="J222" i="5" s="1"/>
  <c r="K222" i="5" s="1"/>
  <c r="D97" i="6"/>
  <c r="F369" i="5"/>
  <c r="J369" i="5" s="1"/>
  <c r="K369" i="5" s="1"/>
  <c r="D268" i="6"/>
  <c r="F719" i="5"/>
  <c r="J719" i="5" s="1"/>
  <c r="K719" i="5" s="1"/>
  <c r="D427" i="6"/>
  <c r="F579" i="5"/>
  <c r="J579" i="5" s="1"/>
  <c r="K579" i="5" s="1"/>
  <c r="D572" i="6"/>
  <c r="F145" i="5"/>
  <c r="J145" i="5" s="1"/>
  <c r="K145" i="5" s="1"/>
  <c r="D660" i="6"/>
  <c r="F673" i="5"/>
  <c r="J673" i="5" s="1"/>
  <c r="K673" i="5" s="1"/>
  <c r="D746" i="6"/>
  <c r="F643" i="5"/>
  <c r="J643" i="5" s="1"/>
  <c r="K643" i="5" s="1"/>
  <c r="D697" i="6"/>
  <c r="F132" i="5"/>
  <c r="J132" i="5" s="1"/>
  <c r="K132" i="5" s="1"/>
  <c r="D633" i="6"/>
  <c r="F576" i="5"/>
  <c r="J576" i="5" s="1"/>
  <c r="K576" i="5" s="1"/>
  <c r="D569" i="6"/>
  <c r="F102" i="5"/>
  <c r="J102" i="5" s="1"/>
  <c r="K102" i="5" s="1"/>
  <c r="D497" i="6"/>
  <c r="F482" i="5"/>
  <c r="J482" i="5" s="1"/>
  <c r="K482" i="5" s="1"/>
  <c r="D424" i="6"/>
  <c r="F429" i="5"/>
  <c r="J429" i="5" s="1"/>
  <c r="K429" i="5" s="1"/>
  <c r="D349" i="6"/>
  <c r="F365" i="5"/>
  <c r="J365" i="5" s="1"/>
  <c r="K365" i="5" s="1"/>
  <c r="D264" i="6"/>
  <c r="F295" i="5"/>
  <c r="J295" i="5" s="1"/>
  <c r="K295" i="5" s="1"/>
  <c r="D178" i="6"/>
  <c r="F218" i="5"/>
  <c r="J218" i="5" s="1"/>
  <c r="K218" i="5" s="1"/>
  <c r="D93" i="6"/>
  <c r="F161" i="5"/>
  <c r="D8" i="6"/>
  <c r="F104" i="5"/>
  <c r="J104" i="5" s="1"/>
  <c r="K104" i="5" s="1"/>
  <c r="D512" i="6"/>
  <c r="F491" i="5"/>
  <c r="J491" i="5" s="1"/>
  <c r="K491" i="5" s="1"/>
  <c r="D438" i="6"/>
  <c r="F442" i="5"/>
  <c r="J442" i="5" s="1"/>
  <c r="K442" i="5" s="1"/>
  <c r="D365" i="6"/>
  <c r="F378" i="5"/>
  <c r="D281" i="6"/>
  <c r="F309" i="5"/>
  <c r="J309" i="5" s="1"/>
  <c r="K309" i="5" s="1"/>
  <c r="D196" i="6"/>
  <c r="F231" i="5"/>
  <c r="J231" i="5" s="1"/>
  <c r="K231" i="5" s="1"/>
  <c r="D110" i="6"/>
  <c r="F38" i="5"/>
  <c r="J38" i="5" s="1"/>
  <c r="K38" i="5" s="1"/>
  <c r="D25" i="6"/>
  <c r="F649" i="5"/>
  <c r="J649" i="5" s="1"/>
  <c r="K649" i="5" s="1"/>
  <c r="D709" i="6"/>
  <c r="F137" i="5"/>
  <c r="J137" i="5" s="1"/>
  <c r="K137" i="5" s="1"/>
  <c r="D645" i="6"/>
  <c r="F588" i="5"/>
  <c r="J588" i="5" s="1"/>
  <c r="K588" i="5" s="1"/>
  <c r="D581" i="6"/>
  <c r="F530" i="5"/>
  <c r="J530" i="5" s="1"/>
  <c r="K530" i="5" s="1"/>
  <c r="D510" i="6"/>
  <c r="F490" i="5"/>
  <c r="J490" i="5" s="1"/>
  <c r="K490" i="5" s="1"/>
  <c r="D437" i="6"/>
  <c r="F441" i="5"/>
  <c r="J441" i="5" s="1"/>
  <c r="K441" i="5" s="1"/>
  <c r="D364" i="6"/>
  <c r="F377" i="5"/>
  <c r="J377" i="5" s="1"/>
  <c r="K377" i="5" s="1"/>
  <c r="D280" i="6"/>
  <c r="F307" i="5"/>
  <c r="D194" i="6"/>
  <c r="F230" i="5"/>
  <c r="J230" i="5" s="1"/>
  <c r="K230" i="5" s="1"/>
  <c r="D109" i="6"/>
  <c r="F166" i="5"/>
  <c r="J166" i="5" s="1"/>
  <c r="K166" i="5" s="1"/>
  <c r="D24" i="6"/>
  <c r="F544" i="5"/>
  <c r="J544" i="5" s="1"/>
  <c r="K544" i="5" s="1"/>
  <c r="D526" i="6"/>
  <c r="F81" i="5"/>
  <c r="J81" i="5" s="1"/>
  <c r="K81" i="5" s="1"/>
  <c r="D453" i="6"/>
  <c r="F711" i="5"/>
  <c r="J711" i="5" s="1"/>
  <c r="K711" i="5" s="1"/>
  <c r="D380" i="6"/>
  <c r="F393" i="5"/>
  <c r="J393" i="5" s="1"/>
  <c r="K393" i="5" s="1"/>
  <c r="D298" i="6"/>
  <c r="F323" i="5"/>
  <c r="J323" i="5" s="1"/>
  <c r="K323" i="5" s="1"/>
  <c r="D213" i="6"/>
  <c r="F248" i="5"/>
  <c r="J248" i="5" s="1"/>
  <c r="K248" i="5" s="1"/>
  <c r="D128" i="6"/>
  <c r="F176" i="5"/>
  <c r="J176" i="5" s="1"/>
  <c r="K176" i="5" s="1"/>
  <c r="D42" i="6"/>
  <c r="F410" i="5"/>
  <c r="J410" i="5" s="1"/>
  <c r="K410" i="5" s="1"/>
  <c r="D323" i="6"/>
  <c r="F67" i="5"/>
  <c r="J67" i="5" s="1"/>
  <c r="K67" i="5" s="1"/>
  <c r="D259" i="6"/>
  <c r="F308" i="5"/>
  <c r="J308" i="5" s="1"/>
  <c r="K308" i="5" s="1"/>
  <c r="D195" i="6"/>
  <c r="F251" i="5"/>
  <c r="J251" i="5" s="1"/>
  <c r="K251" i="5" s="1"/>
  <c r="D131" i="6"/>
  <c r="F199" i="5"/>
  <c r="J199" i="5" s="1"/>
  <c r="K199" i="5" s="1"/>
  <c r="D67" i="6"/>
  <c r="F22" i="5"/>
  <c r="J22" i="5" s="1"/>
  <c r="K22" i="5" s="1"/>
  <c r="D3" i="6"/>
  <c r="F524" i="5"/>
  <c r="J524" i="5" s="1"/>
  <c r="K524" i="5" s="1"/>
  <c r="D503" i="6"/>
  <c r="F492" i="5"/>
  <c r="J492" i="5" s="1"/>
  <c r="K492" i="5" s="1"/>
  <c r="D439" i="6"/>
  <c r="F449" i="5"/>
  <c r="D375" i="6"/>
  <c r="F693" i="5"/>
  <c r="J693" i="5" s="1"/>
  <c r="K693" i="5" s="1"/>
  <c r="D311" i="6"/>
  <c r="F351" i="5"/>
  <c r="J351" i="5" s="1"/>
  <c r="K351" i="5" s="1"/>
  <c r="D247" i="6"/>
  <c r="F59" i="5"/>
  <c r="J59" i="5" s="1"/>
  <c r="K59" i="5" s="1"/>
  <c r="D183" i="6"/>
  <c r="F239" i="5"/>
  <c r="J239" i="5" s="1"/>
  <c r="K239" i="5" s="1"/>
  <c r="D119" i="6"/>
  <c r="F188" i="5"/>
  <c r="J188" i="5" s="1"/>
  <c r="K188" i="5" s="1"/>
  <c r="D55" i="6"/>
  <c r="F236" i="5"/>
  <c r="J236" i="5" s="1"/>
  <c r="K236" i="5" s="1"/>
  <c r="D116" i="6"/>
  <c r="F651" i="5"/>
  <c r="J651" i="5" s="1"/>
  <c r="K651" i="5" s="1"/>
  <c r="D712" i="6"/>
  <c r="F540" i="5"/>
  <c r="J540" i="5" s="1"/>
  <c r="K540" i="5" s="1"/>
  <c r="D522" i="6"/>
  <c r="F185" i="5"/>
  <c r="J185" i="5" s="1"/>
  <c r="K185" i="5" s="1"/>
  <c r="D52" i="6"/>
  <c r="F12" i="5"/>
  <c r="J12" i="5" s="1"/>
  <c r="K12" i="5" s="1"/>
  <c r="D638" i="6"/>
  <c r="F460" i="5"/>
  <c r="J460" i="5" s="1"/>
  <c r="K460" i="5" s="1"/>
  <c r="D394" i="6"/>
  <c r="F276" i="5"/>
  <c r="J276" i="5" s="1"/>
  <c r="K276" i="5" s="1"/>
  <c r="D158" i="6"/>
  <c r="F640" i="5"/>
  <c r="J640" i="5" s="1"/>
  <c r="K640" i="5" s="1"/>
  <c r="D691" i="6"/>
  <c r="F354" i="5"/>
  <c r="J354" i="5" s="1"/>
  <c r="K354" i="5" s="1"/>
  <c r="D250" i="6"/>
  <c r="J345" i="5"/>
  <c r="K345" i="5" s="1"/>
  <c r="J378" i="5"/>
  <c r="K378" i="5" s="1"/>
  <c r="J307" i="5"/>
  <c r="K307" i="5" s="1"/>
  <c r="J207" i="5"/>
  <c r="K207" i="5" s="1"/>
  <c r="J271" i="5"/>
  <c r="K271" i="5" s="1"/>
  <c r="J738" i="5"/>
  <c r="K738" i="5" s="1"/>
  <c r="J415" i="5"/>
  <c r="K415" i="5" s="1"/>
  <c r="J192" i="5"/>
  <c r="K192" i="5" s="1"/>
  <c r="J545" i="5"/>
  <c r="K545" i="5" s="1"/>
  <c r="J161" i="5"/>
  <c r="K161" i="5" s="1"/>
  <c r="J449" i="5"/>
  <c r="K449" i="5" s="1"/>
  <c r="J717" i="5"/>
  <c r="K717" i="5" s="1"/>
  <c r="J678" i="5"/>
  <c r="K678" i="5" s="1"/>
  <c r="J434" i="5"/>
  <c r="K434" i="5" s="1"/>
  <c r="J259" i="5"/>
  <c r="K259" i="5" s="1"/>
  <c r="J437" i="5"/>
  <c r="K437" i="5" s="1"/>
  <c r="J613" i="5"/>
  <c r="K613" i="5" s="1"/>
  <c r="J500" i="5"/>
  <c r="K500" i="5" s="1"/>
  <c r="J265" i="5"/>
  <c r="K265" i="5" s="1"/>
  <c r="J292" i="5"/>
  <c r="K292" i="5" s="1"/>
  <c r="J99" i="5"/>
  <c r="K99" i="5" s="1"/>
  <c r="J680" i="5"/>
  <c r="K680" i="5" s="1"/>
  <c r="J510" i="5"/>
  <c r="K510" i="5" s="1"/>
  <c r="J58" i="5"/>
  <c r="K58" i="5" s="1"/>
  <c r="J426" i="5"/>
  <c r="K426" i="5" s="1"/>
  <c r="J389" i="5" l="1"/>
  <c r="K389" i="5" s="1"/>
  <c r="J516" i="5"/>
  <c r="K516" i="5" s="1"/>
  <c r="N14" i="5"/>
  <c r="N13" i="5"/>
  <c r="N12" i="5"/>
  <c r="N11" i="5"/>
  <c r="N10" i="5"/>
</calcChain>
</file>

<file path=xl/sharedStrings.xml><?xml version="1.0" encoding="utf-8"?>
<sst xmlns="http://schemas.openxmlformats.org/spreadsheetml/2006/main" count="203" uniqueCount="64">
  <si>
    <t>EST_ID</t>
  </si>
  <si>
    <t>mean.pr</t>
  </si>
  <si>
    <t>SD.pr</t>
  </si>
  <si>
    <t>ES0.99.pr</t>
  </si>
  <si>
    <t>mean.tas</t>
  </si>
  <si>
    <t>SD.tas</t>
  </si>
  <si>
    <t>ES0.99.tas</t>
  </si>
  <si>
    <t>mean.pr.abs</t>
  </si>
  <si>
    <t>SD.pr.abs</t>
  </si>
  <si>
    <t>ES0.99.pr.abs</t>
  </si>
  <si>
    <t>mean.tas.abs</t>
  </si>
  <si>
    <t>SD.tas.abs</t>
  </si>
  <si>
    <t>ES0.99.tas.abs</t>
  </si>
  <si>
    <t>relative.abundance</t>
  </si>
  <si>
    <t>richness</t>
  </si>
  <si>
    <t>risk1</t>
  </si>
  <si>
    <t>Area_Ha</t>
  </si>
  <si>
    <t>mean.pr.abs.norm</t>
  </si>
  <si>
    <t>SD.pr.abs.norm</t>
  </si>
  <si>
    <t>ES0.99.pr.abs.norm</t>
  </si>
  <si>
    <t>mean.tas.abs.norm</t>
  </si>
  <si>
    <t>SD.tas.abs.norm</t>
  </si>
  <si>
    <t>ES0.99.tas.abs.norm</t>
  </si>
  <si>
    <t>relative.abundance.norm</t>
  </si>
  <si>
    <t>richness.norm</t>
  </si>
  <si>
    <t>risk1.norm</t>
  </si>
  <si>
    <t>Area_Ha.norm</t>
  </si>
  <si>
    <t>NA</t>
  </si>
  <si>
    <t>layer</t>
  </si>
  <si>
    <t>prin.eigenvector</t>
  </si>
  <si>
    <t>norm</t>
  </si>
  <si>
    <t>ES.tas</t>
  </si>
  <si>
    <t>ES.pr</t>
  </si>
  <si>
    <t>relative abundance</t>
  </si>
  <si>
    <t>climate</t>
  </si>
  <si>
    <t>birds</t>
  </si>
  <si>
    <t>size</t>
  </si>
  <si>
    <t>slr</t>
  </si>
  <si>
    <t>cumulative.score</t>
  </si>
  <si>
    <t>rank</t>
  </si>
  <si>
    <t>max</t>
  </si>
  <si>
    <t>rel.abundance</t>
  </si>
  <si>
    <t>decile ranges</t>
  </si>
  <si>
    <t>Decile</t>
  </si>
  <si>
    <t>score</t>
  </si>
  <si>
    <t>category</t>
  </si>
  <si>
    <t xml:space="preserve">pw to uprotect </t>
  </si>
  <si>
    <t>cat 1</t>
  </si>
  <si>
    <t>cat 2</t>
  </si>
  <si>
    <t>cat 3</t>
  </si>
  <si>
    <t>cat 4</t>
  </si>
  <si>
    <t>cat 5</t>
  </si>
  <si>
    <t>number of estuaries in each category</t>
  </si>
  <si>
    <t>ranked high to low</t>
  </si>
  <si>
    <t>Rank</t>
  </si>
  <si>
    <t>1 = highest climate impact</t>
  </si>
  <si>
    <t>10 = lowest climate impact</t>
  </si>
  <si>
    <t>all values scored and scaled according to max</t>
  </si>
  <si>
    <t>1 = largest</t>
  </si>
  <si>
    <t>10 = smallest</t>
  </si>
  <si>
    <t>climate score</t>
  </si>
  <si>
    <t>birds score</t>
  </si>
  <si>
    <t>size score</t>
  </si>
  <si>
    <t>slr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</si>
</sst>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EAC0-067B-432E-9731-7FAD56A972D6}">
  <dimension ref="A1:C18"/>
  <sheetViews>
    <sheetView workbookViewId="0">
      <selection activeCell="A18" sqref="A18"/>
    </sheetView>
  </sheetViews>
  <sheetFormatPr defaultRowHeight="14.4" x14ac:dyDescent="0.55000000000000004"/>
  <sheetData>
    <row r="1" spans="1:3" x14ac:dyDescent="0.55000000000000004">
      <c r="A1" t="s">
        <v>28</v>
      </c>
      <c r="B1" t="s">
        <v>29</v>
      </c>
      <c r="C1" t="s">
        <v>30</v>
      </c>
    </row>
    <row r="2" spans="1:3" x14ac:dyDescent="0.55000000000000004">
      <c r="A2" t="s">
        <v>4</v>
      </c>
      <c r="B2">
        <v>-0.39791959999999998</v>
      </c>
      <c r="C2">
        <v>0.17465096999999999</v>
      </c>
    </row>
    <row r="3" spans="1:3" x14ac:dyDescent="0.55000000000000004">
      <c r="A3" t="s">
        <v>5</v>
      </c>
      <c r="B3">
        <v>-0.17289959999999999</v>
      </c>
      <c r="C3">
        <v>7.5887389999999999E-2</v>
      </c>
    </row>
    <row r="4" spans="1:3" x14ac:dyDescent="0.55000000000000004">
      <c r="A4" t="s">
        <v>31</v>
      </c>
      <c r="B4">
        <v>-0.61694020000000005</v>
      </c>
      <c r="C4">
        <v>0.27078134999999998</v>
      </c>
    </row>
    <row r="5" spans="1:3" x14ac:dyDescent="0.55000000000000004">
      <c r="A5" t="s">
        <v>1</v>
      </c>
      <c r="B5">
        <v>-0.32502140000000002</v>
      </c>
      <c r="C5">
        <v>0.14265521</v>
      </c>
    </row>
    <row r="6" spans="1:3" x14ac:dyDescent="0.55000000000000004">
      <c r="A6" t="s">
        <v>2</v>
      </c>
      <c r="B6">
        <v>-0.25542120000000001</v>
      </c>
      <c r="C6">
        <v>0.11210697999999999</v>
      </c>
    </row>
    <row r="7" spans="1:3" x14ac:dyDescent="0.55000000000000004">
      <c r="A7" t="s">
        <v>32</v>
      </c>
      <c r="B7">
        <v>-0.51016830000000002</v>
      </c>
      <c r="C7">
        <v>0.22391811</v>
      </c>
    </row>
    <row r="9" spans="1:3" x14ac:dyDescent="0.55000000000000004">
      <c r="A9" t="s">
        <v>14</v>
      </c>
      <c r="C9">
        <v>9.0679999999999997E-2</v>
      </c>
    </row>
    <row r="10" spans="1:3" x14ac:dyDescent="0.55000000000000004">
      <c r="A10" t="s">
        <v>33</v>
      </c>
      <c r="C10">
        <v>0.90932000000000002</v>
      </c>
    </row>
    <row r="12" spans="1:3" x14ac:dyDescent="0.55000000000000004">
      <c r="A12" t="s">
        <v>28</v>
      </c>
      <c r="B12" t="s">
        <v>29</v>
      </c>
      <c r="C12" t="s">
        <v>30</v>
      </c>
    </row>
    <row r="13" spans="1:3" x14ac:dyDescent="0.55000000000000004">
      <c r="A13" t="s">
        <v>34</v>
      </c>
      <c r="B13">
        <v>-0.24484420000000001</v>
      </c>
      <c r="C13">
        <v>0.15109570999999999</v>
      </c>
    </row>
    <row r="14" spans="1:3" x14ac:dyDescent="0.55000000000000004">
      <c r="A14" t="s">
        <v>35</v>
      </c>
      <c r="B14">
        <v>-0.90283729999999995</v>
      </c>
      <c r="C14">
        <v>0.55714949999999996</v>
      </c>
    </row>
    <row r="15" spans="1:3" x14ac:dyDescent="0.55000000000000004">
      <c r="A15" t="s">
        <v>36</v>
      </c>
      <c r="B15">
        <v>-0.31755889999999998</v>
      </c>
      <c r="C15">
        <v>0.19596860999999999</v>
      </c>
    </row>
    <row r="16" spans="1:3" x14ac:dyDescent="0.55000000000000004">
      <c r="A16" t="s">
        <v>37</v>
      </c>
      <c r="B16">
        <v>-0.15521750000000001</v>
      </c>
      <c r="C16">
        <v>9.5786179999999999E-2</v>
      </c>
    </row>
    <row r="18" spans="1:1" x14ac:dyDescent="0.55000000000000004">
      <c r="A18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4CEA-5740-469B-ADEC-60DE6FEAB151}">
  <dimension ref="A1:AA753"/>
  <sheetViews>
    <sheetView topLeftCell="L1" workbookViewId="0">
      <selection activeCell="F19" sqref="F19"/>
    </sheetView>
  </sheetViews>
  <sheetFormatPr defaultRowHeight="14.4" x14ac:dyDescent="0.55000000000000004"/>
  <sheetData>
    <row r="1" spans="1:2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55000000000000004">
      <c r="A2">
        <v>1</v>
      </c>
      <c r="B2">
        <v>12.33992304</v>
      </c>
      <c r="C2">
        <v>-7.2039923950000002</v>
      </c>
      <c r="D2">
        <v>-3.0088098539999999</v>
      </c>
      <c r="E2">
        <v>26.564123439999999</v>
      </c>
      <c r="F2">
        <v>8.1453763870000007</v>
      </c>
      <c r="G2">
        <v>12.683558339999999</v>
      </c>
      <c r="H2">
        <v>12.33992304</v>
      </c>
      <c r="I2">
        <v>7.2039923950000002</v>
      </c>
      <c r="J2">
        <v>3.0088098539999999</v>
      </c>
      <c r="K2">
        <v>26.564123439999999</v>
      </c>
      <c r="L2">
        <v>8.1453763870000007</v>
      </c>
      <c r="M2">
        <v>12.683558339999999</v>
      </c>
      <c r="N2">
        <v>0.164485723</v>
      </c>
      <c r="O2">
        <v>45.07084656</v>
      </c>
      <c r="P2">
        <v>0</v>
      </c>
      <c r="Q2">
        <v>91.553165586999995</v>
      </c>
      <c r="R2">
        <v>0.458938075253355</v>
      </c>
      <c r="S2">
        <v>0.29212337484377499</v>
      </c>
      <c r="T2">
        <v>0.15405625865974901</v>
      </c>
      <c r="U2">
        <v>0.20739514361615199</v>
      </c>
      <c r="V2">
        <v>0.39801087757273701</v>
      </c>
      <c r="W2">
        <v>0.28978631229020801</v>
      </c>
      <c r="X2">
        <v>0.22767973789513901</v>
      </c>
      <c r="Y2">
        <v>0.57164578126979604</v>
      </c>
      <c r="Z2">
        <v>0</v>
      </c>
      <c r="AA2">
        <v>2.1147563603748001E-3</v>
      </c>
    </row>
    <row r="3" spans="1:27" x14ac:dyDescent="0.55000000000000004">
      <c r="A3">
        <v>2</v>
      </c>
      <c r="B3">
        <v>14.675883929999999</v>
      </c>
      <c r="C3">
        <v>-5.4740313110000001</v>
      </c>
      <c r="D3">
        <v>-0.94264966900000002</v>
      </c>
      <c r="E3">
        <v>27.189766599999999</v>
      </c>
      <c r="F3">
        <v>9.246419908</v>
      </c>
      <c r="G3">
        <v>13.565362240000001</v>
      </c>
      <c r="H3">
        <v>14.675883929999999</v>
      </c>
      <c r="I3">
        <v>5.4740313110000001</v>
      </c>
      <c r="J3">
        <v>0.94264966900000002</v>
      </c>
      <c r="K3">
        <v>27.189766599999999</v>
      </c>
      <c r="L3">
        <v>9.246419908</v>
      </c>
      <c r="M3">
        <v>13.565362240000001</v>
      </c>
      <c r="N3">
        <v>0.25358131499999997</v>
      </c>
      <c r="O3">
        <v>55.09095001</v>
      </c>
      <c r="P3">
        <v>0</v>
      </c>
      <c r="Q3">
        <v>122.52264055400001</v>
      </c>
      <c r="R3">
        <v>0.54718518861775201</v>
      </c>
      <c r="S3">
        <v>0.221808107242571</v>
      </c>
      <c r="T3">
        <v>4.8102422963257403E-2</v>
      </c>
      <c r="U3">
        <v>0.225249502033532</v>
      </c>
      <c r="V3">
        <v>0.45216191782001403</v>
      </c>
      <c r="W3">
        <v>0.33833067519944299</v>
      </c>
      <c r="X3">
        <v>0.35395254430325601</v>
      </c>
      <c r="Y3">
        <v>0.70161359659215194</v>
      </c>
      <c r="Z3">
        <v>0</v>
      </c>
      <c r="AA3">
        <v>2.83057757177282E-3</v>
      </c>
    </row>
    <row r="4" spans="1:27" x14ac:dyDescent="0.55000000000000004">
      <c r="A4">
        <v>3</v>
      </c>
      <c r="B4">
        <v>15.537479250000001</v>
      </c>
      <c r="C4">
        <v>2.6270206589999998</v>
      </c>
      <c r="D4">
        <v>5.3607548710000001</v>
      </c>
      <c r="E4">
        <v>34.789012849999999</v>
      </c>
      <c r="F4">
        <v>11.181107109999999</v>
      </c>
      <c r="G4">
        <v>19.262488269999999</v>
      </c>
      <c r="H4">
        <v>15.537479250000001</v>
      </c>
      <c r="I4">
        <v>2.6270206589999998</v>
      </c>
      <c r="J4">
        <v>5.3607548710000001</v>
      </c>
      <c r="K4">
        <v>34.789012849999999</v>
      </c>
      <c r="L4">
        <v>11.181107109999999</v>
      </c>
      <c r="M4">
        <v>19.262488269999999</v>
      </c>
      <c r="N4">
        <v>0.10122779</v>
      </c>
      <c r="O4">
        <v>38.967193600000002</v>
      </c>
      <c r="P4">
        <v>93.995761905105795</v>
      </c>
      <c r="Q4">
        <v>97.451311632100001</v>
      </c>
      <c r="R4">
        <v>0.57973423522369705</v>
      </c>
      <c r="S4">
        <v>0.10608971466695</v>
      </c>
      <c r="T4">
        <v>0.27466529841742798</v>
      </c>
      <c r="U4">
        <v>0.44211380252301402</v>
      </c>
      <c r="V4">
        <v>0.54731285649157801</v>
      </c>
      <c r="W4">
        <v>0.65196430002233796</v>
      </c>
      <c r="X4">
        <v>0.138025956510684</v>
      </c>
      <c r="Y4">
        <v>0.49247709357555702</v>
      </c>
      <c r="Z4">
        <v>8.0513603164617101E-2</v>
      </c>
      <c r="AA4">
        <v>2.25108473053622E-3</v>
      </c>
    </row>
    <row r="5" spans="1:27" x14ac:dyDescent="0.55000000000000004">
      <c r="A5">
        <v>4</v>
      </c>
      <c r="B5">
        <v>15.42039995</v>
      </c>
      <c r="C5">
        <v>3.8434653650000001</v>
      </c>
      <c r="D5">
        <v>6.2212853529999999</v>
      </c>
      <c r="E5">
        <v>34.836783920000002</v>
      </c>
      <c r="F5">
        <v>10.14127098</v>
      </c>
      <c r="G5">
        <v>18.26669313</v>
      </c>
      <c r="H5">
        <v>15.42039995</v>
      </c>
      <c r="I5">
        <v>3.8434653650000001</v>
      </c>
      <c r="J5">
        <v>6.2212853529999999</v>
      </c>
      <c r="K5">
        <v>34.836783920000002</v>
      </c>
      <c r="L5">
        <v>10.14127098</v>
      </c>
      <c r="M5">
        <v>18.26669313</v>
      </c>
      <c r="N5">
        <v>8.8183156999999998E-2</v>
      </c>
      <c r="O5">
        <v>37.855121609999998</v>
      </c>
      <c r="P5">
        <v>16.703968223902901</v>
      </c>
      <c r="Q5">
        <v>113.939176422</v>
      </c>
      <c r="R5">
        <v>0.57531125438358299</v>
      </c>
      <c r="S5">
        <v>0.15553281244270201</v>
      </c>
      <c r="T5">
        <v>0.31879377691758298</v>
      </c>
      <c r="U5">
        <v>0.44347707452899598</v>
      </c>
      <c r="V5">
        <v>0.496172091342656</v>
      </c>
      <c r="W5">
        <v>0.59714458255520997</v>
      </c>
      <c r="X5">
        <v>0.119538146053418</v>
      </c>
      <c r="Y5">
        <v>0.47805273481092903</v>
      </c>
      <c r="Z5">
        <v>1.4308056465475999E-2</v>
      </c>
      <c r="AA5">
        <v>2.6321813865127601E-3</v>
      </c>
    </row>
    <row r="6" spans="1:27" x14ac:dyDescent="0.55000000000000004">
      <c r="A6">
        <v>5</v>
      </c>
      <c r="B6">
        <v>14.176214010000001</v>
      </c>
      <c r="C6">
        <v>-6.0666253000000001</v>
      </c>
      <c r="D6">
        <v>-1.6023470479999999</v>
      </c>
      <c r="E6">
        <v>26.763631589999999</v>
      </c>
      <c r="F6">
        <v>8.5951753740000001</v>
      </c>
      <c r="G6">
        <v>12.89973964</v>
      </c>
      <c r="H6">
        <v>14.176214010000001</v>
      </c>
      <c r="I6">
        <v>6.0666253000000001</v>
      </c>
      <c r="J6">
        <v>1.6023470479999999</v>
      </c>
      <c r="K6">
        <v>26.763631589999999</v>
      </c>
      <c r="L6">
        <v>8.5951753740000001</v>
      </c>
      <c r="M6">
        <v>12.89973964</v>
      </c>
      <c r="N6">
        <v>0.144887194</v>
      </c>
      <c r="O6">
        <v>40.234992980000001</v>
      </c>
      <c r="P6">
        <v>0</v>
      </c>
      <c r="Q6">
        <v>115.35458004199999</v>
      </c>
      <c r="R6">
        <v>0.52830883316857402</v>
      </c>
      <c r="S6">
        <v>0.24589443224767199</v>
      </c>
      <c r="T6">
        <v>8.19320689952623E-2</v>
      </c>
      <c r="U6">
        <v>0.213088628728797</v>
      </c>
      <c r="V6">
        <v>0.42013269436168599</v>
      </c>
      <c r="W6">
        <v>0.301687352284917</v>
      </c>
      <c r="X6">
        <v>0.19990326542609901</v>
      </c>
      <c r="Y6">
        <v>0.50892134652243004</v>
      </c>
      <c r="Z6">
        <v>0</v>
      </c>
      <c r="AA6">
        <v>2.6648966952148002E-3</v>
      </c>
    </row>
    <row r="7" spans="1:27" x14ac:dyDescent="0.55000000000000004">
      <c r="A7">
        <v>6</v>
      </c>
      <c r="B7">
        <v>13.35726758</v>
      </c>
      <c r="C7">
        <v>-7.1737339850000001</v>
      </c>
      <c r="D7">
        <v>-2.7381503739999999</v>
      </c>
      <c r="E7">
        <v>26.605239279999999</v>
      </c>
      <c r="F7">
        <v>7.658923616</v>
      </c>
      <c r="G7">
        <v>12.63555596</v>
      </c>
      <c r="H7">
        <v>13.35726758</v>
      </c>
      <c r="I7">
        <v>7.1737339850000001</v>
      </c>
      <c r="J7">
        <v>2.7381503739999999</v>
      </c>
      <c r="K7">
        <v>26.605239279999999</v>
      </c>
      <c r="L7">
        <v>7.658923616</v>
      </c>
      <c r="M7">
        <v>12.63555596</v>
      </c>
      <c r="N7">
        <v>0.27217793499999998</v>
      </c>
      <c r="O7">
        <v>70.239601140000005</v>
      </c>
      <c r="P7">
        <v>0</v>
      </c>
      <c r="Q7">
        <v>176.06916353400001</v>
      </c>
      <c r="R7">
        <v>0.49737096141012199</v>
      </c>
      <c r="S7">
        <v>0.29089350429003002</v>
      </c>
      <c r="T7">
        <v>0.14017669100482499</v>
      </c>
      <c r="U7">
        <v>0.20856849128607899</v>
      </c>
      <c r="V7">
        <v>0.374086370431642</v>
      </c>
      <c r="W7">
        <v>0.28714372366565499</v>
      </c>
      <c r="X7">
        <v>0.38030903786699199</v>
      </c>
      <c r="Y7">
        <v>0.89810229576288003</v>
      </c>
      <c r="Z7">
        <v>0</v>
      </c>
      <c r="AA7">
        <v>4.0682393980239302E-3</v>
      </c>
    </row>
    <row r="8" spans="1:27" x14ac:dyDescent="0.55000000000000004">
      <c r="A8">
        <v>7</v>
      </c>
      <c r="B8">
        <v>19.183199930000001</v>
      </c>
      <c r="C8">
        <v>1.4486316699999999</v>
      </c>
      <c r="D8">
        <v>9.1220791569999999</v>
      </c>
      <c r="E8">
        <v>29.107361470000001</v>
      </c>
      <c r="F8">
        <v>5.1238737590000003</v>
      </c>
      <c r="G8">
        <v>11.416639809999999</v>
      </c>
      <c r="H8">
        <v>19.183199930000001</v>
      </c>
      <c r="I8">
        <v>1.4486316699999999</v>
      </c>
      <c r="J8">
        <v>9.1220791569999999</v>
      </c>
      <c r="K8">
        <v>29.107361470000001</v>
      </c>
      <c r="L8">
        <v>5.1238737590000003</v>
      </c>
      <c r="M8">
        <v>11.416639809999999</v>
      </c>
      <c r="N8">
        <v>6.9557964999999999E-2</v>
      </c>
      <c r="O8">
        <v>22.783025739999999</v>
      </c>
      <c r="P8">
        <v>258.87380761125502</v>
      </c>
      <c r="Q8">
        <v>17.807912798699999</v>
      </c>
      <c r="R8">
        <v>0.717460995770139</v>
      </c>
      <c r="S8">
        <v>5.8193413492207503E-2</v>
      </c>
      <c r="T8">
        <v>0.46754808567337602</v>
      </c>
      <c r="U8">
        <v>0.27997307019067202</v>
      </c>
      <c r="V8">
        <v>0.24940865859098399</v>
      </c>
      <c r="W8">
        <v>0.22004092684027601</v>
      </c>
      <c r="X8">
        <v>9.3141158156081996E-2</v>
      </c>
      <c r="Y8">
        <v>0.282557011405699</v>
      </c>
      <c r="Z8">
        <v>0.22174258278546799</v>
      </c>
      <c r="AA8">
        <v>4.1022581079256997E-4</v>
      </c>
    </row>
    <row r="9" spans="1:27" x14ac:dyDescent="0.55000000000000004">
      <c r="A9">
        <v>8</v>
      </c>
      <c r="B9">
        <v>19.204792919999999</v>
      </c>
      <c r="C9">
        <v>1.3463312199999999</v>
      </c>
      <c r="D9">
        <v>3.5821255430000001</v>
      </c>
      <c r="E9">
        <v>29.039025850000002</v>
      </c>
      <c r="F9">
        <v>5.2898816269999998</v>
      </c>
      <c r="G9">
        <v>11.092014669999999</v>
      </c>
      <c r="H9">
        <v>19.204792919999999</v>
      </c>
      <c r="I9">
        <v>1.3463312199999999</v>
      </c>
      <c r="J9">
        <v>3.5821255430000001</v>
      </c>
      <c r="K9">
        <v>29.039025850000002</v>
      </c>
      <c r="L9">
        <v>5.2898816269999998</v>
      </c>
      <c r="M9">
        <v>11.092014669999999</v>
      </c>
      <c r="N9">
        <v>7.4163027000000006E-2</v>
      </c>
      <c r="O9">
        <v>25.588653560000001</v>
      </c>
      <c r="P9">
        <v>129.43690380562799</v>
      </c>
      <c r="Q9">
        <v>48.649520453900003</v>
      </c>
      <c r="R9">
        <v>0.71827672819295696</v>
      </c>
      <c r="S9">
        <v>5.4035352606328198E-2</v>
      </c>
      <c r="T9">
        <v>0.183456203908682</v>
      </c>
      <c r="U9">
        <v>0.278022935145395</v>
      </c>
      <c r="V9">
        <v>0.25757318485173297</v>
      </c>
      <c r="W9">
        <v>0.202169923314865</v>
      </c>
      <c r="X9">
        <v>9.9667789714053795E-2</v>
      </c>
      <c r="Y9">
        <v>0.31894798483152897</v>
      </c>
      <c r="Z9">
        <v>0.11087129139273399</v>
      </c>
      <c r="AA9">
        <v>1.1230915270093299E-3</v>
      </c>
    </row>
    <row r="10" spans="1:27" x14ac:dyDescent="0.55000000000000004">
      <c r="A10">
        <v>9</v>
      </c>
      <c r="B10">
        <v>16.7531213</v>
      </c>
      <c r="C10">
        <v>-2.8123975670000001</v>
      </c>
      <c r="D10">
        <v>1.5088968039999999</v>
      </c>
      <c r="E10">
        <v>30.22682361</v>
      </c>
      <c r="F10">
        <v>10.0062576</v>
      </c>
      <c r="G10">
        <v>15.331612310000001</v>
      </c>
      <c r="H10">
        <v>16.7531213</v>
      </c>
      <c r="I10">
        <v>2.8123975670000001</v>
      </c>
      <c r="J10">
        <v>1.5088968039999999</v>
      </c>
      <c r="K10">
        <v>30.22682361</v>
      </c>
      <c r="L10">
        <v>10.0062576</v>
      </c>
      <c r="M10">
        <v>15.331612310000001</v>
      </c>
      <c r="N10">
        <v>0.17148850900000001</v>
      </c>
      <c r="O10">
        <v>55.609222410000001</v>
      </c>
      <c r="P10">
        <v>0</v>
      </c>
      <c r="Q10">
        <v>148.57936965799999</v>
      </c>
      <c r="R10">
        <v>0.62565833534716997</v>
      </c>
      <c r="S10">
        <v>0.113624466178796</v>
      </c>
      <c r="T10">
        <v>7.7139888858186997E-2</v>
      </c>
      <c r="U10">
        <v>0.31191984042667598</v>
      </c>
      <c r="V10">
        <v>0.48953192241667198</v>
      </c>
      <c r="W10">
        <v>0.43556486115228399</v>
      </c>
      <c r="X10">
        <v>0.23760459973224901</v>
      </c>
      <c r="Y10">
        <v>0.708335955488544</v>
      </c>
      <c r="Z10">
        <v>0</v>
      </c>
      <c r="AA10">
        <v>3.4328467226760898E-3</v>
      </c>
    </row>
    <row r="11" spans="1:27" x14ac:dyDescent="0.55000000000000004">
      <c r="A11">
        <v>10</v>
      </c>
      <c r="B11">
        <v>15.35763674</v>
      </c>
      <c r="C11">
        <v>-4.2837842400000001</v>
      </c>
      <c r="D11">
        <v>6.4974887999999995E-2</v>
      </c>
      <c r="E11">
        <v>27.735989759999999</v>
      </c>
      <c r="F11">
        <v>9.0115603360000005</v>
      </c>
      <c r="G11">
        <v>13.86642878</v>
      </c>
      <c r="H11">
        <v>15.35763674</v>
      </c>
      <c r="I11">
        <v>4.2837842400000001</v>
      </c>
      <c r="J11">
        <v>6.4974887999999995E-2</v>
      </c>
      <c r="K11">
        <v>27.735989759999999</v>
      </c>
      <c r="L11">
        <v>9.0115603360000005</v>
      </c>
      <c r="M11">
        <v>13.86642878</v>
      </c>
      <c r="N11">
        <v>0.13323336799999999</v>
      </c>
      <c r="O11">
        <v>38.116630549999996</v>
      </c>
      <c r="P11">
        <v>1.1345328088164901</v>
      </c>
      <c r="Q11">
        <v>118.31326454400001</v>
      </c>
      <c r="R11">
        <v>0.57294020779128196</v>
      </c>
      <c r="S11">
        <v>0.17342982747491201</v>
      </c>
      <c r="T11">
        <v>3.0947753393498201E-3</v>
      </c>
      <c r="U11">
        <v>0.24083740372898699</v>
      </c>
      <c r="V11">
        <v>0.44061115720677302</v>
      </c>
      <c r="W11">
        <v>0.35490474952320999</v>
      </c>
      <c r="X11">
        <v>0.18338660863782699</v>
      </c>
      <c r="Y11">
        <v>0.48144469037193299</v>
      </c>
      <c r="Z11">
        <v>9.7180258444532603E-4</v>
      </c>
      <c r="AA11">
        <v>2.7332830377867399E-3</v>
      </c>
    </row>
    <row r="12" spans="1:27" x14ac:dyDescent="0.55000000000000004">
      <c r="A12">
        <v>11</v>
      </c>
      <c r="B12">
        <v>12.345040940000001</v>
      </c>
      <c r="C12">
        <v>-7.0921978709999998</v>
      </c>
      <c r="D12">
        <v>-2.9128168200000002</v>
      </c>
      <c r="E12">
        <v>26.606877310000002</v>
      </c>
      <c r="F12">
        <v>8.2573802329999992</v>
      </c>
      <c r="G12">
        <v>12.766241109999999</v>
      </c>
      <c r="H12">
        <v>12.345040940000001</v>
      </c>
      <c r="I12">
        <v>7.0921978709999998</v>
      </c>
      <c r="J12">
        <v>2.9128168200000002</v>
      </c>
      <c r="K12">
        <v>26.606877310000002</v>
      </c>
      <c r="L12">
        <v>8.2573802329999992</v>
      </c>
      <c r="M12">
        <v>12.766241109999999</v>
      </c>
      <c r="N12">
        <v>0.16163767900000001</v>
      </c>
      <c r="O12">
        <v>44.60725403</v>
      </c>
      <c r="P12">
        <v>0</v>
      </c>
      <c r="Q12">
        <v>288.659256105</v>
      </c>
      <c r="R12">
        <v>0.459131417489272</v>
      </c>
      <c r="S12">
        <v>0.28757942183575003</v>
      </c>
      <c r="T12">
        <v>0.14913368284675901</v>
      </c>
      <c r="U12">
        <v>0.20861523674193599</v>
      </c>
      <c r="V12">
        <v>0.40351940167457001</v>
      </c>
      <c r="W12">
        <v>0.29433809800267902</v>
      </c>
      <c r="X12">
        <v>0.223643281089804</v>
      </c>
      <c r="Y12">
        <v>0.56563265888792502</v>
      </c>
      <c r="Z12">
        <v>0</v>
      </c>
      <c r="AA12">
        <v>6.6706205020454403E-3</v>
      </c>
    </row>
    <row r="13" spans="1:27" x14ac:dyDescent="0.55000000000000004">
      <c r="A13">
        <v>12</v>
      </c>
      <c r="B13">
        <v>11.03682437</v>
      </c>
      <c r="C13">
        <v>-6.931273075</v>
      </c>
      <c r="D13">
        <v>-3.2879927690000001</v>
      </c>
      <c r="E13">
        <v>33.032474800000003</v>
      </c>
      <c r="F13">
        <v>15.62564334</v>
      </c>
      <c r="G13">
        <v>21.719809359999999</v>
      </c>
      <c r="H13">
        <v>11.03682437</v>
      </c>
      <c r="I13">
        <v>6.931273075</v>
      </c>
      <c r="J13">
        <v>3.2879927690000001</v>
      </c>
      <c r="K13">
        <v>33.032474800000003</v>
      </c>
      <c r="L13">
        <v>15.62564334</v>
      </c>
      <c r="M13">
        <v>21.719809359999999</v>
      </c>
      <c r="N13">
        <v>0.195241004</v>
      </c>
      <c r="O13">
        <v>57.849735260000003</v>
      </c>
      <c r="P13">
        <v>540.436464986499</v>
      </c>
      <c r="Q13">
        <v>17.887168396900002</v>
      </c>
      <c r="R13">
        <v>0.40971006953255501</v>
      </c>
      <c r="S13">
        <v>0.28103854054132998</v>
      </c>
      <c r="T13">
        <v>0.16837291277007699</v>
      </c>
      <c r="U13">
        <v>0.391986410546947</v>
      </c>
      <c r="V13">
        <v>0.76590209086863803</v>
      </c>
      <c r="W13">
        <v>0.78724277495023998</v>
      </c>
      <c r="X13">
        <v>0.27126837742895799</v>
      </c>
      <c r="Y13">
        <v>0.73739698881711302</v>
      </c>
      <c r="Z13">
        <v>0.46291966994788403</v>
      </c>
      <c r="AA13">
        <v>4.12057706179045E-4</v>
      </c>
    </row>
    <row r="14" spans="1:27" x14ac:dyDescent="0.55000000000000004">
      <c r="A14">
        <v>13</v>
      </c>
      <c r="B14">
        <v>14.34711914</v>
      </c>
      <c r="C14">
        <v>-2.134316535</v>
      </c>
      <c r="D14">
        <v>1.08960149</v>
      </c>
      <c r="E14">
        <v>29.87627964</v>
      </c>
      <c r="F14">
        <v>9.9347548430000003</v>
      </c>
      <c r="G14">
        <v>16.095645510000001</v>
      </c>
      <c r="H14">
        <v>14.34711914</v>
      </c>
      <c r="I14">
        <v>2.134316535</v>
      </c>
      <c r="J14">
        <v>1.08960149</v>
      </c>
      <c r="K14">
        <v>29.87627964</v>
      </c>
      <c r="L14">
        <v>9.9347548430000003</v>
      </c>
      <c r="M14">
        <v>16.095645510000001</v>
      </c>
      <c r="N14">
        <v>0.13539934200000001</v>
      </c>
      <c r="O14">
        <v>42.573364259999998</v>
      </c>
      <c r="P14">
        <v>28.775422922570399</v>
      </c>
      <c r="Q14">
        <v>777.944963508</v>
      </c>
      <c r="R14">
        <v>0.53476522738571597</v>
      </c>
      <c r="S14">
        <v>8.6063470927887201E-2</v>
      </c>
      <c r="T14">
        <v>5.56381935247902E-2</v>
      </c>
      <c r="U14">
        <v>0.301916154489422</v>
      </c>
      <c r="V14">
        <v>0.48601530513656499</v>
      </c>
      <c r="W14">
        <v>0.47762580569506002</v>
      </c>
      <c r="X14">
        <v>0.186456385822618</v>
      </c>
      <c r="Y14">
        <v>0.53925167277012298</v>
      </c>
      <c r="Z14">
        <v>2.4648057903087401E-2</v>
      </c>
      <c r="AA14">
        <v>1.7979856069201602E-2</v>
      </c>
    </row>
    <row r="15" spans="1:27" x14ac:dyDescent="0.55000000000000004">
      <c r="A15">
        <v>14</v>
      </c>
      <c r="B15">
        <v>11.69316098</v>
      </c>
      <c r="C15">
        <v>-3.6755188460000001</v>
      </c>
      <c r="D15">
        <v>-0.61387011899999999</v>
      </c>
      <c r="E15">
        <v>30.465193230000001</v>
      </c>
      <c r="F15">
        <v>10.176863750000001</v>
      </c>
      <c r="G15">
        <v>16.524702810000001</v>
      </c>
      <c r="H15">
        <v>11.69316098</v>
      </c>
      <c r="I15">
        <v>3.6755188460000001</v>
      </c>
      <c r="J15">
        <v>0.61387011899999999</v>
      </c>
      <c r="K15">
        <v>30.465193230000001</v>
      </c>
      <c r="L15">
        <v>10.176863750000001</v>
      </c>
      <c r="M15">
        <v>16.524702810000001</v>
      </c>
      <c r="N15">
        <v>0.22508546700000001</v>
      </c>
      <c r="O15">
        <v>47.029067990000001</v>
      </c>
      <c r="P15">
        <v>65.719508198217397</v>
      </c>
      <c r="Q15">
        <v>392.72085852800001</v>
      </c>
      <c r="R15">
        <v>0.43450492439327798</v>
      </c>
      <c r="S15">
        <v>0.14870652916072799</v>
      </c>
      <c r="T15">
        <v>3.1242426011440099E-2</v>
      </c>
      <c r="U15">
        <v>0.31872233888489399</v>
      </c>
      <c r="V15">
        <v>0.49792259936892502</v>
      </c>
      <c r="W15">
        <v>0.50124592495293196</v>
      </c>
      <c r="X15">
        <v>0.31356613890242402</v>
      </c>
      <c r="Y15">
        <v>0.59704529560061104</v>
      </c>
      <c r="Z15">
        <v>5.6293116795914401E-2</v>
      </c>
      <c r="AA15">
        <v>9.0758760766337706E-3</v>
      </c>
    </row>
    <row r="16" spans="1:27" x14ac:dyDescent="0.55000000000000004">
      <c r="A16">
        <v>15</v>
      </c>
      <c r="B16">
        <v>16.930921009999999</v>
      </c>
      <c r="C16">
        <v>-2.3908511130000001</v>
      </c>
      <c r="D16">
        <v>1.4331308359999999</v>
      </c>
      <c r="E16">
        <v>29.351520189999999</v>
      </c>
      <c r="F16">
        <v>9.7305793650000005</v>
      </c>
      <c r="G16">
        <v>15.7285068</v>
      </c>
      <c r="H16">
        <v>16.930921009999999</v>
      </c>
      <c r="I16">
        <v>2.3908511130000001</v>
      </c>
      <c r="J16">
        <v>1.4331308359999999</v>
      </c>
      <c r="K16">
        <v>29.351520189999999</v>
      </c>
      <c r="L16">
        <v>9.7305793650000005</v>
      </c>
      <c r="M16">
        <v>15.7285068</v>
      </c>
      <c r="N16">
        <v>0.27127206300000001</v>
      </c>
      <c r="O16">
        <v>58.01762772</v>
      </c>
      <c r="P16">
        <v>21.783029929276601</v>
      </c>
      <c r="Q16">
        <v>897.87741329100004</v>
      </c>
      <c r="R16">
        <v>0.63237519059577196</v>
      </c>
      <c r="S16">
        <v>9.6490467042345499E-2</v>
      </c>
      <c r="T16">
        <v>7.3254568163723194E-2</v>
      </c>
      <c r="U16">
        <v>0.28694077570767801</v>
      </c>
      <c r="V16">
        <v>0.475973636196318</v>
      </c>
      <c r="W16">
        <v>0.45741437912247601</v>
      </c>
      <c r="X16">
        <v>0.37902516964053101</v>
      </c>
      <c r="Y16">
        <v>0.73957467254504905</v>
      </c>
      <c r="Z16">
        <v>1.8658609621350301E-2</v>
      </c>
      <c r="AA16">
        <v>2.0751946702997601E-2</v>
      </c>
    </row>
    <row r="17" spans="1:27" x14ac:dyDescent="0.55000000000000004">
      <c r="A17">
        <v>16</v>
      </c>
      <c r="B17">
        <v>13.39135297</v>
      </c>
      <c r="C17">
        <v>-6.787253583</v>
      </c>
      <c r="D17">
        <v>-2.4255640930000002</v>
      </c>
      <c r="E17">
        <v>26.681100910000001</v>
      </c>
      <c r="F17">
        <v>8.0560944059999997</v>
      </c>
      <c r="G17">
        <v>12.690516410000001</v>
      </c>
      <c r="H17">
        <v>13.39135297</v>
      </c>
      <c r="I17">
        <v>6.787253583</v>
      </c>
      <c r="J17">
        <v>2.4255640930000002</v>
      </c>
      <c r="K17">
        <v>26.681100910000001</v>
      </c>
      <c r="L17">
        <v>8.0560944059999997</v>
      </c>
      <c r="M17">
        <v>12.690516410000001</v>
      </c>
      <c r="N17">
        <v>0.24285733700000001</v>
      </c>
      <c r="O17">
        <v>65.049247739999998</v>
      </c>
      <c r="P17">
        <v>0</v>
      </c>
      <c r="Q17">
        <v>610.45355193700004</v>
      </c>
      <c r="R17">
        <v>0.498658627350197</v>
      </c>
      <c r="S17">
        <v>0.27518478509363298</v>
      </c>
      <c r="T17">
        <v>0.124147093832981</v>
      </c>
      <c r="U17">
        <v>0.21073340064454901</v>
      </c>
      <c r="V17">
        <v>0.39361985028428098</v>
      </c>
      <c r="W17">
        <v>0.29016936239378299</v>
      </c>
      <c r="X17">
        <v>0.33875373628681799</v>
      </c>
      <c r="Y17">
        <v>0.83077974809507504</v>
      </c>
      <c r="Z17">
        <v>0</v>
      </c>
      <c r="AA17">
        <v>1.41084987001383E-2</v>
      </c>
    </row>
    <row r="18" spans="1:27" x14ac:dyDescent="0.55000000000000004">
      <c r="A18">
        <v>17</v>
      </c>
      <c r="B18">
        <v>7.3505421149999997</v>
      </c>
      <c r="C18">
        <v>-5.6257728849999999</v>
      </c>
      <c r="D18">
        <v>-2.829857203</v>
      </c>
      <c r="E18">
        <v>33.099500890000002</v>
      </c>
      <c r="F18">
        <v>15.642570790000001</v>
      </c>
      <c r="G18">
        <v>21.963669939999999</v>
      </c>
      <c r="H18">
        <v>7.3505421149999997</v>
      </c>
      <c r="I18">
        <v>5.6257728849999999</v>
      </c>
      <c r="J18">
        <v>2.829857203</v>
      </c>
      <c r="K18">
        <v>33.099500890000002</v>
      </c>
      <c r="L18">
        <v>15.642570790000001</v>
      </c>
      <c r="M18">
        <v>21.963669939999999</v>
      </c>
      <c r="N18">
        <v>0.10618253800000001</v>
      </c>
      <c r="O18">
        <v>35.692718509999999</v>
      </c>
      <c r="P18">
        <v>190.350774613471</v>
      </c>
      <c r="Q18">
        <v>78.540007516599999</v>
      </c>
      <c r="R18">
        <v>0.27045098799452999</v>
      </c>
      <c r="S18">
        <v>0.22797573117395301</v>
      </c>
      <c r="T18">
        <v>0.14487946785758399</v>
      </c>
      <c r="U18">
        <v>0.39389917474015801</v>
      </c>
      <c r="V18">
        <v>0.766734609301153</v>
      </c>
      <c r="W18">
        <v>0.80066759252564002</v>
      </c>
      <c r="X18">
        <v>0.14504818871051101</v>
      </c>
      <c r="Y18">
        <v>0.45000484008053199</v>
      </c>
      <c r="Z18">
        <v>0.16304806109001799</v>
      </c>
      <c r="AA18">
        <v>1.8139732639873599E-3</v>
      </c>
    </row>
    <row r="19" spans="1:27" x14ac:dyDescent="0.55000000000000004">
      <c r="A19">
        <v>18</v>
      </c>
      <c r="B19">
        <v>17.071005110000002</v>
      </c>
      <c r="C19">
        <v>-2.4479104139999999</v>
      </c>
      <c r="D19">
        <v>4.5207702059999999</v>
      </c>
      <c r="E19">
        <v>29.223929930000001</v>
      </c>
      <c r="F19">
        <v>9.8171898550000005</v>
      </c>
      <c r="G19">
        <v>15.081369219999999</v>
      </c>
      <c r="H19">
        <v>17.071005110000002</v>
      </c>
      <c r="I19">
        <v>2.4479104139999999</v>
      </c>
      <c r="J19">
        <v>4.5207702059999999</v>
      </c>
      <c r="K19">
        <v>29.223929930000001</v>
      </c>
      <c r="L19">
        <v>9.8171898550000005</v>
      </c>
      <c r="M19">
        <v>15.081369219999999</v>
      </c>
      <c r="N19">
        <v>0.11803861</v>
      </c>
      <c r="O19">
        <v>38.387027740000001</v>
      </c>
      <c r="P19">
        <v>84.526202818632399</v>
      </c>
      <c r="Q19">
        <v>76.314304927899997</v>
      </c>
      <c r="R19">
        <v>0.637667238723021</v>
      </c>
      <c r="S19">
        <v>9.8809675292785296E-2</v>
      </c>
      <c r="T19">
        <v>0.23159042076316599</v>
      </c>
      <c r="U19">
        <v>0.28329965505256399</v>
      </c>
      <c r="V19">
        <v>0.48023327538439198</v>
      </c>
      <c r="W19">
        <v>0.42178867874201298</v>
      </c>
      <c r="X19">
        <v>0.161851483360786</v>
      </c>
      <c r="Y19">
        <v>0.48495193280999399</v>
      </c>
      <c r="Z19">
        <v>7.2402297857023207E-2</v>
      </c>
      <c r="AA19">
        <v>1.7625288941699E-3</v>
      </c>
    </row>
    <row r="20" spans="1:27" x14ac:dyDescent="0.55000000000000004">
      <c r="A20">
        <v>19</v>
      </c>
      <c r="B20">
        <v>16.595723750000001</v>
      </c>
      <c r="C20">
        <v>-2.4764267430000002</v>
      </c>
      <c r="D20">
        <v>4.0618263240000001</v>
      </c>
      <c r="E20">
        <v>29.444033510000001</v>
      </c>
      <c r="F20">
        <v>8.4428047940000006</v>
      </c>
      <c r="G20">
        <v>13.95585415</v>
      </c>
      <c r="H20">
        <v>16.595723750000001</v>
      </c>
      <c r="I20">
        <v>2.4764267430000002</v>
      </c>
      <c r="J20">
        <v>4.0618263240000001</v>
      </c>
      <c r="K20">
        <v>29.444033510000001</v>
      </c>
      <c r="L20">
        <v>8.4428047940000006</v>
      </c>
      <c r="M20">
        <v>13.95585415</v>
      </c>
      <c r="N20">
        <v>6.3886314999999999E-2</v>
      </c>
      <c r="O20">
        <v>18.589347839999999</v>
      </c>
      <c r="P20">
        <v>169.052405637265</v>
      </c>
      <c r="Q20">
        <v>46.0345643044</v>
      </c>
      <c r="R20">
        <v>0.61971222576220697</v>
      </c>
      <c r="S20">
        <v>9.9968737957942297E-2</v>
      </c>
      <c r="T20">
        <v>0.20805552495965501</v>
      </c>
      <c r="U20">
        <v>0.28958088444579899</v>
      </c>
      <c r="V20">
        <v>0.41263887122689502</v>
      </c>
      <c r="W20">
        <v>0.35982772345717901</v>
      </c>
      <c r="X20">
        <v>8.5102879871062104E-2</v>
      </c>
      <c r="Y20">
        <v>0.228162048564407</v>
      </c>
      <c r="Z20">
        <v>0.144804595714046</v>
      </c>
      <c r="AA20">
        <v>1.0626500412985701E-3</v>
      </c>
    </row>
    <row r="21" spans="1:27" x14ac:dyDescent="0.55000000000000004">
      <c r="A21">
        <v>20</v>
      </c>
      <c r="B21">
        <v>16.80049593</v>
      </c>
      <c r="C21">
        <v>-3.21648158</v>
      </c>
      <c r="D21">
        <v>4.2143916209999999</v>
      </c>
      <c r="E21">
        <v>30.119741229999999</v>
      </c>
      <c r="F21">
        <v>10.66209491</v>
      </c>
      <c r="G21">
        <v>15.848048390000001</v>
      </c>
      <c r="H21">
        <v>16.80049593</v>
      </c>
      <c r="I21">
        <v>3.21648158</v>
      </c>
      <c r="J21">
        <v>4.2143916209999999</v>
      </c>
      <c r="K21">
        <v>30.119741229999999</v>
      </c>
      <c r="L21">
        <v>10.66209491</v>
      </c>
      <c r="M21">
        <v>15.848048390000001</v>
      </c>
      <c r="N21">
        <v>6.2144585000000002E-2</v>
      </c>
      <c r="O21">
        <v>13.8769083</v>
      </c>
      <c r="P21">
        <v>0</v>
      </c>
      <c r="Q21">
        <v>39.004147435699998</v>
      </c>
      <c r="R21">
        <v>0.62744803754728096</v>
      </c>
      <c r="S21">
        <v>0.130048694313319</v>
      </c>
      <c r="T21">
        <v>0.21587915767152299</v>
      </c>
      <c r="U21">
        <v>0.30886396558468698</v>
      </c>
      <c r="V21">
        <v>0.52178702577282299</v>
      </c>
      <c r="W21">
        <v>0.46399528710860199</v>
      </c>
      <c r="X21">
        <v>8.2634372393102895E-2</v>
      </c>
      <c r="Y21">
        <v>0.16703838103855101</v>
      </c>
      <c r="Z21">
        <v>0</v>
      </c>
      <c r="AA21">
        <v>9.0015062776481198E-4</v>
      </c>
    </row>
    <row r="22" spans="1:27" x14ac:dyDescent="0.55000000000000004">
      <c r="A22">
        <v>21</v>
      </c>
      <c r="B22">
        <v>16.705883650000001</v>
      </c>
      <c r="C22">
        <v>-3.8149844270000002</v>
      </c>
      <c r="D22">
        <v>3.7706242699999999</v>
      </c>
      <c r="E22">
        <v>30.320132910000002</v>
      </c>
      <c r="F22">
        <v>10.91485501</v>
      </c>
      <c r="G22">
        <v>16.353425659999999</v>
      </c>
      <c r="H22">
        <v>16.705883650000001</v>
      </c>
      <c r="I22">
        <v>3.8149844270000002</v>
      </c>
      <c r="J22">
        <v>3.7706242699999999</v>
      </c>
      <c r="K22">
        <v>30.320132910000002</v>
      </c>
      <c r="L22">
        <v>10.91485501</v>
      </c>
      <c r="M22">
        <v>16.353425659999999</v>
      </c>
      <c r="N22">
        <v>7.5211531999999998E-2</v>
      </c>
      <c r="O22">
        <v>20.262922289999999</v>
      </c>
      <c r="P22">
        <v>299.44714894847198</v>
      </c>
      <c r="Q22">
        <v>31.815892034699999</v>
      </c>
      <c r="R22">
        <v>0.62387380792958202</v>
      </c>
      <c r="S22">
        <v>0.15437518826518401</v>
      </c>
      <c r="T22">
        <v>0.193122522761669</v>
      </c>
      <c r="U22">
        <v>0.314582664528956</v>
      </c>
      <c r="V22">
        <v>0.53421816231461505</v>
      </c>
      <c r="W22">
        <v>0.49181691230322699</v>
      </c>
      <c r="X22">
        <v>0.101153807887466</v>
      </c>
      <c r="Y22">
        <v>0.249869490621387</v>
      </c>
      <c r="Z22">
        <v>0.25649634016003098</v>
      </c>
      <c r="AA22">
        <v>7.3400297125901005E-4</v>
      </c>
    </row>
    <row r="23" spans="1:27" x14ac:dyDescent="0.55000000000000004">
      <c r="A23">
        <v>22</v>
      </c>
      <c r="B23">
        <v>14.97019502</v>
      </c>
      <c r="C23">
        <v>-3.0367833929999999</v>
      </c>
      <c r="D23">
        <v>1.0665396300000001</v>
      </c>
      <c r="E23">
        <v>27.937372150000002</v>
      </c>
      <c r="F23">
        <v>8.7734372270000005</v>
      </c>
      <c r="G23">
        <v>13.47143998</v>
      </c>
      <c r="H23">
        <v>14.97019502</v>
      </c>
      <c r="I23">
        <v>3.0367833929999999</v>
      </c>
      <c r="J23">
        <v>1.0665396300000001</v>
      </c>
      <c r="K23">
        <v>27.937372150000002</v>
      </c>
      <c r="L23">
        <v>8.7734372270000005</v>
      </c>
      <c r="M23">
        <v>13.47143998</v>
      </c>
      <c r="N23">
        <v>0.18604804599999999</v>
      </c>
      <c r="O23">
        <v>42.089103700000003</v>
      </c>
      <c r="P23">
        <v>50.417861155791897</v>
      </c>
      <c r="Q23">
        <v>294.34733440100001</v>
      </c>
      <c r="R23">
        <v>0.55830357002337105</v>
      </c>
      <c r="S23">
        <v>0.12274475769693</v>
      </c>
      <c r="T23">
        <v>5.4455568603917801E-2</v>
      </c>
      <c r="U23">
        <v>0.246584375165562</v>
      </c>
      <c r="V23">
        <v>0.42889989074606699</v>
      </c>
      <c r="W23">
        <v>0.33316014207445199</v>
      </c>
      <c r="X23">
        <v>0.25823944322700698</v>
      </c>
      <c r="Y23">
        <v>0.53297047144879595</v>
      </c>
      <c r="Z23">
        <v>4.3186241413781197E-2</v>
      </c>
      <c r="AA23">
        <v>6.80209341531594E-3</v>
      </c>
    </row>
    <row r="24" spans="1:27" x14ac:dyDescent="0.55000000000000004">
      <c r="A24">
        <v>23</v>
      </c>
      <c r="B24">
        <v>17.301273080000001</v>
      </c>
      <c r="C24">
        <v>-1.4170260210000001</v>
      </c>
      <c r="D24">
        <v>3.2007014549999999</v>
      </c>
      <c r="E24">
        <v>29.848749170000001</v>
      </c>
      <c r="F24">
        <v>10.64495192</v>
      </c>
      <c r="G24">
        <v>15.489499520000001</v>
      </c>
      <c r="H24">
        <v>17.301273080000001</v>
      </c>
      <c r="I24">
        <v>1.4170260210000001</v>
      </c>
      <c r="J24">
        <v>3.2007014549999999</v>
      </c>
      <c r="K24">
        <v>29.848749170000001</v>
      </c>
      <c r="L24">
        <v>10.64495192</v>
      </c>
      <c r="M24">
        <v>15.489499520000001</v>
      </c>
      <c r="N24">
        <v>9.4718902999999993E-2</v>
      </c>
      <c r="O24">
        <v>31.593379970000001</v>
      </c>
      <c r="P24">
        <v>218.71016778385101</v>
      </c>
      <c r="Q24">
        <v>81.966238031900005</v>
      </c>
      <c r="R24">
        <v>0.64636622154408097</v>
      </c>
      <c r="S24">
        <v>5.6908783631051202E-2</v>
      </c>
      <c r="T24">
        <v>0.163896565965782</v>
      </c>
      <c r="U24">
        <v>0.30113050076505399</v>
      </c>
      <c r="V24">
        <v>0.52094390674642399</v>
      </c>
      <c r="W24">
        <v>0.44425674153630901</v>
      </c>
      <c r="X24">
        <v>0.12880108455424299</v>
      </c>
      <c r="Y24">
        <v>0.39683352533621802</v>
      </c>
      <c r="Z24">
        <v>0.18733976192238599</v>
      </c>
      <c r="AA24">
        <v>1.8931663559143099E-3</v>
      </c>
    </row>
    <row r="25" spans="1:27" x14ac:dyDescent="0.55000000000000004">
      <c r="A25">
        <v>24</v>
      </c>
      <c r="B25">
        <v>14.82305929</v>
      </c>
      <c r="C25">
        <v>-6.5536415610000001</v>
      </c>
      <c r="D25">
        <v>-1.515779998</v>
      </c>
      <c r="E25">
        <v>29.133000410000001</v>
      </c>
      <c r="F25">
        <v>7.4579914650000001</v>
      </c>
      <c r="G25">
        <v>13.81575058</v>
      </c>
      <c r="H25">
        <v>14.82305929</v>
      </c>
      <c r="I25">
        <v>6.5536415610000001</v>
      </c>
      <c r="J25">
        <v>1.515779998</v>
      </c>
      <c r="K25">
        <v>29.133000410000001</v>
      </c>
      <c r="L25">
        <v>7.4579914650000001</v>
      </c>
      <c r="M25">
        <v>13.81575058</v>
      </c>
      <c r="N25">
        <v>0.25066429400000001</v>
      </c>
      <c r="O25">
        <v>41.162364959999998</v>
      </c>
      <c r="P25">
        <v>35.2944103714119</v>
      </c>
      <c r="Q25">
        <v>219.707030624</v>
      </c>
      <c r="R25">
        <v>0.55274512788469998</v>
      </c>
      <c r="S25">
        <v>0.26568948950940702</v>
      </c>
      <c r="T25">
        <v>7.7492862848992594E-2</v>
      </c>
      <c r="U25">
        <v>0.28070474417589097</v>
      </c>
      <c r="V25">
        <v>0.36420421337949299</v>
      </c>
      <c r="W25">
        <v>0.35211485379652202</v>
      </c>
      <c r="X25">
        <v>0.34981832823540099</v>
      </c>
      <c r="Y25">
        <v>0.52095001577052702</v>
      </c>
      <c r="Z25">
        <v>3.0232002943301198E-2</v>
      </c>
      <c r="AA25">
        <v>5.0768748662220302E-3</v>
      </c>
    </row>
    <row r="26" spans="1:27" x14ac:dyDescent="0.55000000000000004">
      <c r="A26">
        <v>25</v>
      </c>
      <c r="B26">
        <v>21.542762450000001</v>
      </c>
      <c r="C26">
        <v>4.083366507</v>
      </c>
      <c r="D26">
        <v>8.3583424320000006</v>
      </c>
      <c r="E26">
        <v>42.040947549999999</v>
      </c>
      <c r="F26">
        <v>3.5073026399999998</v>
      </c>
      <c r="G26">
        <v>9.4431180930000007</v>
      </c>
      <c r="H26">
        <v>21.542762450000001</v>
      </c>
      <c r="I26">
        <v>4.083366507</v>
      </c>
      <c r="J26">
        <v>8.3583424320000006</v>
      </c>
      <c r="K26">
        <v>42.040947549999999</v>
      </c>
      <c r="L26">
        <v>3.5073026399999998</v>
      </c>
      <c r="M26">
        <v>9.4431180930000007</v>
      </c>
      <c r="N26">
        <v>0.10672576</v>
      </c>
      <c r="O26">
        <v>31.840158460000001</v>
      </c>
      <c r="P26">
        <v>15.687942479963599</v>
      </c>
      <c r="Q26">
        <v>868.92184513100005</v>
      </c>
      <c r="R26">
        <v>0.80659972325663498</v>
      </c>
      <c r="S26">
        <v>0.16528373294234799</v>
      </c>
      <c r="T26">
        <v>0.42838324450399401</v>
      </c>
      <c r="U26">
        <v>0.64906666260580304</v>
      </c>
      <c r="V26">
        <v>0.16990316579443199</v>
      </c>
      <c r="W26">
        <v>0.11139618798246</v>
      </c>
      <c r="X26">
        <v>0.14581808276366001</v>
      </c>
      <c r="Y26">
        <v>0.400034416561932</v>
      </c>
      <c r="Z26">
        <v>1.34377630405964E-2</v>
      </c>
      <c r="AA26">
        <v>2.0082674463184201E-2</v>
      </c>
    </row>
    <row r="27" spans="1:27" x14ac:dyDescent="0.55000000000000004">
      <c r="A27">
        <v>26</v>
      </c>
      <c r="B27">
        <v>13.766106690000001</v>
      </c>
      <c r="C27">
        <v>-3.1295389</v>
      </c>
      <c r="D27">
        <v>1.40538775</v>
      </c>
      <c r="E27">
        <v>30.04579343</v>
      </c>
      <c r="F27">
        <v>10.36411114</v>
      </c>
      <c r="G27">
        <v>16.76627508</v>
      </c>
      <c r="H27">
        <v>13.766106690000001</v>
      </c>
      <c r="I27">
        <v>3.1295389</v>
      </c>
      <c r="J27">
        <v>1.40538775</v>
      </c>
      <c r="K27">
        <v>30.04579343</v>
      </c>
      <c r="L27">
        <v>10.36411114</v>
      </c>
      <c r="M27">
        <v>16.76627508</v>
      </c>
      <c r="N27">
        <v>0.11100238599999999</v>
      </c>
      <c r="O27">
        <v>34.967990880000002</v>
      </c>
      <c r="P27">
        <v>95.729085273254</v>
      </c>
      <c r="Q27">
        <v>18.518564032699999</v>
      </c>
      <c r="R27">
        <v>0.51281594229247296</v>
      </c>
      <c r="S27">
        <v>0.12651485886077199</v>
      </c>
      <c r="T27">
        <v>7.1831887387519194E-2</v>
      </c>
      <c r="U27">
        <v>0.30675367235399498</v>
      </c>
      <c r="V27">
        <v>0.50713171849881999</v>
      </c>
      <c r="W27">
        <v>0.51454476831673102</v>
      </c>
      <c r="X27">
        <v>0.15187923073805101</v>
      </c>
      <c r="Y27">
        <v>0.44060461110636401</v>
      </c>
      <c r="Z27">
        <v>8.1998309570422201E-2</v>
      </c>
      <c r="AA27">
        <v>4.2665163744108202E-4</v>
      </c>
    </row>
    <row r="28" spans="1:27" x14ac:dyDescent="0.55000000000000004">
      <c r="A28">
        <v>27</v>
      </c>
      <c r="B28">
        <v>16.4709039</v>
      </c>
      <c r="C28">
        <v>-3.6531701029999999</v>
      </c>
      <c r="D28">
        <v>3.8280809730000001</v>
      </c>
      <c r="E28">
        <v>30.341802550000001</v>
      </c>
      <c r="F28">
        <v>10.07135062</v>
      </c>
      <c r="G28">
        <v>15.40875462</v>
      </c>
      <c r="H28">
        <v>16.4709039</v>
      </c>
      <c r="I28">
        <v>3.6531701029999999</v>
      </c>
      <c r="J28">
        <v>3.8280809730000001</v>
      </c>
      <c r="K28">
        <v>30.341802550000001</v>
      </c>
      <c r="L28">
        <v>10.07135062</v>
      </c>
      <c r="M28">
        <v>15.40875462</v>
      </c>
      <c r="N28">
        <v>6.6202886000000002E-2</v>
      </c>
      <c r="O28">
        <v>16.832164760000001</v>
      </c>
      <c r="P28">
        <v>299.44714894847198</v>
      </c>
      <c r="Q28">
        <v>8.9218758058700001</v>
      </c>
      <c r="R28">
        <v>0.61499682513190002</v>
      </c>
      <c r="S28">
        <v>0.14779815159135401</v>
      </c>
      <c r="T28">
        <v>0.19606893423233801</v>
      </c>
      <c r="U28">
        <v>0.315201064192009</v>
      </c>
      <c r="V28">
        <v>0.49273329881879202</v>
      </c>
      <c r="W28">
        <v>0.43981163789289102</v>
      </c>
      <c r="X28">
        <v>8.8386094167608398E-2</v>
      </c>
      <c r="Y28">
        <v>0.205370143553785</v>
      </c>
      <c r="Z28">
        <v>0.25649634016003098</v>
      </c>
      <c r="AA28">
        <v>2.0483602709384701E-4</v>
      </c>
    </row>
    <row r="29" spans="1:27" x14ac:dyDescent="0.55000000000000004">
      <c r="A29">
        <v>28</v>
      </c>
      <c r="B29">
        <v>16.914779459999998</v>
      </c>
      <c r="C29">
        <v>-3.2210100580000001</v>
      </c>
      <c r="D29">
        <v>4.2393385209999996</v>
      </c>
      <c r="E29">
        <v>29.538139959999999</v>
      </c>
      <c r="F29">
        <v>10.95672209</v>
      </c>
      <c r="G29">
        <v>15.777795960000001</v>
      </c>
      <c r="H29">
        <v>16.914779459999998</v>
      </c>
      <c r="I29">
        <v>3.2210100580000001</v>
      </c>
      <c r="J29">
        <v>4.2393385209999996</v>
      </c>
      <c r="K29">
        <v>29.538139959999999</v>
      </c>
      <c r="L29">
        <v>10.95672209</v>
      </c>
      <c r="M29">
        <v>15.777795960000001</v>
      </c>
      <c r="N29">
        <v>0.105230063</v>
      </c>
      <c r="O29">
        <v>31.83714676</v>
      </c>
      <c r="P29">
        <v>72.381551326446001</v>
      </c>
      <c r="Q29">
        <v>98.849055115599995</v>
      </c>
      <c r="R29">
        <v>0.63176540076631704</v>
      </c>
      <c r="S29">
        <v>0.13023275691758299</v>
      </c>
      <c r="T29">
        <v>0.217158448484948</v>
      </c>
      <c r="U29">
        <v>0.29226645730123801</v>
      </c>
      <c r="V29">
        <v>0.53627725070746701</v>
      </c>
      <c r="W29">
        <v>0.46012780653023799</v>
      </c>
      <c r="X29">
        <v>0.14369827129502799</v>
      </c>
      <c r="Y29">
        <v>0.39999535268685699</v>
      </c>
      <c r="Z29">
        <v>6.1999598511901399E-2</v>
      </c>
      <c r="AA29">
        <v>2.2833918469677599E-3</v>
      </c>
    </row>
    <row r="30" spans="1:27" x14ac:dyDescent="0.55000000000000004">
      <c r="A30">
        <v>29</v>
      </c>
      <c r="B30">
        <v>16.95323539</v>
      </c>
      <c r="C30">
        <v>-3.7278012880000002</v>
      </c>
      <c r="D30">
        <v>1.688896438</v>
      </c>
      <c r="E30">
        <v>29.305576339999998</v>
      </c>
      <c r="F30">
        <v>11.438552509999999</v>
      </c>
      <c r="G30">
        <v>16.347757590000001</v>
      </c>
      <c r="H30">
        <v>16.95323539</v>
      </c>
      <c r="I30">
        <v>3.7278012880000002</v>
      </c>
      <c r="J30">
        <v>1.688896438</v>
      </c>
      <c r="K30">
        <v>29.305576339999998</v>
      </c>
      <c r="L30">
        <v>11.438552509999999</v>
      </c>
      <c r="M30">
        <v>16.347757590000001</v>
      </c>
      <c r="N30">
        <v>0.117743745</v>
      </c>
      <c r="O30">
        <v>36.85269547</v>
      </c>
      <c r="P30">
        <v>288.699460002227</v>
      </c>
      <c r="Q30">
        <v>42.255730422699997</v>
      </c>
      <c r="R30">
        <v>0.63321817543766201</v>
      </c>
      <c r="S30">
        <v>0.15083157921767701</v>
      </c>
      <c r="T30">
        <v>8.6370369526976201E-2</v>
      </c>
      <c r="U30">
        <v>0.28562964818735997</v>
      </c>
      <c r="V30">
        <v>0.55997442340603998</v>
      </c>
      <c r="W30">
        <v>0.49150487824772399</v>
      </c>
      <c r="X30">
        <v>0.16143357906018299</v>
      </c>
      <c r="Y30">
        <v>0.46505056012401802</v>
      </c>
      <c r="Z30">
        <v>0.24729023187157001</v>
      </c>
      <c r="AA30">
        <v>9.7530695751194701E-4</v>
      </c>
    </row>
    <row r="31" spans="1:27" x14ac:dyDescent="0.55000000000000004">
      <c r="A31">
        <v>30</v>
      </c>
      <c r="B31">
        <v>17.209816679999999</v>
      </c>
      <c r="C31">
        <v>-1.342370029</v>
      </c>
      <c r="D31">
        <v>3.064290841</v>
      </c>
      <c r="E31">
        <v>29.439164819999998</v>
      </c>
      <c r="F31">
        <v>8.5932488060000001</v>
      </c>
      <c r="G31">
        <v>13.2847457</v>
      </c>
      <c r="H31">
        <v>17.209816679999999</v>
      </c>
      <c r="I31">
        <v>1.342370029</v>
      </c>
      <c r="J31">
        <v>3.064290841</v>
      </c>
      <c r="K31">
        <v>29.439164819999998</v>
      </c>
      <c r="L31">
        <v>8.5932488060000001</v>
      </c>
      <c r="M31">
        <v>13.2847457</v>
      </c>
      <c r="N31">
        <v>7.7680296999999995E-2</v>
      </c>
      <c r="O31">
        <v>20.849901200000001</v>
      </c>
      <c r="P31">
        <v>219.33864527748301</v>
      </c>
      <c r="Q31">
        <v>54.2922318834</v>
      </c>
      <c r="R31">
        <v>0.64291121365707005</v>
      </c>
      <c r="S31">
        <v>5.38743477098826E-2</v>
      </c>
      <c r="T31">
        <v>0.156901354322492</v>
      </c>
      <c r="U31">
        <v>0.28944194368556903</v>
      </c>
      <c r="V31">
        <v>0.42003794273805101</v>
      </c>
      <c r="W31">
        <v>0.32288239791682499</v>
      </c>
      <c r="X31">
        <v>0.104652722681277</v>
      </c>
      <c r="Y31">
        <v>0.25748302145504298</v>
      </c>
      <c r="Z31">
        <v>0.18787809457158799</v>
      </c>
      <c r="AA31">
        <v>1.25351584112309E-3</v>
      </c>
    </row>
    <row r="32" spans="1:27" x14ac:dyDescent="0.55000000000000004">
      <c r="A32">
        <v>31</v>
      </c>
      <c r="B32">
        <v>16.47798319</v>
      </c>
      <c r="C32">
        <v>1.6555389149999999</v>
      </c>
      <c r="D32">
        <v>5.0487445920000003</v>
      </c>
      <c r="E32">
        <v>35.669393370000002</v>
      </c>
      <c r="F32">
        <v>11.30997721</v>
      </c>
      <c r="G32">
        <v>19.479039119999999</v>
      </c>
      <c r="H32">
        <v>16.47798319</v>
      </c>
      <c r="I32">
        <v>1.6555389149999999</v>
      </c>
      <c r="J32">
        <v>5.0487445920000003</v>
      </c>
      <c r="K32">
        <v>35.669393370000002</v>
      </c>
      <c r="L32">
        <v>11.30997721</v>
      </c>
      <c r="M32">
        <v>19.479039119999999</v>
      </c>
      <c r="N32">
        <v>9.0988174000000005E-2</v>
      </c>
      <c r="O32">
        <v>38.564369200000002</v>
      </c>
      <c r="P32">
        <v>75.196609524084707</v>
      </c>
      <c r="Q32">
        <v>83.502962350900006</v>
      </c>
      <c r="R32">
        <v>0.61526426407312695</v>
      </c>
      <c r="S32">
        <v>6.6603277988791093E-2</v>
      </c>
      <c r="T32">
        <v>0.25866523894634502</v>
      </c>
      <c r="U32">
        <v>0.46723775552484897</v>
      </c>
      <c r="V32">
        <v>0.55365088931105499</v>
      </c>
      <c r="W32">
        <v>0.66388568418802796</v>
      </c>
      <c r="X32">
        <v>0.12351362183916199</v>
      </c>
      <c r="Y32">
        <v>0.48725217673834198</v>
      </c>
      <c r="Z32">
        <v>6.4410882531693706E-2</v>
      </c>
      <c r="AA32">
        <v>1.9286858429183201E-3</v>
      </c>
    </row>
    <row r="33" spans="1:27" x14ac:dyDescent="0.55000000000000004">
      <c r="A33">
        <v>32</v>
      </c>
      <c r="B33">
        <v>15.539716690000001</v>
      </c>
      <c r="C33">
        <v>2.617305263</v>
      </c>
      <c r="D33">
        <v>5.3510988790000003</v>
      </c>
      <c r="E33">
        <v>34.745913819999998</v>
      </c>
      <c r="F33">
        <v>11.05535225</v>
      </c>
      <c r="G33">
        <v>19.285703770000001</v>
      </c>
      <c r="H33">
        <v>15.539716690000001</v>
      </c>
      <c r="I33">
        <v>2.617305263</v>
      </c>
      <c r="J33">
        <v>5.3510988790000003</v>
      </c>
      <c r="K33">
        <v>34.745913819999998</v>
      </c>
      <c r="L33">
        <v>11.05535225</v>
      </c>
      <c r="M33">
        <v>19.285703770000001</v>
      </c>
      <c r="N33">
        <v>0.10576608</v>
      </c>
      <c r="O33">
        <v>43.222183229999999</v>
      </c>
      <c r="P33">
        <v>375.98304762042301</v>
      </c>
      <c r="Q33">
        <v>5.9599045978299996</v>
      </c>
      <c r="R33">
        <v>0.579818760449342</v>
      </c>
      <c r="S33">
        <v>0.10569482678426299</v>
      </c>
      <c r="T33">
        <v>0.27417013381340399</v>
      </c>
      <c r="U33">
        <v>0.44088385935691099</v>
      </c>
      <c r="V33">
        <v>0.54112803604145998</v>
      </c>
      <c r="W33">
        <v>0.653242341157243</v>
      </c>
      <c r="X33">
        <v>0.14445795389383101</v>
      </c>
      <c r="Y33">
        <v>0.54766731283725301</v>
      </c>
      <c r="Z33">
        <v>0.32205441265846801</v>
      </c>
      <c r="AA33">
        <v>1.3637371636612201E-4</v>
      </c>
    </row>
    <row r="34" spans="1:27" x14ac:dyDescent="0.55000000000000004">
      <c r="A34">
        <v>33</v>
      </c>
      <c r="B34">
        <v>19.05685618</v>
      </c>
      <c r="C34">
        <v>2.1191878129999999</v>
      </c>
      <c r="D34">
        <v>7.5979106009999997</v>
      </c>
      <c r="E34">
        <v>36.634936400000001</v>
      </c>
      <c r="F34">
        <v>10.377084569999999</v>
      </c>
      <c r="G34">
        <v>16.49456576</v>
      </c>
      <c r="H34">
        <v>19.05685618</v>
      </c>
      <c r="I34">
        <v>2.1191878129999999</v>
      </c>
      <c r="J34">
        <v>7.5979106009999997</v>
      </c>
      <c r="K34">
        <v>36.634936400000001</v>
      </c>
      <c r="L34">
        <v>10.377084569999999</v>
      </c>
      <c r="M34">
        <v>16.49456576</v>
      </c>
      <c r="N34">
        <v>0.11935894900000001</v>
      </c>
      <c r="O34">
        <v>40.223552699999999</v>
      </c>
      <c r="P34">
        <v>0</v>
      </c>
      <c r="Q34">
        <v>292.20454171400002</v>
      </c>
      <c r="R34">
        <v>0.71268802577870605</v>
      </c>
      <c r="S34">
        <v>8.5448555282828506E-2</v>
      </c>
      <c r="T34">
        <v>0.38938788012465603</v>
      </c>
      <c r="U34">
        <v>0.49479204274030097</v>
      </c>
      <c r="V34">
        <v>0.50776977205135998</v>
      </c>
      <c r="W34">
        <v>0.49958684418427801</v>
      </c>
      <c r="X34">
        <v>0.163722764612726</v>
      </c>
      <c r="Y34">
        <v>0.50877295801469702</v>
      </c>
      <c r="Z34">
        <v>0</v>
      </c>
      <c r="AA34">
        <v>6.7525654056025796E-3</v>
      </c>
    </row>
    <row r="35" spans="1:27" x14ac:dyDescent="0.55000000000000004">
      <c r="A35">
        <v>34</v>
      </c>
      <c r="B35">
        <v>14.11595614</v>
      </c>
      <c r="C35">
        <v>-4.5712456440000002</v>
      </c>
      <c r="D35">
        <v>-0.59580140699999995</v>
      </c>
      <c r="E35">
        <v>27.717969799999999</v>
      </c>
      <c r="F35">
        <v>8.4939449299999996</v>
      </c>
      <c r="G35">
        <v>13.68230163</v>
      </c>
      <c r="H35">
        <v>14.11595614</v>
      </c>
      <c r="I35">
        <v>4.5712456440000002</v>
      </c>
      <c r="J35">
        <v>0.59580140699999995</v>
      </c>
      <c r="K35">
        <v>27.717969799999999</v>
      </c>
      <c r="L35">
        <v>8.4939449299999996</v>
      </c>
      <c r="M35">
        <v>13.68230163</v>
      </c>
      <c r="N35">
        <v>0.17308645</v>
      </c>
      <c r="O35">
        <v>53.154216769999998</v>
      </c>
      <c r="P35">
        <v>0</v>
      </c>
      <c r="Q35">
        <v>109.60327150800001</v>
      </c>
      <c r="R35">
        <v>0.52603243243440401</v>
      </c>
      <c r="S35">
        <v>0.185113862297558</v>
      </c>
      <c r="T35">
        <v>3.03158524783744E-2</v>
      </c>
      <c r="U35">
        <v>0.24032315719825401</v>
      </c>
      <c r="V35">
        <v>0.4151540229988</v>
      </c>
      <c r="W35">
        <v>0.34476832895278198</v>
      </c>
      <c r="X35">
        <v>0.23986931889528601</v>
      </c>
      <c r="Y35">
        <v>0.67649279925497596</v>
      </c>
      <c r="Z35">
        <v>0</v>
      </c>
      <c r="AA35">
        <v>2.5319622929907302E-3</v>
      </c>
    </row>
    <row r="36" spans="1:27" x14ac:dyDescent="0.55000000000000004">
      <c r="A36">
        <v>35</v>
      </c>
      <c r="B36">
        <v>23.128575489999999</v>
      </c>
      <c r="C36">
        <v>-6.1045048470000003</v>
      </c>
      <c r="D36">
        <v>1.905110823</v>
      </c>
      <c r="E36">
        <v>43.576136849999997</v>
      </c>
      <c r="F36">
        <v>4.9518258949999998</v>
      </c>
      <c r="G36">
        <v>11.553790660000001</v>
      </c>
      <c r="H36">
        <v>23.128575489999999</v>
      </c>
      <c r="I36">
        <v>6.1045048470000003</v>
      </c>
      <c r="J36">
        <v>1.905110823</v>
      </c>
      <c r="K36">
        <v>43.576136849999997</v>
      </c>
      <c r="L36">
        <v>4.9518258949999998</v>
      </c>
      <c r="M36">
        <v>11.553790660000001</v>
      </c>
      <c r="N36">
        <v>8.5883550000000003E-2</v>
      </c>
      <c r="O36">
        <v>38.088214870000002</v>
      </c>
      <c r="P36">
        <v>1.4290007011451999</v>
      </c>
      <c r="Q36">
        <v>19540.077242700001</v>
      </c>
      <c r="R36">
        <v>0.86650801355151996</v>
      </c>
      <c r="S36">
        <v>0.247434068317264</v>
      </c>
      <c r="T36">
        <v>9.7457962633174702E-2</v>
      </c>
      <c r="U36">
        <v>0.69287729101693496</v>
      </c>
      <c r="V36">
        <v>0.24094707589218101</v>
      </c>
      <c r="W36">
        <v>0.22759124572150299</v>
      </c>
      <c r="X36">
        <v>0.116278974381651</v>
      </c>
      <c r="Y36">
        <v>0.48107611894261298</v>
      </c>
      <c r="Z36">
        <v>1.2240338611236301E-3</v>
      </c>
      <c r="AA36">
        <v>0.451643399633047</v>
      </c>
    </row>
    <row r="37" spans="1:27" x14ac:dyDescent="0.55000000000000004">
      <c r="A37">
        <v>36</v>
      </c>
      <c r="B37">
        <v>12.443533759999999</v>
      </c>
      <c r="C37">
        <v>-7.2425243119999996</v>
      </c>
      <c r="D37">
        <v>-3.0124331409999998</v>
      </c>
      <c r="E37">
        <v>26.678265540000002</v>
      </c>
      <c r="F37">
        <v>8.0417846280000003</v>
      </c>
      <c r="G37">
        <v>12.75854461</v>
      </c>
      <c r="H37">
        <v>12.443533759999999</v>
      </c>
      <c r="I37">
        <v>7.2425243119999996</v>
      </c>
      <c r="J37">
        <v>3.0124331409999998</v>
      </c>
      <c r="K37">
        <v>26.678265540000002</v>
      </c>
      <c r="L37">
        <v>8.0417846280000003</v>
      </c>
      <c r="M37">
        <v>12.75854461</v>
      </c>
      <c r="N37">
        <v>0.168926567</v>
      </c>
      <c r="O37">
        <v>49.172637940000001</v>
      </c>
      <c r="P37">
        <v>0</v>
      </c>
      <c r="Q37">
        <v>162.54542768499999</v>
      </c>
      <c r="R37">
        <v>0.46285224478964698</v>
      </c>
      <c r="S37">
        <v>0.29368952686887101</v>
      </c>
      <c r="T37">
        <v>0.15424206281872199</v>
      </c>
      <c r="U37">
        <v>0.21065248597071801</v>
      </c>
      <c r="V37">
        <v>0.39291607304965998</v>
      </c>
      <c r="W37">
        <v>0.29391439644144601</v>
      </c>
      <c r="X37">
        <v>0.23397362766131999</v>
      </c>
      <c r="Y37">
        <v>0.62484891108046403</v>
      </c>
      <c r="Z37">
        <v>0</v>
      </c>
      <c r="AA37">
        <v>3.75565492610849E-3</v>
      </c>
    </row>
    <row r="38" spans="1:27" x14ac:dyDescent="0.55000000000000004">
      <c r="A38">
        <v>37</v>
      </c>
      <c r="B38">
        <v>15.98162866</v>
      </c>
      <c r="C38">
        <v>-1.791807508</v>
      </c>
      <c r="D38">
        <v>2.2922348189999999</v>
      </c>
      <c r="E38">
        <v>28.579708960000001</v>
      </c>
      <c r="F38">
        <v>8.7626938659999993</v>
      </c>
      <c r="G38">
        <v>13.36993666</v>
      </c>
      <c r="H38">
        <v>15.98162866</v>
      </c>
      <c r="I38">
        <v>1.791807508</v>
      </c>
      <c r="J38">
        <v>2.2922348189999999</v>
      </c>
      <c r="K38">
        <v>28.579708960000001</v>
      </c>
      <c r="L38">
        <v>8.7626938659999993</v>
      </c>
      <c r="M38">
        <v>13.36993666</v>
      </c>
      <c r="N38">
        <v>8.1771417999999998E-2</v>
      </c>
      <c r="O38">
        <v>22.066135410000001</v>
      </c>
      <c r="P38">
        <v>438.677290554965</v>
      </c>
      <c r="Q38">
        <v>33.329543006900003</v>
      </c>
      <c r="R38">
        <v>0.59651315626761903</v>
      </c>
      <c r="S38">
        <v>7.21419936691923E-2</v>
      </c>
      <c r="T38">
        <v>0.117309895007117</v>
      </c>
      <c r="U38">
        <v>0.26491513040056902</v>
      </c>
      <c r="V38">
        <v>0.42837151547042501</v>
      </c>
      <c r="W38">
        <v>0.32757226249876398</v>
      </c>
      <c r="X38">
        <v>0.11045095936649001</v>
      </c>
      <c r="Y38">
        <v>0.27325843774518199</v>
      </c>
      <c r="Z38">
        <v>0.37575618914317599</v>
      </c>
      <c r="AA38">
        <v>7.6898914631391604E-4</v>
      </c>
    </row>
    <row r="39" spans="1:27" x14ac:dyDescent="0.55000000000000004">
      <c r="A39">
        <v>38</v>
      </c>
      <c r="B39">
        <v>16.987414229999999</v>
      </c>
      <c r="C39">
        <v>-1.1491164229999999</v>
      </c>
      <c r="D39">
        <v>3.0676109779999998</v>
      </c>
      <c r="E39">
        <v>28.620556520000001</v>
      </c>
      <c r="F39">
        <v>8.8485273820000003</v>
      </c>
      <c r="G39">
        <v>13.28975011</v>
      </c>
      <c r="H39">
        <v>16.987414229999999</v>
      </c>
      <c r="I39">
        <v>1.1491164229999999</v>
      </c>
      <c r="J39">
        <v>3.0676109779999998</v>
      </c>
      <c r="K39">
        <v>28.620556520000001</v>
      </c>
      <c r="L39">
        <v>8.8485273820000003</v>
      </c>
      <c r="M39">
        <v>13.28975011</v>
      </c>
      <c r="N39">
        <v>6.2626339000000003E-2</v>
      </c>
      <c r="O39">
        <v>15.876351359999999</v>
      </c>
      <c r="P39">
        <v>438.677290554965</v>
      </c>
      <c r="Q39">
        <v>17.045491037800002</v>
      </c>
      <c r="R39">
        <v>0.63450937169914701</v>
      </c>
      <c r="S39">
        <v>4.6019443257715301E-2</v>
      </c>
      <c r="T39">
        <v>0.15707161278199699</v>
      </c>
      <c r="U39">
        <v>0.266080822001378</v>
      </c>
      <c r="V39">
        <v>0.432592941863507</v>
      </c>
      <c r="W39">
        <v>0.32315789669289802</v>
      </c>
      <c r="X39">
        <v>8.3317149489172196E-2</v>
      </c>
      <c r="Y39">
        <v>0.192972569010398</v>
      </c>
      <c r="Z39">
        <v>0.37575618914317599</v>
      </c>
      <c r="AA39">
        <v>3.92603372276412E-4</v>
      </c>
    </row>
    <row r="40" spans="1:27" x14ac:dyDescent="0.55000000000000004">
      <c r="A40">
        <v>39</v>
      </c>
      <c r="B40">
        <v>17.073860360000001</v>
      </c>
      <c r="C40">
        <v>-2.669351088</v>
      </c>
      <c r="D40">
        <v>4.4894063070000003</v>
      </c>
      <c r="E40">
        <v>29.2653739</v>
      </c>
      <c r="F40">
        <v>11.149589580000001</v>
      </c>
      <c r="G40">
        <v>15.73114986</v>
      </c>
      <c r="H40">
        <v>17.073860360000001</v>
      </c>
      <c r="I40">
        <v>2.669351088</v>
      </c>
      <c r="J40">
        <v>4.4894063070000003</v>
      </c>
      <c r="K40">
        <v>29.2653739</v>
      </c>
      <c r="L40">
        <v>11.149589580000001</v>
      </c>
      <c r="M40">
        <v>15.73114986</v>
      </c>
      <c r="N40">
        <v>9.4106957000000005E-2</v>
      </c>
      <c r="O40">
        <v>31.45837212</v>
      </c>
      <c r="P40">
        <v>289.526205305784</v>
      </c>
      <c r="Q40">
        <v>7.9299348254600002</v>
      </c>
      <c r="R40">
        <v>0.637775103358731</v>
      </c>
      <c r="S40">
        <v>0.107810259406561</v>
      </c>
      <c r="T40">
        <v>0.22998206269607499</v>
      </c>
      <c r="U40">
        <v>0.28448236676736799</v>
      </c>
      <c r="V40">
        <v>0.54576277513423599</v>
      </c>
      <c r="W40">
        <v>0.45755988274729698</v>
      </c>
      <c r="X40">
        <v>0.12793378980872799</v>
      </c>
      <c r="Y40">
        <v>0.39508237821449199</v>
      </c>
      <c r="Z40">
        <v>0.24799839404760601</v>
      </c>
      <c r="AA40">
        <v>1.81908534942655E-4</v>
      </c>
    </row>
    <row r="41" spans="1:27" x14ac:dyDescent="0.55000000000000004">
      <c r="A41">
        <v>40</v>
      </c>
      <c r="B41">
        <v>17.089634539999999</v>
      </c>
      <c r="C41">
        <v>-1.282034616</v>
      </c>
      <c r="D41">
        <v>3.5262468010000001</v>
      </c>
      <c r="E41">
        <v>29.141225779999999</v>
      </c>
      <c r="F41">
        <v>9.8321363149999996</v>
      </c>
      <c r="G41">
        <v>14.561580810000001</v>
      </c>
      <c r="H41">
        <v>17.089634539999999</v>
      </c>
      <c r="I41">
        <v>1.282034616</v>
      </c>
      <c r="J41">
        <v>3.5262468010000001</v>
      </c>
      <c r="K41">
        <v>29.141225779999999</v>
      </c>
      <c r="L41">
        <v>9.8321363149999996</v>
      </c>
      <c r="M41">
        <v>14.561580810000001</v>
      </c>
      <c r="N41">
        <v>6.5181822E-2</v>
      </c>
      <c r="O41">
        <v>18.178749079999999</v>
      </c>
      <c r="P41">
        <v>440.18563653968101</v>
      </c>
      <c r="Q41">
        <v>15.613317647600001</v>
      </c>
      <c r="R41">
        <v>0.63837101481283498</v>
      </c>
      <c r="S41">
        <v>5.1421979994699801E-2</v>
      </c>
      <c r="T41">
        <v>0.18059071114980699</v>
      </c>
      <c r="U41">
        <v>0.28093947654968598</v>
      </c>
      <c r="V41">
        <v>0.48096836563430301</v>
      </c>
      <c r="W41">
        <v>0.39317370299621102</v>
      </c>
      <c r="X41">
        <v>8.6938967391658697E-2</v>
      </c>
      <c r="Y41">
        <v>0.22283629278977299</v>
      </c>
      <c r="Z41">
        <v>0.37704818750126201</v>
      </c>
      <c r="AA41">
        <v>3.5950045102258501E-4</v>
      </c>
    </row>
    <row r="42" spans="1:27" x14ac:dyDescent="0.55000000000000004">
      <c r="A42">
        <v>41</v>
      </c>
      <c r="B42">
        <v>17.194450379999999</v>
      </c>
      <c r="C42">
        <v>-1.0378926610000001</v>
      </c>
      <c r="D42">
        <v>3.6850785369999999</v>
      </c>
      <c r="E42">
        <v>29.101424080000001</v>
      </c>
      <c r="F42">
        <v>9.5413590619999997</v>
      </c>
      <c r="G42">
        <v>14.2605991</v>
      </c>
      <c r="H42">
        <v>17.194450379999999</v>
      </c>
      <c r="I42">
        <v>1.0378926610000001</v>
      </c>
      <c r="J42">
        <v>3.6850785369999999</v>
      </c>
      <c r="K42">
        <v>29.101424080000001</v>
      </c>
      <c r="L42">
        <v>9.5413590619999997</v>
      </c>
      <c r="M42">
        <v>14.2605991</v>
      </c>
      <c r="N42">
        <v>6.3562310999999996E-2</v>
      </c>
      <c r="O42">
        <v>18.00679779</v>
      </c>
      <c r="P42">
        <v>440.18563653968101</v>
      </c>
      <c r="Q42">
        <v>15.6627962751</v>
      </c>
      <c r="R42">
        <v>0.64233071095092598</v>
      </c>
      <c r="S42">
        <v>4.1498689200890101E-2</v>
      </c>
      <c r="T42">
        <v>0.188735690315365</v>
      </c>
      <c r="U42">
        <v>0.27980363129019198</v>
      </c>
      <c r="V42">
        <v>0.466667486123296</v>
      </c>
      <c r="W42">
        <v>0.37660429866574502</v>
      </c>
      <c r="X42">
        <v>8.4643677642881707E-2</v>
      </c>
      <c r="Y42">
        <v>0.22060596317145401</v>
      </c>
      <c r="Z42">
        <v>0.37704818750126201</v>
      </c>
      <c r="AA42">
        <v>3.6064408846277701E-4</v>
      </c>
    </row>
    <row r="43" spans="1:27" x14ac:dyDescent="0.55000000000000004">
      <c r="A43">
        <v>42</v>
      </c>
      <c r="B43">
        <v>17.260535040000001</v>
      </c>
      <c r="C43">
        <v>-1.133350021</v>
      </c>
      <c r="D43">
        <v>3.4542988170000002</v>
      </c>
      <c r="E43">
        <v>29.801355019999999</v>
      </c>
      <c r="F43">
        <v>9.6099095289999994</v>
      </c>
      <c r="G43">
        <v>14.15450532</v>
      </c>
      <c r="H43">
        <v>17.260535040000001</v>
      </c>
      <c r="I43">
        <v>1.133350021</v>
      </c>
      <c r="J43">
        <v>3.4542988170000002</v>
      </c>
      <c r="K43">
        <v>29.801355019999999</v>
      </c>
      <c r="L43">
        <v>9.6099095289999994</v>
      </c>
      <c r="M43">
        <v>14.15450532</v>
      </c>
      <c r="N43">
        <v>7.5823918000000004E-2</v>
      </c>
      <c r="O43">
        <v>23.057500839999999</v>
      </c>
      <c r="P43">
        <v>438.677290554965</v>
      </c>
      <c r="Q43">
        <v>15.9739320922</v>
      </c>
      <c r="R43">
        <v>0.64482723411945697</v>
      </c>
      <c r="S43">
        <v>4.5378608740689698E-2</v>
      </c>
      <c r="T43">
        <v>0.176901178784033</v>
      </c>
      <c r="U43">
        <v>0.29977798515378001</v>
      </c>
      <c r="V43">
        <v>0.47003890516958002</v>
      </c>
      <c r="W43">
        <v>0.37076370875824699</v>
      </c>
      <c r="X43">
        <v>0.102021726233247</v>
      </c>
      <c r="Y43">
        <v>0.28611714721521297</v>
      </c>
      <c r="Z43">
        <v>0.37575618914317599</v>
      </c>
      <c r="AA43">
        <v>3.6783560907276998E-4</v>
      </c>
    </row>
    <row r="44" spans="1:27" x14ac:dyDescent="0.55000000000000004">
      <c r="A44">
        <v>43</v>
      </c>
      <c r="B44">
        <v>18.314762699999999</v>
      </c>
      <c r="C44">
        <v>1.4274618809999999</v>
      </c>
      <c r="D44">
        <v>7.8937600630000002</v>
      </c>
      <c r="E44">
        <v>27.043854960000001</v>
      </c>
      <c r="F44">
        <v>4.843442671</v>
      </c>
      <c r="G44">
        <v>9.861546938</v>
      </c>
      <c r="H44">
        <v>18.314762699999999</v>
      </c>
      <c r="I44">
        <v>1.4274618809999999</v>
      </c>
      <c r="J44">
        <v>7.8937600630000002</v>
      </c>
      <c r="K44">
        <v>27.043854960000001</v>
      </c>
      <c r="L44">
        <v>4.843442671</v>
      </c>
      <c r="M44">
        <v>9.861546938</v>
      </c>
      <c r="N44">
        <v>7.0741788E-2</v>
      </c>
      <c r="O44">
        <v>24.203853609999999</v>
      </c>
      <c r="P44">
        <v>248.975287086555</v>
      </c>
      <c r="Q44">
        <v>23.891098130900001</v>
      </c>
      <c r="R44">
        <v>0.68465347788157005</v>
      </c>
      <c r="S44">
        <v>5.7332955189206697E-2</v>
      </c>
      <c r="T44">
        <v>0.40455920397225098</v>
      </c>
      <c r="U44">
        <v>0.22108553304228201</v>
      </c>
      <c r="V44">
        <v>0.235616619635899</v>
      </c>
      <c r="W44">
        <v>0.13443119803783801</v>
      </c>
      <c r="X44">
        <v>9.4818958922033195E-2</v>
      </c>
      <c r="Y44">
        <v>0.30098615189655997</v>
      </c>
      <c r="Z44">
        <v>0.21326384356053199</v>
      </c>
      <c r="AA44">
        <v>5.50831135819682E-4</v>
      </c>
    </row>
    <row r="45" spans="1:27" x14ac:dyDescent="0.55000000000000004">
      <c r="A45">
        <v>44</v>
      </c>
      <c r="B45">
        <v>18.39131223</v>
      </c>
      <c r="C45">
        <v>-1.867888161</v>
      </c>
      <c r="D45">
        <v>3.0080739200000002</v>
      </c>
      <c r="E45">
        <v>29.705512479999999</v>
      </c>
      <c r="F45">
        <v>7.8916035149999999</v>
      </c>
      <c r="G45">
        <v>11.5681475</v>
      </c>
      <c r="H45">
        <v>18.39131223</v>
      </c>
      <c r="I45">
        <v>1.867888161</v>
      </c>
      <c r="J45">
        <v>3.0080739200000002</v>
      </c>
      <c r="K45">
        <v>29.705512479999999</v>
      </c>
      <c r="L45">
        <v>7.8916035149999999</v>
      </c>
      <c r="M45">
        <v>11.5681475</v>
      </c>
      <c r="N45">
        <v>6.3129798000000001E-2</v>
      </c>
      <c r="O45">
        <v>29.234994889999999</v>
      </c>
      <c r="P45">
        <v>139.84529002820901</v>
      </c>
      <c r="Q45">
        <v>103.846660481</v>
      </c>
      <c r="R45">
        <v>0.687545339248265</v>
      </c>
      <c r="S45">
        <v>7.5234335759685994E-2</v>
      </c>
      <c r="T45">
        <v>0.15401851955767601</v>
      </c>
      <c r="U45">
        <v>0.29704286844477301</v>
      </c>
      <c r="V45">
        <v>0.38552993132198499</v>
      </c>
      <c r="W45">
        <v>0.228381606992518</v>
      </c>
      <c r="X45">
        <v>8.4030688502880299E-2</v>
      </c>
      <c r="Y45">
        <v>0.36624360597401401</v>
      </c>
      <c r="Z45">
        <v>0.119786764398368</v>
      </c>
      <c r="AA45">
        <v>2.3989053301818599E-3</v>
      </c>
    </row>
    <row r="46" spans="1:27" x14ac:dyDescent="0.55000000000000004">
      <c r="A46">
        <v>45</v>
      </c>
      <c r="B46">
        <v>17.844167250000002</v>
      </c>
      <c r="C46">
        <v>-2.283613618</v>
      </c>
      <c r="D46">
        <v>3.4293390179999999</v>
      </c>
      <c r="E46">
        <v>29.500336919999999</v>
      </c>
      <c r="F46">
        <v>7.8438863469999998</v>
      </c>
      <c r="G46">
        <v>11.490314059999999</v>
      </c>
      <c r="H46">
        <v>17.844167250000002</v>
      </c>
      <c r="I46">
        <v>2.283613618</v>
      </c>
      <c r="J46">
        <v>3.4293390179999999</v>
      </c>
      <c r="K46">
        <v>29.500336919999999</v>
      </c>
      <c r="L46">
        <v>7.8438863469999998</v>
      </c>
      <c r="M46">
        <v>11.490314059999999</v>
      </c>
      <c r="N46">
        <v>9.6005321000000005E-2</v>
      </c>
      <c r="O46">
        <v>50.266052250000001</v>
      </c>
      <c r="P46">
        <v>39.955797150916801</v>
      </c>
      <c r="Q46">
        <v>335.24244837200001</v>
      </c>
      <c r="R46">
        <v>0.66687548758956705</v>
      </c>
      <c r="S46">
        <v>9.2131737110471595E-2</v>
      </c>
      <c r="T46">
        <v>0.17562122650276099</v>
      </c>
      <c r="U46">
        <v>0.29118764901469602</v>
      </c>
      <c r="V46">
        <v>0.38318312646316599</v>
      </c>
      <c r="W46">
        <v>0.22409678271601599</v>
      </c>
      <c r="X46">
        <v>0.13062429047753901</v>
      </c>
      <c r="Y46">
        <v>0.63903126656431897</v>
      </c>
      <c r="Z46">
        <v>3.4224789828105097E-2</v>
      </c>
      <c r="AA46">
        <v>7.7473335284975204E-3</v>
      </c>
    </row>
    <row r="47" spans="1:27" x14ac:dyDescent="0.55000000000000004">
      <c r="A47">
        <v>46</v>
      </c>
      <c r="B47">
        <v>17.622580370000001</v>
      </c>
      <c r="C47">
        <v>0.63256995100000002</v>
      </c>
      <c r="D47">
        <v>4.8055937980000003</v>
      </c>
      <c r="E47">
        <v>34.222587320000002</v>
      </c>
      <c r="F47">
        <v>10.22375385</v>
      </c>
      <c r="G47">
        <v>19.348325729999999</v>
      </c>
      <c r="H47">
        <v>17.622580370000001</v>
      </c>
      <c r="I47">
        <v>0.63256995100000002</v>
      </c>
      <c r="J47">
        <v>4.8055937980000003</v>
      </c>
      <c r="K47">
        <v>34.222587320000002</v>
      </c>
      <c r="L47">
        <v>10.22375385</v>
      </c>
      <c r="M47">
        <v>19.348325729999999</v>
      </c>
      <c r="N47">
        <v>6.7208163000000001E-2</v>
      </c>
      <c r="O47">
        <v>26.947113040000001</v>
      </c>
      <c r="P47">
        <v>369.81972515893602</v>
      </c>
      <c r="Q47">
        <v>36.367585314599999</v>
      </c>
      <c r="R47">
        <v>0.658504455949811</v>
      </c>
      <c r="S47">
        <v>2.5024113511246799E-2</v>
      </c>
      <c r="T47">
        <v>0.24619633190613599</v>
      </c>
      <c r="U47">
        <v>0.42594937353864898</v>
      </c>
      <c r="V47">
        <v>0.500228727731583</v>
      </c>
      <c r="W47">
        <v>0.65668975520511397</v>
      </c>
      <c r="X47">
        <v>8.9810846449489404E-2</v>
      </c>
      <c r="Y47">
        <v>0.33656816327584899</v>
      </c>
      <c r="Z47">
        <v>0.31677511826495403</v>
      </c>
      <c r="AA47">
        <v>8.3920974667260801E-4</v>
      </c>
    </row>
    <row r="48" spans="1:27" x14ac:dyDescent="0.55000000000000004">
      <c r="A48">
        <v>47</v>
      </c>
      <c r="B48">
        <v>17.930457610000001</v>
      </c>
      <c r="C48">
        <v>-0.13435823199999999</v>
      </c>
      <c r="D48">
        <v>4.5404134589999998</v>
      </c>
      <c r="E48">
        <v>33.597764810000001</v>
      </c>
      <c r="F48">
        <v>9.2936611150000008</v>
      </c>
      <c r="G48">
        <v>17.250238419999999</v>
      </c>
      <c r="H48">
        <v>17.930457610000001</v>
      </c>
      <c r="I48">
        <v>0.13435823199999999</v>
      </c>
      <c r="J48">
        <v>4.5404134589999998</v>
      </c>
      <c r="K48">
        <v>33.597764810000001</v>
      </c>
      <c r="L48">
        <v>9.2936611150000008</v>
      </c>
      <c r="M48">
        <v>17.250238419999999</v>
      </c>
      <c r="N48">
        <v>5.6259494E-2</v>
      </c>
      <c r="O48">
        <v>22.559207919999999</v>
      </c>
      <c r="P48">
        <v>184.90986257946801</v>
      </c>
      <c r="Q48">
        <v>21.851601288600001</v>
      </c>
      <c r="R48">
        <v>0.67013533462458097</v>
      </c>
      <c r="S48">
        <v>4.7740103918514302E-3</v>
      </c>
      <c r="T48">
        <v>0.232597737628536</v>
      </c>
      <c r="U48">
        <v>0.40811843450818402</v>
      </c>
      <c r="V48">
        <v>0.45448531417337801</v>
      </c>
      <c r="W48">
        <v>0.54118753096693695</v>
      </c>
      <c r="X48">
        <v>7.4293589871144303E-2</v>
      </c>
      <c r="Y48">
        <v>0.279653936278704</v>
      </c>
      <c r="Z48">
        <v>0.15838755913247701</v>
      </c>
      <c r="AA48">
        <v>5.0369068213574795E-4</v>
      </c>
    </row>
    <row r="49" spans="1:27" x14ac:dyDescent="0.55000000000000004">
      <c r="A49">
        <v>48</v>
      </c>
      <c r="B49">
        <v>17.927042100000001</v>
      </c>
      <c r="C49">
        <v>-0.92773134999999995</v>
      </c>
      <c r="D49">
        <v>3.5264414780000002</v>
      </c>
      <c r="E49">
        <v>30.398626119999999</v>
      </c>
      <c r="F49">
        <v>9.2279071340000005</v>
      </c>
      <c r="G49">
        <v>13.74513514</v>
      </c>
      <c r="H49">
        <v>17.927042100000001</v>
      </c>
      <c r="I49">
        <v>0.92773134999999995</v>
      </c>
      <c r="J49">
        <v>3.5264414780000002</v>
      </c>
      <c r="K49">
        <v>30.398626119999999</v>
      </c>
      <c r="L49">
        <v>9.2279071340000005</v>
      </c>
      <c r="M49">
        <v>13.74513514</v>
      </c>
      <c r="N49">
        <v>6.0913384000000001E-2</v>
      </c>
      <c r="O49">
        <v>27.61920357</v>
      </c>
      <c r="P49">
        <v>369.81972515893602</v>
      </c>
      <c r="Q49">
        <v>25.275532629899999</v>
      </c>
      <c r="R49">
        <v>0.67000630468257405</v>
      </c>
      <c r="S49">
        <v>3.7021119078703202E-2</v>
      </c>
      <c r="T49">
        <v>0.18060069429391201</v>
      </c>
      <c r="U49">
        <v>0.31682267288239302</v>
      </c>
      <c r="V49">
        <v>0.45125143067682399</v>
      </c>
      <c r="W49">
        <v>0.348227389082025</v>
      </c>
      <c r="X49">
        <v>8.0889424051298495E-2</v>
      </c>
      <c r="Y49">
        <v>0.34528565190446597</v>
      </c>
      <c r="Z49">
        <v>0.31677511826495403</v>
      </c>
      <c r="AA49">
        <v>5.8283063149183495E-4</v>
      </c>
    </row>
    <row r="50" spans="1:27" x14ac:dyDescent="0.55000000000000004">
      <c r="A50">
        <v>49</v>
      </c>
      <c r="B50">
        <v>18.821881399999999</v>
      </c>
      <c r="C50">
        <v>-0.32254130399999997</v>
      </c>
      <c r="D50">
        <v>4.6725520769999997</v>
      </c>
      <c r="E50">
        <v>33.765971579999999</v>
      </c>
      <c r="F50">
        <v>8.6773454139999995</v>
      </c>
      <c r="G50">
        <v>16.878124660000001</v>
      </c>
      <c r="H50">
        <v>18.821881399999999</v>
      </c>
      <c r="I50">
        <v>0.32254130399999997</v>
      </c>
      <c r="J50">
        <v>4.6725520769999997</v>
      </c>
      <c r="K50">
        <v>33.765971579999999</v>
      </c>
      <c r="L50">
        <v>8.6773454139999995</v>
      </c>
      <c r="M50">
        <v>16.878124660000001</v>
      </c>
      <c r="N50">
        <v>6.2070674999999999E-2</v>
      </c>
      <c r="O50">
        <v>25.26203537</v>
      </c>
      <c r="P50">
        <v>419.973554013431</v>
      </c>
      <c r="Q50">
        <v>18.7464247566</v>
      </c>
      <c r="R50">
        <v>0.70381123073594498</v>
      </c>
      <c r="S50">
        <v>1.24228200605068E-2</v>
      </c>
      <c r="T50">
        <v>0.23937387895696499</v>
      </c>
      <c r="U50">
        <v>0.41291865315008502</v>
      </c>
      <c r="V50">
        <v>0.42417394528255697</v>
      </c>
      <c r="W50">
        <v>0.52070222192151305</v>
      </c>
      <c r="X50">
        <v>8.2529621721244395E-2</v>
      </c>
      <c r="Y50">
        <v>0.31471151633490502</v>
      </c>
      <c r="Z50">
        <v>0.35973519850403501</v>
      </c>
      <c r="AA50">
        <v>4.3191835699593102E-4</v>
      </c>
    </row>
    <row r="51" spans="1:27" x14ac:dyDescent="0.55000000000000004">
      <c r="A51">
        <v>50</v>
      </c>
      <c r="B51">
        <v>18.992506379999998</v>
      </c>
      <c r="C51">
        <v>-0.88245631700000005</v>
      </c>
      <c r="D51">
        <v>14.897112849999999</v>
      </c>
      <c r="E51">
        <v>33.366097080000003</v>
      </c>
      <c r="F51">
        <v>8.4048267170000006</v>
      </c>
      <c r="G51">
        <v>15.678497999999999</v>
      </c>
      <c r="H51">
        <v>18.992506379999998</v>
      </c>
      <c r="I51">
        <v>0.88245631700000005</v>
      </c>
      <c r="J51">
        <v>14.897112849999999</v>
      </c>
      <c r="K51">
        <v>33.366097080000003</v>
      </c>
      <c r="L51">
        <v>8.4048267170000006</v>
      </c>
      <c r="M51">
        <v>15.678497999999999</v>
      </c>
      <c r="N51">
        <v>6.7323029000000006E-2</v>
      </c>
      <c r="O51">
        <v>22.92276382</v>
      </c>
      <c r="P51">
        <v>209.98677700671499</v>
      </c>
      <c r="Q51">
        <v>84.769910062799994</v>
      </c>
      <c r="R51">
        <v>0.71025704154438596</v>
      </c>
      <c r="S51">
        <v>3.5180889208510098E-2</v>
      </c>
      <c r="T51">
        <v>0.763695003754571</v>
      </c>
      <c r="U51">
        <v>0.40150719195074802</v>
      </c>
      <c r="V51">
        <v>0.41077105007639803</v>
      </c>
      <c r="W51">
        <v>0.45466133466910602</v>
      </c>
      <c r="X51">
        <v>8.99736429678724E-2</v>
      </c>
      <c r="Y51">
        <v>0.28436951294977603</v>
      </c>
      <c r="Z51">
        <v>0.17986759925201701</v>
      </c>
      <c r="AA51">
        <v>1.9579697764327401E-3</v>
      </c>
    </row>
    <row r="52" spans="1:27" x14ac:dyDescent="0.55000000000000004">
      <c r="A52">
        <v>51</v>
      </c>
      <c r="B52">
        <v>17.907942590000001</v>
      </c>
      <c r="C52">
        <v>1.3141467920000001</v>
      </c>
      <c r="D52">
        <v>5.4536141220000003</v>
      </c>
      <c r="E52">
        <v>35.386768099999998</v>
      </c>
      <c r="F52">
        <v>10.485659589999999</v>
      </c>
      <c r="G52">
        <v>19.350612000000002</v>
      </c>
      <c r="H52">
        <v>17.907942590000001</v>
      </c>
      <c r="I52">
        <v>1.3141467920000001</v>
      </c>
      <c r="J52">
        <v>5.4536141220000003</v>
      </c>
      <c r="K52">
        <v>35.386768099999998</v>
      </c>
      <c r="L52">
        <v>10.485659589999999</v>
      </c>
      <c r="M52">
        <v>19.350612000000002</v>
      </c>
      <c r="N52">
        <v>7.2746969999999994E-2</v>
      </c>
      <c r="O52">
        <v>32.54335785</v>
      </c>
      <c r="P52">
        <v>209.98677700671499</v>
      </c>
      <c r="Q52">
        <v>61.226576153099998</v>
      </c>
      <c r="R52">
        <v>0.66928477007495701</v>
      </c>
      <c r="S52">
        <v>5.27271979383752E-2</v>
      </c>
      <c r="T52">
        <v>0.27942717210698098</v>
      </c>
      <c r="U52">
        <v>0.45917230673389797</v>
      </c>
      <c r="V52">
        <v>0.51310966113451695</v>
      </c>
      <c r="W52">
        <v>0.65681561711226699</v>
      </c>
      <c r="X52">
        <v>9.7660849893463506E-2</v>
      </c>
      <c r="Y52">
        <v>0.40915540906568798</v>
      </c>
      <c r="Z52">
        <v>0.17986759925201701</v>
      </c>
      <c r="AA52">
        <v>1.41379465504153E-3</v>
      </c>
    </row>
    <row r="53" spans="1:27" x14ac:dyDescent="0.55000000000000004">
      <c r="A53">
        <v>52</v>
      </c>
      <c r="B53">
        <v>17.784644570000001</v>
      </c>
      <c r="C53">
        <v>1.208984023</v>
      </c>
      <c r="D53">
        <v>5.3197115349999997</v>
      </c>
      <c r="E53">
        <v>34.748188210000002</v>
      </c>
      <c r="F53">
        <v>10.60948831</v>
      </c>
      <c r="G53">
        <v>19.250769529999999</v>
      </c>
      <c r="H53">
        <v>17.784644570000001</v>
      </c>
      <c r="I53">
        <v>1.208984023</v>
      </c>
      <c r="J53">
        <v>5.3197115349999997</v>
      </c>
      <c r="K53">
        <v>34.748188210000002</v>
      </c>
      <c r="L53">
        <v>10.60948831</v>
      </c>
      <c r="M53">
        <v>19.250769529999999</v>
      </c>
      <c r="N53">
        <v>7.2746969999999994E-2</v>
      </c>
      <c r="O53">
        <v>32.54335785</v>
      </c>
      <c r="P53">
        <v>209.98677700671499</v>
      </c>
      <c r="Q53">
        <v>23.864227598999999</v>
      </c>
      <c r="R53">
        <v>0.66462686060604204</v>
      </c>
      <c r="S53">
        <v>4.84527964432728E-2</v>
      </c>
      <c r="T53">
        <v>0.272560573473761</v>
      </c>
      <c r="U53">
        <v>0.44094876500415098</v>
      </c>
      <c r="V53">
        <v>0.51919975101070903</v>
      </c>
      <c r="W53">
        <v>0.65131916932219203</v>
      </c>
      <c r="X53">
        <v>9.7660849893463506E-2</v>
      </c>
      <c r="Y53">
        <v>0.40915540906568798</v>
      </c>
      <c r="Z53">
        <v>0.17986759925201701</v>
      </c>
      <c r="AA53">
        <v>5.5021005662101699E-4</v>
      </c>
    </row>
    <row r="54" spans="1:27" x14ac:dyDescent="0.55000000000000004">
      <c r="A54">
        <v>53</v>
      </c>
      <c r="B54">
        <v>17.21450372</v>
      </c>
      <c r="C54">
        <v>1.5006176149999999</v>
      </c>
      <c r="D54">
        <v>5.3088795400000004</v>
      </c>
      <c r="E54">
        <v>34.812310160000003</v>
      </c>
      <c r="F54">
        <v>11.061082880000001</v>
      </c>
      <c r="G54">
        <v>19.335956329999998</v>
      </c>
      <c r="H54">
        <v>17.21450372</v>
      </c>
      <c r="I54">
        <v>1.5006176149999999</v>
      </c>
      <c r="J54">
        <v>5.3088795400000004</v>
      </c>
      <c r="K54">
        <v>34.812310160000003</v>
      </c>
      <c r="L54">
        <v>11.061082880000001</v>
      </c>
      <c r="M54">
        <v>19.335956329999998</v>
      </c>
      <c r="N54">
        <v>8.5039526000000004E-2</v>
      </c>
      <c r="O54">
        <v>39.708171839999999</v>
      </c>
      <c r="P54">
        <v>125.327682540141</v>
      </c>
      <c r="Q54">
        <v>59.390693506200002</v>
      </c>
      <c r="R54">
        <v>0.64308827901462595</v>
      </c>
      <c r="S54">
        <v>6.0306412257315201E-2</v>
      </c>
      <c r="T54">
        <v>0.27200510278623802</v>
      </c>
      <c r="U54">
        <v>0.44277865199232003</v>
      </c>
      <c r="V54">
        <v>0.54140987737638802</v>
      </c>
      <c r="W54">
        <v>0.656008804891139</v>
      </c>
      <c r="X54">
        <v>0.115082761676135</v>
      </c>
      <c r="Y54">
        <v>0.50208810443335405</v>
      </c>
      <c r="Z54">
        <v>0.107351470886156</v>
      </c>
      <c r="AA54">
        <v>1.37136049231552E-3</v>
      </c>
    </row>
    <row r="55" spans="1:27" x14ac:dyDescent="0.55000000000000004">
      <c r="A55">
        <v>54</v>
      </c>
      <c r="B55">
        <v>18.06031402</v>
      </c>
      <c r="C55">
        <v>1.359991178</v>
      </c>
      <c r="D55">
        <v>5.5173320060000002</v>
      </c>
      <c r="E55">
        <v>34.90039634</v>
      </c>
      <c r="F55">
        <v>11.633890360000001</v>
      </c>
      <c r="G55">
        <v>20.12291008</v>
      </c>
      <c r="H55">
        <v>18.06031402</v>
      </c>
      <c r="I55">
        <v>1.359991178</v>
      </c>
      <c r="J55">
        <v>5.5173320060000002</v>
      </c>
      <c r="K55">
        <v>34.90039634</v>
      </c>
      <c r="L55">
        <v>11.633890360000001</v>
      </c>
      <c r="M55">
        <v>20.12291008</v>
      </c>
      <c r="N55">
        <v>6.7922458000000005E-2</v>
      </c>
      <c r="O55">
        <v>32.92264557</v>
      </c>
      <c r="P55">
        <v>187.99152381021199</v>
      </c>
      <c r="Q55">
        <v>36.448606997200002</v>
      </c>
      <c r="R55">
        <v>0.675041004656738</v>
      </c>
      <c r="S55">
        <v>5.4590569490149898E-2</v>
      </c>
      <c r="T55">
        <v>0.28269466039819702</v>
      </c>
      <c r="U55">
        <v>0.44529242075043801</v>
      </c>
      <c r="V55">
        <v>0.56958144399643396</v>
      </c>
      <c r="W55">
        <v>0.69933155321736296</v>
      </c>
      <c r="X55">
        <v>9.0823197703110106E-2</v>
      </c>
      <c r="Y55">
        <v>0.41407503854785699</v>
      </c>
      <c r="Z55">
        <v>0.16102720632923401</v>
      </c>
      <c r="AA55">
        <v>8.4108246292143203E-4</v>
      </c>
    </row>
    <row r="56" spans="1:27" x14ac:dyDescent="0.55000000000000004">
      <c r="A56">
        <v>55</v>
      </c>
      <c r="B56">
        <v>17.743362130000001</v>
      </c>
      <c r="C56">
        <v>1.3658316180000001</v>
      </c>
      <c r="D56">
        <v>5.3752388959999999</v>
      </c>
      <c r="E56">
        <v>35.003725789999997</v>
      </c>
      <c r="F56">
        <v>11.87870721</v>
      </c>
      <c r="G56">
        <v>20.133158519999999</v>
      </c>
      <c r="H56">
        <v>17.743362130000001</v>
      </c>
      <c r="I56">
        <v>1.3658316180000001</v>
      </c>
      <c r="J56">
        <v>5.3752388959999999</v>
      </c>
      <c r="K56">
        <v>35.003725789999997</v>
      </c>
      <c r="L56">
        <v>11.87870721</v>
      </c>
      <c r="M56">
        <v>20.133158519999999</v>
      </c>
      <c r="N56">
        <v>4.9120209999999997E-2</v>
      </c>
      <c r="O56">
        <v>19.00806236</v>
      </c>
      <c r="P56">
        <v>125.327682540141</v>
      </c>
      <c r="Q56">
        <v>61.313220858699999</v>
      </c>
      <c r="R56">
        <v>0.66306730702865402</v>
      </c>
      <c r="S56">
        <v>5.48279575477814E-2</v>
      </c>
      <c r="T56">
        <v>0.275408047220843</v>
      </c>
      <c r="U56">
        <v>0.44824119595221701</v>
      </c>
      <c r="V56">
        <v>0.581621919095476</v>
      </c>
      <c r="W56">
        <v>0.69989574213806705</v>
      </c>
      <c r="X56">
        <v>6.4175273058966198E-2</v>
      </c>
      <c r="Y56">
        <v>0.23359307147546801</v>
      </c>
      <c r="Z56">
        <v>0.107351470886156</v>
      </c>
      <c r="AA56">
        <v>1.4157973405307001E-3</v>
      </c>
    </row>
    <row r="57" spans="1:27" x14ac:dyDescent="0.55000000000000004">
      <c r="A57">
        <v>56</v>
      </c>
      <c r="B57">
        <v>18.955540370000001</v>
      </c>
      <c r="C57">
        <v>0.64015990899999997</v>
      </c>
      <c r="D57">
        <v>13.265214390000001</v>
      </c>
      <c r="E57">
        <v>33.794473920000001</v>
      </c>
      <c r="F57">
        <v>9.8978221380000004</v>
      </c>
      <c r="G57">
        <v>19.019093179999999</v>
      </c>
      <c r="H57">
        <v>18.955540370000001</v>
      </c>
      <c r="I57">
        <v>0.64015990899999997</v>
      </c>
      <c r="J57">
        <v>13.265214390000001</v>
      </c>
      <c r="K57">
        <v>33.794473920000001</v>
      </c>
      <c r="L57">
        <v>9.8978221380000004</v>
      </c>
      <c r="M57">
        <v>19.019093179999999</v>
      </c>
      <c r="N57">
        <v>7.2411380999999997E-2</v>
      </c>
      <c r="O57">
        <v>28.9075737</v>
      </c>
      <c r="P57">
        <v>139.991184671144</v>
      </c>
      <c r="Q57">
        <v>106.011768889</v>
      </c>
      <c r="R57">
        <v>0.708860552549616</v>
      </c>
      <c r="S57">
        <v>2.5332611738627699E-2</v>
      </c>
      <c r="T57">
        <v>0.680010349215457</v>
      </c>
      <c r="U57">
        <v>0.41373204171824901</v>
      </c>
      <c r="V57">
        <v>0.48419889701395102</v>
      </c>
      <c r="W57">
        <v>0.63856510823005197</v>
      </c>
      <c r="X57">
        <v>9.7185228553749101E-2</v>
      </c>
      <c r="Y57">
        <v>0.36199672200052202</v>
      </c>
      <c r="Z57">
        <v>0.119911732834678</v>
      </c>
      <c r="AA57">
        <v>2.4489491402585198E-3</v>
      </c>
    </row>
    <row r="58" spans="1:27" x14ac:dyDescent="0.55000000000000004">
      <c r="A58">
        <v>57</v>
      </c>
      <c r="B58">
        <v>19.117904840000001</v>
      </c>
      <c r="C58">
        <v>0.65762482700000002</v>
      </c>
      <c r="D58">
        <v>12.022025210000001</v>
      </c>
      <c r="E58">
        <v>34.372144059999997</v>
      </c>
      <c r="F58">
        <v>9.3527551649999996</v>
      </c>
      <c r="G58">
        <v>18.683087860000001</v>
      </c>
      <c r="H58">
        <v>19.117904840000001</v>
      </c>
      <c r="I58">
        <v>0.65762482700000002</v>
      </c>
      <c r="J58">
        <v>12.022025210000001</v>
      </c>
      <c r="K58">
        <v>34.372144059999997</v>
      </c>
      <c r="L58">
        <v>9.3527551649999996</v>
      </c>
      <c r="M58">
        <v>18.683087860000001</v>
      </c>
      <c r="N58">
        <v>7.6333052999999998E-2</v>
      </c>
      <c r="O58">
        <v>31.769346240000001</v>
      </c>
      <c r="P58">
        <v>419.973554013431</v>
      </c>
      <c r="Q58">
        <v>19.365479071700001</v>
      </c>
      <c r="R58">
        <v>0.71499430070087</v>
      </c>
      <c r="S58">
        <v>2.60424834196505E-2</v>
      </c>
      <c r="T58">
        <v>0.61625892128956505</v>
      </c>
      <c r="U58">
        <v>0.43021736495997998</v>
      </c>
      <c r="V58">
        <v>0.45739165186021002</v>
      </c>
      <c r="W58">
        <v>0.62006761213878603</v>
      </c>
      <c r="X58">
        <v>0.10274330969037999</v>
      </c>
      <c r="Y58">
        <v>0.399115932079466</v>
      </c>
      <c r="Z58">
        <v>0.35973519850403501</v>
      </c>
      <c r="AA58">
        <v>4.46227033853651E-4</v>
      </c>
    </row>
    <row r="59" spans="1:27" x14ac:dyDescent="0.55000000000000004">
      <c r="A59">
        <v>58</v>
      </c>
      <c r="B59">
        <v>19.447240820000001</v>
      </c>
      <c r="C59">
        <v>-6.2512274000000007E-2</v>
      </c>
      <c r="D59">
        <v>15.91042146</v>
      </c>
      <c r="E59">
        <v>33.000538470000002</v>
      </c>
      <c r="F59">
        <v>9.1804508429999991</v>
      </c>
      <c r="G59">
        <v>17.19613614</v>
      </c>
      <c r="H59">
        <v>19.447240820000001</v>
      </c>
      <c r="I59">
        <v>6.2512274000000007E-2</v>
      </c>
      <c r="J59">
        <v>15.91042146</v>
      </c>
      <c r="K59">
        <v>33.000538470000002</v>
      </c>
      <c r="L59">
        <v>9.1804508429999991</v>
      </c>
      <c r="M59">
        <v>17.19613614</v>
      </c>
      <c r="N59">
        <v>8.5457965999999996E-2</v>
      </c>
      <c r="O59">
        <v>36.304012299999997</v>
      </c>
      <c r="P59">
        <v>419.973554013431</v>
      </c>
      <c r="Q59">
        <v>11.0051519857</v>
      </c>
      <c r="R59">
        <v>0.72743584014891904</v>
      </c>
      <c r="S59">
        <v>1.8537899258777E-3</v>
      </c>
      <c r="T59">
        <v>0.81565802905784901</v>
      </c>
      <c r="U59">
        <v>0.391075024122846</v>
      </c>
      <c r="V59">
        <v>0.44891745615636802</v>
      </c>
      <c r="W59">
        <v>0.53820913552715999</v>
      </c>
      <c r="X59">
        <v>0.115675805528556</v>
      </c>
      <c r="Y59">
        <v>0.45793375207259501</v>
      </c>
      <c r="Z59">
        <v>0.35973519850403501</v>
      </c>
      <c r="AA59">
        <v>2.52988386160688E-4</v>
      </c>
    </row>
    <row r="60" spans="1:27" x14ac:dyDescent="0.55000000000000004">
      <c r="A60">
        <v>59</v>
      </c>
      <c r="B60">
        <v>19.48801392</v>
      </c>
      <c r="C60">
        <v>-0.54467868799999997</v>
      </c>
      <c r="D60">
        <v>4.0912890869999998</v>
      </c>
      <c r="E60">
        <v>32.319403950000002</v>
      </c>
      <c r="F60">
        <v>8.4891503660000005</v>
      </c>
      <c r="G60">
        <v>15.978032369999999</v>
      </c>
      <c r="H60">
        <v>19.48801392</v>
      </c>
      <c r="I60">
        <v>0.54467868799999997</v>
      </c>
      <c r="J60">
        <v>4.0912890869999998</v>
      </c>
      <c r="K60">
        <v>32.319403950000002</v>
      </c>
      <c r="L60">
        <v>8.4891503660000005</v>
      </c>
      <c r="M60">
        <v>15.978032369999999</v>
      </c>
      <c r="N60">
        <v>8.4264316000000006E-2</v>
      </c>
      <c r="O60">
        <v>34.343139649999998</v>
      </c>
      <c r="P60">
        <v>209.98677700671499</v>
      </c>
      <c r="Q60">
        <v>42.289000770500003</v>
      </c>
      <c r="R60">
        <v>0.72897615205795896</v>
      </c>
      <c r="S60">
        <v>2.1451722354699401E-2</v>
      </c>
      <c r="T60">
        <v>0.209566391722421</v>
      </c>
      <c r="U60">
        <v>0.37163707510006799</v>
      </c>
      <c r="V60">
        <v>0.41491821885193297</v>
      </c>
      <c r="W60">
        <v>0.47115106119568301</v>
      </c>
      <c r="X60">
        <v>0.11398407721758599</v>
      </c>
      <c r="Y60">
        <v>0.432499849546783</v>
      </c>
      <c r="Z60">
        <v>0.17986759925201701</v>
      </c>
      <c r="AA60">
        <v>9.7607596056063296E-4</v>
      </c>
    </row>
    <row r="61" spans="1:27" x14ac:dyDescent="0.55000000000000004">
      <c r="A61">
        <v>60</v>
      </c>
      <c r="B61">
        <v>19.734978219999999</v>
      </c>
      <c r="C61">
        <v>-0.96120715499999998</v>
      </c>
      <c r="D61">
        <v>15.67982943</v>
      </c>
      <c r="E61">
        <v>31.23526167</v>
      </c>
      <c r="F61">
        <v>8.9611427110000008</v>
      </c>
      <c r="G61">
        <v>14.21570071</v>
      </c>
      <c r="H61">
        <v>19.734978219999999</v>
      </c>
      <c r="I61">
        <v>0.96120715499999998</v>
      </c>
      <c r="J61">
        <v>15.67982943</v>
      </c>
      <c r="K61">
        <v>31.23526167</v>
      </c>
      <c r="L61">
        <v>8.9611427110000008</v>
      </c>
      <c r="M61">
        <v>14.21570071</v>
      </c>
      <c r="N61">
        <v>7.3306888000000001E-2</v>
      </c>
      <c r="O61">
        <v>31.361827850000001</v>
      </c>
      <c r="P61">
        <v>209.98677700671499</v>
      </c>
      <c r="Q61">
        <v>119.05271714600001</v>
      </c>
      <c r="R61">
        <v>0.73830588299324795</v>
      </c>
      <c r="S61">
        <v>3.8381762510807597E-2</v>
      </c>
      <c r="T61">
        <v>0.80383314237340198</v>
      </c>
      <c r="U61">
        <v>0.34069824913647001</v>
      </c>
      <c r="V61">
        <v>0.43813153965444701</v>
      </c>
      <c r="W61">
        <v>0.374132588415654</v>
      </c>
      <c r="X61">
        <v>9.8454406742139303E-2</v>
      </c>
      <c r="Y61">
        <v>0.393830130878284</v>
      </c>
      <c r="Z61">
        <v>0.17986759925201701</v>
      </c>
      <c r="AA61">
        <v>2.75037457252858E-3</v>
      </c>
    </row>
    <row r="62" spans="1:27" x14ac:dyDescent="0.55000000000000004">
      <c r="A62">
        <v>61</v>
      </c>
      <c r="B62">
        <v>19.834910839999999</v>
      </c>
      <c r="C62">
        <v>-1.0213399759999999</v>
      </c>
      <c r="D62">
        <v>14.166210919999999</v>
      </c>
      <c r="E62">
        <v>31.256187099999998</v>
      </c>
      <c r="F62">
        <v>9.0731962379999995</v>
      </c>
      <c r="G62">
        <v>14.303185620000001</v>
      </c>
      <c r="H62">
        <v>19.834910839999999</v>
      </c>
      <c r="I62">
        <v>1.0213399759999999</v>
      </c>
      <c r="J62">
        <v>14.166210919999999</v>
      </c>
      <c r="K62">
        <v>31.256187099999998</v>
      </c>
      <c r="L62">
        <v>9.0731962379999995</v>
      </c>
      <c r="M62">
        <v>14.303185620000001</v>
      </c>
      <c r="N62">
        <v>8.2854785E-2</v>
      </c>
      <c r="O62">
        <v>40.273475650000002</v>
      </c>
      <c r="P62">
        <v>419.973554013431</v>
      </c>
      <c r="Q62">
        <v>9.3694386710599993</v>
      </c>
      <c r="R62">
        <v>0.74208110255436899</v>
      </c>
      <c r="S62">
        <v>4.08258957571195E-2</v>
      </c>
      <c r="T62">
        <v>0.72621394901172798</v>
      </c>
      <c r="U62">
        <v>0.341295410827261</v>
      </c>
      <c r="V62">
        <v>0.44364250714546399</v>
      </c>
      <c r="W62">
        <v>0.378948737697962</v>
      </c>
      <c r="X62">
        <v>0.111986386522751</v>
      </c>
      <c r="Y62">
        <v>0.50942049391872402</v>
      </c>
      <c r="Z62">
        <v>0.35973519850403501</v>
      </c>
      <c r="AA62">
        <v>2.1518089063055299E-4</v>
      </c>
    </row>
    <row r="63" spans="1:27" x14ac:dyDescent="0.55000000000000004">
      <c r="A63">
        <v>62</v>
      </c>
      <c r="B63">
        <v>18.091112540000001</v>
      </c>
      <c r="C63">
        <v>1.083452203</v>
      </c>
      <c r="D63">
        <v>5.3663367859999997</v>
      </c>
      <c r="E63">
        <v>25.820814899999998</v>
      </c>
      <c r="F63">
        <v>5.1968843519999997</v>
      </c>
      <c r="G63">
        <v>9.1151589350000002</v>
      </c>
      <c r="H63">
        <v>18.091112540000001</v>
      </c>
      <c r="I63">
        <v>1.083452203</v>
      </c>
      <c r="J63">
        <v>5.3663367859999997</v>
      </c>
      <c r="K63">
        <v>25.820814899999998</v>
      </c>
      <c r="L63">
        <v>5.1968843519999997</v>
      </c>
      <c r="M63">
        <v>9.1151589350000002</v>
      </c>
      <c r="N63">
        <v>8.4020257000000001E-2</v>
      </c>
      <c r="O63">
        <v>23.458415989999999</v>
      </c>
      <c r="P63">
        <v>301.866624537257</v>
      </c>
      <c r="Q63">
        <v>34.609660859900004</v>
      </c>
      <c r="R63">
        <v>0.67620450037172597</v>
      </c>
      <c r="S63">
        <v>4.33504831037397E-2</v>
      </c>
      <c r="T63">
        <v>0.27495154210224698</v>
      </c>
      <c r="U63">
        <v>0.18618289686536901</v>
      </c>
      <c r="V63">
        <v>0.252999433600885</v>
      </c>
      <c r="W63">
        <v>9.3341642765139898E-2</v>
      </c>
      <c r="X63">
        <v>0.113638178905814</v>
      </c>
      <c r="Y63">
        <v>0.29131729973211501</v>
      </c>
      <c r="Z63">
        <v>0.258568781443273</v>
      </c>
      <c r="AA63">
        <v>7.9857749139380799E-4</v>
      </c>
    </row>
    <row r="64" spans="1:27" x14ac:dyDescent="0.55000000000000004">
      <c r="A64">
        <v>63</v>
      </c>
      <c r="B64">
        <v>17.99066354</v>
      </c>
      <c r="C64">
        <v>0.732315932</v>
      </c>
      <c r="D64">
        <v>5.1238225550000003</v>
      </c>
      <c r="E64">
        <v>27.176066290000001</v>
      </c>
      <c r="F64">
        <v>5.2833635689999996</v>
      </c>
      <c r="G64">
        <v>9.5138556199999993</v>
      </c>
      <c r="H64">
        <v>17.99066354</v>
      </c>
      <c r="I64">
        <v>0.732315932</v>
      </c>
      <c r="J64">
        <v>5.1238225550000003</v>
      </c>
      <c r="K64">
        <v>27.176066290000001</v>
      </c>
      <c r="L64">
        <v>5.2833635689999996</v>
      </c>
      <c r="M64">
        <v>9.5138556199999993</v>
      </c>
      <c r="N64">
        <v>7.7145077000000006E-2</v>
      </c>
      <c r="O64">
        <v>22.49365997</v>
      </c>
      <c r="P64">
        <v>169.052405637265</v>
      </c>
      <c r="Q64">
        <v>13.159087557499999</v>
      </c>
      <c r="R64">
        <v>0.67240977318759898</v>
      </c>
      <c r="S64">
        <v>2.9078346528987699E-2</v>
      </c>
      <c r="T64">
        <v>0.26251527836433403</v>
      </c>
      <c r="U64">
        <v>0.22485852797546099</v>
      </c>
      <c r="V64">
        <v>0.25725261657776399</v>
      </c>
      <c r="W64">
        <v>0.115290373732817</v>
      </c>
      <c r="X64">
        <v>0.103894169649318</v>
      </c>
      <c r="Y64">
        <v>0.278803733094388</v>
      </c>
      <c r="Z64">
        <v>0.144804595714046</v>
      </c>
      <c r="AA64">
        <v>3.0277394991086698E-4</v>
      </c>
    </row>
    <row r="65" spans="1:27" x14ac:dyDescent="0.55000000000000004">
      <c r="A65">
        <v>64</v>
      </c>
      <c r="B65">
        <v>17.718709239999999</v>
      </c>
      <c r="C65">
        <v>0.84977916099999995</v>
      </c>
      <c r="D65">
        <v>6.7275963939999999</v>
      </c>
      <c r="E65">
        <v>25.694970619999999</v>
      </c>
      <c r="F65">
        <v>5.7496718749999998</v>
      </c>
      <c r="G65">
        <v>9.0965722800000002</v>
      </c>
      <c r="H65">
        <v>17.718709239999999</v>
      </c>
      <c r="I65">
        <v>0.84977916099999995</v>
      </c>
      <c r="J65">
        <v>6.7275963939999999</v>
      </c>
      <c r="K65">
        <v>25.694970619999999</v>
      </c>
      <c r="L65">
        <v>5.7496718749999998</v>
      </c>
      <c r="M65">
        <v>9.0965722800000002</v>
      </c>
      <c r="N65">
        <v>9.0830705999999997E-2</v>
      </c>
      <c r="O65">
        <v>28.406057359999998</v>
      </c>
      <c r="P65">
        <v>301.866624537257</v>
      </c>
      <c r="Q65">
        <v>8.8013176746799999</v>
      </c>
      <c r="R65">
        <v>0.66213597877401398</v>
      </c>
      <c r="S65">
        <v>3.3852707326364202E-2</v>
      </c>
      <c r="T65">
        <v>0.34475768680167301</v>
      </c>
      <c r="U65">
        <v>0.182591602300753</v>
      </c>
      <c r="V65">
        <v>0.28018638746350699</v>
      </c>
      <c r="W65">
        <v>9.2318425102359394E-2</v>
      </c>
      <c r="X65">
        <v>0.123290446642352</v>
      </c>
      <c r="Y65">
        <v>0.35549170103107602</v>
      </c>
      <c r="Z65">
        <v>0.258568781443273</v>
      </c>
      <c r="AA65">
        <v>2.0204947460613899E-4</v>
      </c>
    </row>
    <row r="66" spans="1:27" x14ac:dyDescent="0.55000000000000004">
      <c r="A66">
        <v>65</v>
      </c>
      <c r="B66">
        <v>16.842458260000001</v>
      </c>
      <c r="C66">
        <v>1.0263422639999999</v>
      </c>
      <c r="D66">
        <v>6.8613559180000001</v>
      </c>
      <c r="E66">
        <v>26.065041749999999</v>
      </c>
      <c r="F66">
        <v>4.9956542820000003</v>
      </c>
      <c r="G66">
        <v>9.0563281470000003</v>
      </c>
      <c r="H66">
        <v>16.842458260000001</v>
      </c>
      <c r="I66">
        <v>1.0263422639999999</v>
      </c>
      <c r="J66">
        <v>6.8613559180000001</v>
      </c>
      <c r="K66">
        <v>26.065041749999999</v>
      </c>
      <c r="L66">
        <v>4.9956542820000003</v>
      </c>
      <c r="M66">
        <v>9.0563281470000003</v>
      </c>
      <c r="N66">
        <v>9.1705046999999998E-2</v>
      </c>
      <c r="O66">
        <v>38.189773559999999</v>
      </c>
      <c r="P66">
        <v>150.93331226862901</v>
      </c>
      <c r="Q66">
        <v>18.422132103399999</v>
      </c>
      <c r="R66">
        <v>0.629033275771258</v>
      </c>
      <c r="S66">
        <v>4.1029216642538002E-2</v>
      </c>
      <c r="T66">
        <v>0.35161694908522001</v>
      </c>
      <c r="U66">
        <v>0.193152546649517</v>
      </c>
      <c r="V66">
        <v>0.24310262442695199</v>
      </c>
      <c r="W66">
        <v>9.0102937285488197E-2</v>
      </c>
      <c r="X66">
        <v>0.124529626823428</v>
      </c>
      <c r="Y66">
        <v>0.482393406846093</v>
      </c>
      <c r="Z66">
        <v>0.129284390721636</v>
      </c>
      <c r="AA66">
        <v>4.2442273234913097E-4</v>
      </c>
    </row>
    <row r="67" spans="1:27" x14ac:dyDescent="0.55000000000000004">
      <c r="A67">
        <v>66</v>
      </c>
      <c r="B67">
        <v>17.754568290000002</v>
      </c>
      <c r="C67">
        <v>1.480049113</v>
      </c>
      <c r="D67">
        <v>5.7053526769999996</v>
      </c>
      <c r="E67">
        <v>26.14142833</v>
      </c>
      <c r="F67">
        <v>4.8310535950000002</v>
      </c>
      <c r="G67">
        <v>8.7499414140000003</v>
      </c>
      <c r="H67">
        <v>17.754568290000002</v>
      </c>
      <c r="I67">
        <v>1.480049113</v>
      </c>
      <c r="J67">
        <v>5.7053526769999996</v>
      </c>
      <c r="K67">
        <v>26.14142833</v>
      </c>
      <c r="L67">
        <v>4.8310535950000002</v>
      </c>
      <c r="M67">
        <v>8.7499414140000003</v>
      </c>
      <c r="N67">
        <v>4.7396901999999998E-2</v>
      </c>
      <c r="O67">
        <v>15.3595047</v>
      </c>
      <c r="P67">
        <v>301.866624537257</v>
      </c>
      <c r="Q67">
        <v>36.755459900399998</v>
      </c>
      <c r="R67">
        <v>0.66349064942112801</v>
      </c>
      <c r="S67">
        <v>5.9470393611773302E-2</v>
      </c>
      <c r="T67">
        <v>0.29233646427540999</v>
      </c>
      <c r="U67">
        <v>0.19533243682460999</v>
      </c>
      <c r="V67">
        <v>0.23500730552586899</v>
      </c>
      <c r="W67">
        <v>7.3235979952540706E-2</v>
      </c>
      <c r="X67">
        <v>6.1732874590301703E-2</v>
      </c>
      <c r="Y67">
        <v>0.18626870296829001</v>
      </c>
      <c r="Z67">
        <v>0.258568781443273</v>
      </c>
      <c r="AA67">
        <v>8.4817498925982395E-4</v>
      </c>
    </row>
    <row r="68" spans="1:27" x14ac:dyDescent="0.55000000000000004">
      <c r="A68">
        <v>67</v>
      </c>
      <c r="B68">
        <v>18.2292554</v>
      </c>
      <c r="C68">
        <v>1.5154285830000001</v>
      </c>
      <c r="D68">
        <v>5.7548359710000003</v>
      </c>
      <c r="E68">
        <v>25.837547350000001</v>
      </c>
      <c r="F68">
        <v>4.4257403850000001</v>
      </c>
      <c r="G68">
        <v>8.3872080219999994</v>
      </c>
      <c r="H68">
        <v>18.2292554</v>
      </c>
      <c r="I68">
        <v>1.5154285830000001</v>
      </c>
      <c r="J68">
        <v>5.7548359710000003</v>
      </c>
      <c r="K68">
        <v>25.837547350000001</v>
      </c>
      <c r="L68">
        <v>4.4257403850000001</v>
      </c>
      <c r="M68">
        <v>8.3872080219999994</v>
      </c>
      <c r="N68">
        <v>5.2374270000000001E-2</v>
      </c>
      <c r="O68">
        <v>12.052764890000001</v>
      </c>
      <c r="P68">
        <v>301.866624537257</v>
      </c>
      <c r="Q68">
        <v>9.8985231489899999</v>
      </c>
      <c r="R68">
        <v>0.68142321301331599</v>
      </c>
      <c r="S68">
        <v>6.0908412607487798E-2</v>
      </c>
      <c r="T68">
        <v>0.29487399492780603</v>
      </c>
      <c r="U68">
        <v>0.18666040094213601</v>
      </c>
      <c r="V68">
        <v>0.21507336873876601</v>
      </c>
      <c r="W68">
        <v>5.3267071422485802E-2</v>
      </c>
      <c r="X68">
        <v>6.8787165512864401E-2</v>
      </c>
      <c r="Y68">
        <v>0.14337795327796099</v>
      </c>
      <c r="Z68">
        <v>0.258568781443273</v>
      </c>
      <c r="AA68">
        <v>2.2741002568458E-4</v>
      </c>
    </row>
    <row r="69" spans="1:27" x14ac:dyDescent="0.55000000000000004">
      <c r="A69">
        <v>68</v>
      </c>
      <c r="B69">
        <v>18.605214839999999</v>
      </c>
      <c r="C69">
        <v>1.655016628</v>
      </c>
      <c r="D69">
        <v>5.8219788000000001</v>
      </c>
      <c r="E69">
        <v>25.746131940000001</v>
      </c>
      <c r="F69">
        <v>4.7938956499999996</v>
      </c>
      <c r="G69">
        <v>8.4801964400000003</v>
      </c>
      <c r="H69">
        <v>18.605214839999999</v>
      </c>
      <c r="I69">
        <v>1.655016628</v>
      </c>
      <c r="J69">
        <v>5.8219788000000001</v>
      </c>
      <c r="K69">
        <v>25.746131940000001</v>
      </c>
      <c r="L69">
        <v>4.7938956499999996</v>
      </c>
      <c r="M69">
        <v>8.4801964400000003</v>
      </c>
      <c r="N69">
        <v>6.5018028000000005E-2</v>
      </c>
      <c r="O69">
        <v>16.528221129999999</v>
      </c>
      <c r="P69">
        <v>301.866624537257</v>
      </c>
      <c r="Q69">
        <v>4.0947663404599997</v>
      </c>
      <c r="R69">
        <v>0.69562607722398095</v>
      </c>
      <c r="S69">
        <v>6.6582049331967999E-2</v>
      </c>
      <c r="T69">
        <v>0.29831711629066598</v>
      </c>
      <c r="U69">
        <v>0.18405162392775601</v>
      </c>
      <c r="V69">
        <v>0.233179819748219</v>
      </c>
      <c r="W69">
        <v>5.83861954247131E-2</v>
      </c>
      <c r="X69">
        <v>8.6706826523760203E-2</v>
      </c>
      <c r="Y69">
        <v>0.201427780107204</v>
      </c>
      <c r="Z69">
        <v>0.258568781443273</v>
      </c>
      <c r="AA69" s="1">
        <v>9.3263346292428101E-5</v>
      </c>
    </row>
    <row r="70" spans="1:27" x14ac:dyDescent="0.55000000000000004">
      <c r="A70">
        <v>69</v>
      </c>
      <c r="B70">
        <v>18.57942057</v>
      </c>
      <c r="C70">
        <v>1.8492562969999999</v>
      </c>
      <c r="D70">
        <v>12.422836240000001</v>
      </c>
      <c r="E70">
        <v>25.670306249999999</v>
      </c>
      <c r="F70">
        <v>4.3521469069999998</v>
      </c>
      <c r="G70">
        <v>8.3403368520000001</v>
      </c>
      <c r="H70">
        <v>18.57942057</v>
      </c>
      <c r="I70">
        <v>1.8492562969999999</v>
      </c>
      <c r="J70">
        <v>12.422836240000001</v>
      </c>
      <c r="K70">
        <v>25.670306249999999</v>
      </c>
      <c r="L70">
        <v>4.3521469069999998</v>
      </c>
      <c r="M70">
        <v>8.3403368520000001</v>
      </c>
      <c r="N70">
        <v>5.7065788999999999E-2</v>
      </c>
      <c r="O70">
        <v>12.86317539</v>
      </c>
      <c r="P70">
        <v>301.866624537257</v>
      </c>
      <c r="Q70">
        <v>21.904377688099999</v>
      </c>
      <c r="R70">
        <v>0.69465163031496602</v>
      </c>
      <c r="S70">
        <v>7.4477032884386604E-2</v>
      </c>
      <c r="T70">
        <v>0.63681273232816105</v>
      </c>
      <c r="U70">
        <v>0.18188774021087001</v>
      </c>
      <c r="V70">
        <v>0.211453926534069</v>
      </c>
      <c r="W70">
        <v>5.0686757265947797E-2</v>
      </c>
      <c r="X70">
        <v>7.5436330271172594E-2</v>
      </c>
      <c r="Y70">
        <v>0.153889549562857</v>
      </c>
      <c r="Z70">
        <v>0.258568781443273</v>
      </c>
      <c r="AA70">
        <v>5.0491054350774599E-4</v>
      </c>
    </row>
    <row r="71" spans="1:27" x14ac:dyDescent="0.55000000000000004">
      <c r="A71">
        <v>70</v>
      </c>
      <c r="B71">
        <v>19.074725999999998</v>
      </c>
      <c r="C71">
        <v>1.575500766</v>
      </c>
      <c r="D71">
        <v>5.6755055759999999</v>
      </c>
      <c r="E71">
        <v>26.489611929999999</v>
      </c>
      <c r="F71">
        <v>4.0151622180000004</v>
      </c>
      <c r="G71">
        <v>8.1279546000000007</v>
      </c>
      <c r="H71">
        <v>19.074725999999998</v>
      </c>
      <c r="I71">
        <v>1.575500766</v>
      </c>
      <c r="J71">
        <v>5.6755055759999999</v>
      </c>
      <c r="K71">
        <v>26.489611929999999</v>
      </c>
      <c r="L71">
        <v>4.0151622180000004</v>
      </c>
      <c r="M71">
        <v>8.1279546000000007</v>
      </c>
      <c r="N71">
        <v>6.0706797999999999E-2</v>
      </c>
      <c r="O71">
        <v>17.14587212</v>
      </c>
      <c r="P71">
        <v>169.052405637265</v>
      </c>
      <c r="Q71">
        <v>3.65544529203</v>
      </c>
      <c r="R71">
        <v>0.71336310558765803</v>
      </c>
      <c r="S71">
        <v>6.3350081187261195E-2</v>
      </c>
      <c r="T71">
        <v>0.29080588844768501</v>
      </c>
      <c r="U71">
        <v>0.20526876345120301</v>
      </c>
      <c r="V71">
        <v>0.19488049314227901</v>
      </c>
      <c r="W71">
        <v>3.8994859422710297E-2</v>
      </c>
      <c r="X71">
        <v>8.05966352230406E-2</v>
      </c>
      <c r="Y71">
        <v>0.20943914947105899</v>
      </c>
      <c r="Z71">
        <v>0.144804595714046</v>
      </c>
      <c r="AA71" s="1">
        <v>8.3108982183417501E-5</v>
      </c>
    </row>
    <row r="72" spans="1:27" x14ac:dyDescent="0.55000000000000004">
      <c r="A72">
        <v>71</v>
      </c>
      <c r="B72">
        <v>15.512613310000001</v>
      </c>
      <c r="C72">
        <v>3.954265634</v>
      </c>
      <c r="D72">
        <v>6.2707771189999999</v>
      </c>
      <c r="E72">
        <v>35.189498899999997</v>
      </c>
      <c r="F72">
        <v>10.22503128</v>
      </c>
      <c r="G72">
        <v>18.384565630000001</v>
      </c>
      <c r="H72">
        <v>15.512613310000001</v>
      </c>
      <c r="I72">
        <v>3.954265634</v>
      </c>
      <c r="J72">
        <v>6.2707771189999999</v>
      </c>
      <c r="K72">
        <v>35.189498899999997</v>
      </c>
      <c r="L72">
        <v>10.22503128</v>
      </c>
      <c r="M72">
        <v>18.384565630000001</v>
      </c>
      <c r="N72">
        <v>9.8625183000000005E-2</v>
      </c>
      <c r="O72">
        <v>41.023921970000004</v>
      </c>
      <c r="P72">
        <v>5.0111904671708798</v>
      </c>
      <c r="Q72">
        <v>265.10674068200001</v>
      </c>
      <c r="R72">
        <v>0.57879485844068401</v>
      </c>
      <c r="S72">
        <v>0.160036353381904</v>
      </c>
      <c r="T72">
        <v>0.32133174201881898</v>
      </c>
      <c r="U72">
        <v>0.45354271589571199</v>
      </c>
      <c r="V72">
        <v>0.50029155373439205</v>
      </c>
      <c r="W72">
        <v>0.60363360513383402</v>
      </c>
      <c r="X72">
        <v>0.13433735101977101</v>
      </c>
      <c r="Y72">
        <v>0.51915431245800303</v>
      </c>
      <c r="Z72">
        <v>4.29241693964281E-3</v>
      </c>
      <c r="AA72">
        <v>6.1262331613001703E-3</v>
      </c>
    </row>
    <row r="73" spans="1:27" x14ac:dyDescent="0.55000000000000004">
      <c r="A73">
        <v>72</v>
      </c>
      <c r="B73">
        <v>15.806496920000001</v>
      </c>
      <c r="C73">
        <v>3.8711001789999999</v>
      </c>
      <c r="D73">
        <v>6.2703320150000001</v>
      </c>
      <c r="E73">
        <v>35.692659409999997</v>
      </c>
      <c r="F73">
        <v>9.7094102430000007</v>
      </c>
      <c r="G73">
        <v>17.835444809999998</v>
      </c>
      <c r="H73">
        <v>15.806496920000001</v>
      </c>
      <c r="I73">
        <v>3.8711001789999999</v>
      </c>
      <c r="J73">
        <v>6.2703320150000001</v>
      </c>
      <c r="K73">
        <v>35.692659409999997</v>
      </c>
      <c r="L73">
        <v>9.7094102430000007</v>
      </c>
      <c r="M73">
        <v>17.835444809999998</v>
      </c>
      <c r="N73">
        <v>7.9964057000000005E-2</v>
      </c>
      <c r="O73">
        <v>27.876380919999999</v>
      </c>
      <c r="P73">
        <v>50.1119046717088</v>
      </c>
      <c r="Q73">
        <v>41.381451390400002</v>
      </c>
      <c r="R73">
        <v>0.58989709065639895</v>
      </c>
      <c r="S73">
        <v>0.156656045421462</v>
      </c>
      <c r="T73">
        <v>0.32130891683981</v>
      </c>
      <c r="U73">
        <v>0.46790171262319402</v>
      </c>
      <c r="V73">
        <v>0.47493250570914203</v>
      </c>
      <c r="W73">
        <v>0.57340384501699104</v>
      </c>
      <c r="X73">
        <v>0.107889434822576</v>
      </c>
      <c r="Y73">
        <v>0.348621423685334</v>
      </c>
      <c r="Z73">
        <v>4.2924169396428097E-2</v>
      </c>
      <c r="AA73">
        <v>9.5509907614916298E-4</v>
      </c>
    </row>
    <row r="74" spans="1:27" x14ac:dyDescent="0.55000000000000004">
      <c r="A74">
        <v>73</v>
      </c>
      <c r="B74">
        <v>17.020595440000001</v>
      </c>
      <c r="C74">
        <v>4.1236128030000003</v>
      </c>
      <c r="D74">
        <v>6.832557489</v>
      </c>
      <c r="E74">
        <v>36.217051810000001</v>
      </c>
      <c r="F74">
        <v>8.291025673</v>
      </c>
      <c r="G74">
        <v>16.392421379999998</v>
      </c>
      <c r="H74">
        <v>17.020595440000001</v>
      </c>
      <c r="I74">
        <v>4.1236128030000003</v>
      </c>
      <c r="J74">
        <v>6.832557489</v>
      </c>
      <c r="K74">
        <v>36.217051810000001</v>
      </c>
      <c r="L74">
        <v>8.291025673</v>
      </c>
      <c r="M74">
        <v>16.392421379999998</v>
      </c>
      <c r="N74">
        <v>6.6683136000000004E-2</v>
      </c>
      <c r="O74">
        <v>25.632808690000001</v>
      </c>
      <c r="P74">
        <v>0</v>
      </c>
      <c r="Q74">
        <v>30.120098795600001</v>
      </c>
      <c r="R74">
        <v>0.63576287984347102</v>
      </c>
      <c r="S74">
        <v>0.166919566892238</v>
      </c>
      <c r="T74">
        <v>0.350140149736972</v>
      </c>
      <c r="U74">
        <v>0.48286661667640901</v>
      </c>
      <c r="V74">
        <v>0.40517413696961302</v>
      </c>
      <c r="W74">
        <v>0.49396367348628201</v>
      </c>
      <c r="X74">
        <v>8.9066739684588697E-2</v>
      </c>
      <c r="Y74">
        <v>0.31952070803843102</v>
      </c>
      <c r="Z74">
        <v>0</v>
      </c>
      <c r="AA74">
        <v>6.9480680238670598E-4</v>
      </c>
    </row>
    <row r="75" spans="1:27" x14ac:dyDescent="0.55000000000000004">
      <c r="A75">
        <v>74</v>
      </c>
      <c r="B75">
        <v>13.40890849</v>
      </c>
      <c r="C75">
        <v>-6.8013765279999996</v>
      </c>
      <c r="D75">
        <v>-2.3873478100000001</v>
      </c>
      <c r="E75">
        <v>26.681261240000001</v>
      </c>
      <c r="F75">
        <v>8.7073742379999999</v>
      </c>
      <c r="G75">
        <v>13.04754419</v>
      </c>
      <c r="H75">
        <v>13.40890849</v>
      </c>
      <c r="I75">
        <v>6.8013765279999996</v>
      </c>
      <c r="J75">
        <v>2.3873478100000001</v>
      </c>
      <c r="K75">
        <v>26.681261240000001</v>
      </c>
      <c r="L75">
        <v>8.7073742379999999</v>
      </c>
      <c r="M75">
        <v>13.04754419</v>
      </c>
      <c r="N75">
        <v>0.151629716</v>
      </c>
      <c r="O75">
        <v>39.675964360000002</v>
      </c>
      <c r="P75">
        <v>0</v>
      </c>
      <c r="Q75">
        <v>92.109347309699999</v>
      </c>
      <c r="R75">
        <v>0.49932183364369398</v>
      </c>
      <c r="S75">
        <v>0.27575882035152199</v>
      </c>
      <c r="T75">
        <v>0.122187341728905</v>
      </c>
      <c r="U75">
        <v>0.210737976079026</v>
      </c>
      <c r="V75">
        <v>0.42565080975338698</v>
      </c>
      <c r="W75">
        <v>0.30982417013618302</v>
      </c>
      <c r="X75">
        <v>0.20945926203711501</v>
      </c>
      <c r="Y75">
        <v>0.50167035068125698</v>
      </c>
      <c r="Z75">
        <v>0</v>
      </c>
      <c r="AA75">
        <v>2.12761181481582E-3</v>
      </c>
    </row>
    <row r="76" spans="1:27" x14ac:dyDescent="0.55000000000000004">
      <c r="A76">
        <v>75</v>
      </c>
      <c r="B76">
        <v>14.27078747</v>
      </c>
      <c r="C76">
        <v>-4.2974933909999997</v>
      </c>
      <c r="D76">
        <v>-0.34678499800000001</v>
      </c>
      <c r="E76">
        <v>27.908471469999999</v>
      </c>
      <c r="F76">
        <v>8.3747254170000005</v>
      </c>
      <c r="G76">
        <v>13.77705358</v>
      </c>
      <c r="H76">
        <v>14.27078747</v>
      </c>
      <c r="I76">
        <v>4.2974933909999997</v>
      </c>
      <c r="J76">
        <v>0.34678499800000001</v>
      </c>
      <c r="K76">
        <v>27.908471469999999</v>
      </c>
      <c r="L76">
        <v>8.3747254170000005</v>
      </c>
      <c r="M76">
        <v>13.77705358</v>
      </c>
      <c r="N76">
        <v>0.186582267</v>
      </c>
      <c r="O76">
        <v>57.588558200000001</v>
      </c>
      <c r="P76">
        <v>0</v>
      </c>
      <c r="Q76">
        <v>78.1273307604</v>
      </c>
      <c r="R76">
        <v>0.531881596257892</v>
      </c>
      <c r="S76">
        <v>0.17398704383663599</v>
      </c>
      <c r="T76">
        <v>1.75461534606207E-2</v>
      </c>
      <c r="U76">
        <v>0.245759618927156</v>
      </c>
      <c r="V76">
        <v>0.409290621122677</v>
      </c>
      <c r="W76">
        <v>0.349984537507947</v>
      </c>
      <c r="X76">
        <v>0.25899658040290802</v>
      </c>
      <c r="Y76">
        <v>0.73400933797399603</v>
      </c>
      <c r="Z76">
        <v>0</v>
      </c>
      <c r="AA76">
        <v>1.80443474982612E-3</v>
      </c>
    </row>
    <row r="77" spans="1:27" x14ac:dyDescent="0.55000000000000004">
      <c r="A77">
        <v>76</v>
      </c>
      <c r="B77">
        <v>20.304744060000001</v>
      </c>
      <c r="C77">
        <v>0.193496849</v>
      </c>
      <c r="D77">
        <v>4.9671101379999998</v>
      </c>
      <c r="E77">
        <v>35.333951280000001</v>
      </c>
      <c r="F77">
        <v>11.89330357</v>
      </c>
      <c r="G77">
        <v>17.50357799</v>
      </c>
      <c r="H77">
        <v>20.304744060000001</v>
      </c>
      <c r="I77">
        <v>0.193496849</v>
      </c>
      <c r="J77">
        <v>4.9671101379999998</v>
      </c>
      <c r="K77">
        <v>35.333951280000001</v>
      </c>
      <c r="L77">
        <v>11.89330357</v>
      </c>
      <c r="M77">
        <v>17.50357799</v>
      </c>
      <c r="N77">
        <v>8.5430697E-2</v>
      </c>
      <c r="O77">
        <v>26.230257030000001</v>
      </c>
      <c r="P77">
        <v>0</v>
      </c>
      <c r="Q77">
        <v>9.0200726259100001</v>
      </c>
      <c r="R77">
        <v>0.75983029758806697</v>
      </c>
      <c r="S77">
        <v>7.17773364226423E-3</v>
      </c>
      <c r="T77">
        <v>0.25447897904787198</v>
      </c>
      <c r="U77">
        <v>0.45766504109904899</v>
      </c>
      <c r="V77">
        <v>0.58233979088051302</v>
      </c>
      <c r="W77">
        <v>0.55513417831715695</v>
      </c>
      <c r="X77">
        <v>0.115637157902107</v>
      </c>
      <c r="Y77">
        <v>0.32727003476996003</v>
      </c>
      <c r="Z77">
        <v>0</v>
      </c>
      <c r="AA77">
        <v>2.07105725458167E-4</v>
      </c>
    </row>
    <row r="78" spans="1:27" x14ac:dyDescent="0.55000000000000004">
      <c r="A78">
        <v>77</v>
      </c>
      <c r="B78">
        <v>18.467850139999999</v>
      </c>
      <c r="C78">
        <v>3.072914178</v>
      </c>
      <c r="D78">
        <v>6.6766835029999996</v>
      </c>
      <c r="E78">
        <v>36.511927479999997</v>
      </c>
      <c r="F78">
        <v>8.5512512970000003</v>
      </c>
      <c r="G78">
        <v>15.056754979999999</v>
      </c>
      <c r="H78">
        <v>18.467850139999999</v>
      </c>
      <c r="I78">
        <v>3.072914178</v>
      </c>
      <c r="J78">
        <v>6.6766835029999996</v>
      </c>
      <c r="K78">
        <v>36.511927479999997</v>
      </c>
      <c r="L78">
        <v>8.5512512970000003</v>
      </c>
      <c r="M78">
        <v>15.056754979999999</v>
      </c>
      <c r="N78">
        <v>5.9847716000000002E-2</v>
      </c>
      <c r="O78">
        <v>20.638647079999998</v>
      </c>
      <c r="P78">
        <v>0</v>
      </c>
      <c r="Q78">
        <v>3.0693223177000002</v>
      </c>
      <c r="R78">
        <v>0.69043676163866496</v>
      </c>
      <c r="S78">
        <v>0.12421331432483</v>
      </c>
      <c r="T78">
        <v>0.34214684562536402</v>
      </c>
      <c r="U78">
        <v>0.49128166256414002</v>
      </c>
      <c r="V78">
        <v>0.41797243964324299</v>
      </c>
      <c r="W78">
        <v>0.42043363529154198</v>
      </c>
      <c r="X78">
        <v>7.9379081215714395E-2</v>
      </c>
      <c r="Y78">
        <v>0.25474290638624603</v>
      </c>
      <c r="Z78">
        <v>0</v>
      </c>
      <c r="AA78" s="1">
        <v>6.9561472645068002E-5</v>
      </c>
    </row>
    <row r="79" spans="1:27" x14ac:dyDescent="0.55000000000000004">
      <c r="A79">
        <v>78</v>
      </c>
      <c r="B79">
        <v>18.148006039999999</v>
      </c>
      <c r="C79">
        <v>3.7762173849999998</v>
      </c>
      <c r="D79">
        <v>7.0805370190000003</v>
      </c>
      <c r="E79">
        <v>37.079666379999999</v>
      </c>
      <c r="F79">
        <v>7.9554168440000002</v>
      </c>
      <c r="G79">
        <v>14.97988464</v>
      </c>
      <c r="H79">
        <v>18.148006039999999</v>
      </c>
      <c r="I79">
        <v>3.7762173849999998</v>
      </c>
      <c r="J79">
        <v>7.0805370190000003</v>
      </c>
      <c r="K79">
        <v>37.079666379999999</v>
      </c>
      <c r="L79">
        <v>7.9554168440000002</v>
      </c>
      <c r="M79">
        <v>14.97988464</v>
      </c>
      <c r="N79">
        <v>8.9543401999999994E-2</v>
      </c>
      <c r="O79">
        <v>31.776353839999999</v>
      </c>
      <c r="P79">
        <v>0</v>
      </c>
      <c r="Q79">
        <v>92.276376430599996</v>
      </c>
      <c r="R79">
        <v>0.67835380311291904</v>
      </c>
      <c r="S79">
        <v>0.15279947944864</v>
      </c>
      <c r="T79">
        <v>0.36285667702680202</v>
      </c>
      <c r="U79">
        <v>0.50748357198498095</v>
      </c>
      <c r="V79">
        <v>0.38866837052178499</v>
      </c>
      <c r="W79">
        <v>0.41620183082581402</v>
      </c>
      <c r="X79">
        <v>0.12146598501488599</v>
      </c>
      <c r="Y79">
        <v>0.39920682559839998</v>
      </c>
      <c r="Z79">
        <v>0</v>
      </c>
      <c r="AA79">
        <v>2.1314724869062902E-3</v>
      </c>
    </row>
    <row r="80" spans="1:27" x14ac:dyDescent="0.55000000000000004">
      <c r="A80">
        <v>79</v>
      </c>
      <c r="B80">
        <v>15.800845900000001</v>
      </c>
      <c r="C80">
        <v>1.9508010790000001</v>
      </c>
      <c r="D80">
        <v>4.9997072940000002</v>
      </c>
      <c r="E80">
        <v>34.796262179999999</v>
      </c>
      <c r="F80">
        <v>11.08495783</v>
      </c>
      <c r="G80">
        <v>18.960251929999998</v>
      </c>
      <c r="H80">
        <v>15.800845900000001</v>
      </c>
      <c r="I80">
        <v>1.9508010790000001</v>
      </c>
      <c r="J80">
        <v>4.9997072940000002</v>
      </c>
      <c r="K80">
        <v>34.796262179999999</v>
      </c>
      <c r="L80">
        <v>11.08495783</v>
      </c>
      <c r="M80">
        <v>18.960251929999998</v>
      </c>
      <c r="N80">
        <v>7.1736455000000005E-2</v>
      </c>
      <c r="O80">
        <v>29.702211380000001</v>
      </c>
      <c r="P80">
        <v>93.995761905105795</v>
      </c>
      <c r="Q80">
        <v>101.630315095</v>
      </c>
      <c r="R80">
        <v>0.58968360839961098</v>
      </c>
      <c r="S80">
        <v>7.8604379207881103E-2</v>
      </c>
      <c r="T80">
        <v>0.25615057921521101</v>
      </c>
      <c r="U80">
        <v>0.44232068105119299</v>
      </c>
      <c r="V80">
        <v>0.54258408471124198</v>
      </c>
      <c r="W80">
        <v>0.63532582680474603</v>
      </c>
      <c r="X80">
        <v>9.6228673933877407E-2</v>
      </c>
      <c r="Y80">
        <v>0.372303733675379</v>
      </c>
      <c r="Z80">
        <v>8.0513603164617101E-2</v>
      </c>
      <c r="AA80">
        <v>2.3476772405622102E-3</v>
      </c>
    </row>
    <row r="81" spans="1:27" x14ac:dyDescent="0.55000000000000004">
      <c r="A81">
        <v>80</v>
      </c>
      <c r="B81">
        <v>15.442935950000001</v>
      </c>
      <c r="C81">
        <v>3.0289934089999999</v>
      </c>
      <c r="D81">
        <v>5.6138650769999998</v>
      </c>
      <c r="E81">
        <v>34.663602230000002</v>
      </c>
      <c r="F81">
        <v>10.439306220000001</v>
      </c>
      <c r="G81">
        <v>18.812391309999999</v>
      </c>
      <c r="H81">
        <v>15.442935950000001</v>
      </c>
      <c r="I81">
        <v>3.0289934089999999</v>
      </c>
      <c r="J81">
        <v>5.6138650769999998</v>
      </c>
      <c r="K81">
        <v>34.663602230000002</v>
      </c>
      <c r="L81">
        <v>10.439306220000001</v>
      </c>
      <c r="M81">
        <v>18.812391309999999</v>
      </c>
      <c r="N81">
        <v>0.11590755</v>
      </c>
      <c r="O81">
        <v>53.024585719999997</v>
      </c>
      <c r="P81">
        <v>375.98304762042301</v>
      </c>
      <c r="Q81">
        <v>14.992647735</v>
      </c>
      <c r="R81">
        <v>0.57616261150830805</v>
      </c>
      <c r="S81">
        <v>0.122428129297231</v>
      </c>
      <c r="T81">
        <v>0.28764492960687899</v>
      </c>
      <c r="U81">
        <v>0.43853488357690801</v>
      </c>
      <c r="V81">
        <v>0.51082992999165799</v>
      </c>
      <c r="W81">
        <v>0.62718592223269198</v>
      </c>
      <c r="X81">
        <v>0.15883118885705699</v>
      </c>
      <c r="Y81">
        <v>0.67481139302493898</v>
      </c>
      <c r="Z81">
        <v>0.32205441265846801</v>
      </c>
      <c r="AA81">
        <v>3.4515443162157601E-4</v>
      </c>
    </row>
    <row r="82" spans="1:27" x14ac:dyDescent="0.55000000000000004">
      <c r="A82">
        <v>81</v>
      </c>
      <c r="B82">
        <v>15.535289179999999</v>
      </c>
      <c r="C82">
        <v>2.5651438889999998</v>
      </c>
      <c r="D82">
        <v>5.3004068210000002</v>
      </c>
      <c r="E82">
        <v>34.569034729999998</v>
      </c>
      <c r="F82">
        <v>10.991573499999999</v>
      </c>
      <c r="G82">
        <v>19.11692219</v>
      </c>
      <c r="H82">
        <v>15.535289179999999</v>
      </c>
      <c r="I82">
        <v>2.5651438889999998</v>
      </c>
      <c r="J82">
        <v>5.3004068210000002</v>
      </c>
      <c r="K82">
        <v>34.569034729999998</v>
      </c>
      <c r="L82">
        <v>10.991573499999999</v>
      </c>
      <c r="M82">
        <v>19.11692219</v>
      </c>
      <c r="N82">
        <v>0.10576608</v>
      </c>
      <c r="O82">
        <v>43.222183229999999</v>
      </c>
      <c r="P82">
        <v>187.99152381021199</v>
      </c>
      <c r="Q82">
        <v>59.572143997200001</v>
      </c>
      <c r="R82">
        <v>0.57965149952534101</v>
      </c>
      <c r="S82">
        <v>0.10357469760611</v>
      </c>
      <c r="T82">
        <v>0.27157061707532998</v>
      </c>
      <c r="U82">
        <v>0.43583615345791299</v>
      </c>
      <c r="V82">
        <v>0.53799129749089503</v>
      </c>
      <c r="W82">
        <v>0.64395071263086201</v>
      </c>
      <c r="X82">
        <v>0.14445795389383101</v>
      </c>
      <c r="Y82">
        <v>0.54766731283725301</v>
      </c>
      <c r="Z82">
        <v>0.16102720632923401</v>
      </c>
      <c r="AA82">
        <v>1.3755544965863399E-3</v>
      </c>
    </row>
    <row r="83" spans="1:27" x14ac:dyDescent="0.55000000000000004">
      <c r="A83">
        <v>82</v>
      </c>
      <c r="B83">
        <v>15.79125047</v>
      </c>
      <c r="C83">
        <v>1.8435121059999999</v>
      </c>
      <c r="D83">
        <v>4.8460471959999998</v>
      </c>
      <c r="E83">
        <v>36.85401993</v>
      </c>
      <c r="F83">
        <v>11.89240599</v>
      </c>
      <c r="G83">
        <v>20.497205829999999</v>
      </c>
      <c r="H83">
        <v>15.79125047</v>
      </c>
      <c r="I83">
        <v>1.8435121059999999</v>
      </c>
      <c r="J83">
        <v>4.8460471959999998</v>
      </c>
      <c r="K83">
        <v>36.85401993</v>
      </c>
      <c r="L83">
        <v>11.89240599</v>
      </c>
      <c r="M83">
        <v>20.497205829999999</v>
      </c>
      <c r="N83">
        <v>7.6219230999999998E-2</v>
      </c>
      <c r="O83">
        <v>35.074649809999997</v>
      </c>
      <c r="P83">
        <v>236.68462410171901</v>
      </c>
      <c r="Q83">
        <v>6.4004251243499999</v>
      </c>
      <c r="R83">
        <v>0.58932111560163003</v>
      </c>
      <c r="S83">
        <v>7.4243556922960099E-2</v>
      </c>
      <c r="T83">
        <v>0.248270804503262</v>
      </c>
      <c r="U83">
        <v>0.50104416234784999</v>
      </c>
      <c r="V83">
        <v>0.58229564649404797</v>
      </c>
      <c r="W83">
        <v>0.71993698343079704</v>
      </c>
      <c r="X83">
        <v>0.102581992805354</v>
      </c>
      <c r="Y83">
        <v>0.44198805272309899</v>
      </c>
      <c r="Z83">
        <v>0.20273607568957</v>
      </c>
      <c r="AA83">
        <v>1.4655580493156401E-4</v>
      </c>
    </row>
    <row r="84" spans="1:27" x14ac:dyDescent="0.55000000000000004">
      <c r="A84">
        <v>83</v>
      </c>
      <c r="B84">
        <v>17.659022449999998</v>
      </c>
      <c r="C84">
        <v>2.7415013180000001</v>
      </c>
      <c r="D84">
        <v>8.197365284</v>
      </c>
      <c r="E84">
        <v>33.999083710000001</v>
      </c>
      <c r="F84">
        <v>9.9170081549999995</v>
      </c>
      <c r="G84">
        <v>19.57822028</v>
      </c>
      <c r="H84">
        <v>17.659022449999998</v>
      </c>
      <c r="I84">
        <v>2.7415013180000001</v>
      </c>
      <c r="J84">
        <v>8.197365284</v>
      </c>
      <c r="K84">
        <v>33.999083710000001</v>
      </c>
      <c r="L84">
        <v>9.9170081549999995</v>
      </c>
      <c r="M84">
        <v>19.57822028</v>
      </c>
      <c r="N84">
        <v>7.8640342000000002E-2</v>
      </c>
      <c r="O84">
        <v>34.063899990000003</v>
      </c>
      <c r="P84">
        <v>480.76564270661697</v>
      </c>
      <c r="Q84">
        <v>11.0208650748</v>
      </c>
      <c r="R84">
        <v>0.65988115210031595</v>
      </c>
      <c r="S84">
        <v>0.110742847183743</v>
      </c>
      <c r="T84">
        <v>0.420128247425884</v>
      </c>
      <c r="U84">
        <v>0.41957111542659897</v>
      </c>
      <c r="V84">
        <v>0.48514249529951903</v>
      </c>
      <c r="W84">
        <v>0.66934572606899301</v>
      </c>
      <c r="X84">
        <v>0.10601336885587199</v>
      </c>
      <c r="Y84">
        <v>0.42887791403058301</v>
      </c>
      <c r="Z84">
        <v>0.41180765374444001</v>
      </c>
      <c r="AA84">
        <v>2.5335157483231903E-4</v>
      </c>
    </row>
    <row r="85" spans="1:27" x14ac:dyDescent="0.55000000000000004">
      <c r="A85">
        <v>84</v>
      </c>
      <c r="B85">
        <v>17.620381250000001</v>
      </c>
      <c r="C85">
        <v>2.8894344460000001</v>
      </c>
      <c r="D85">
        <v>8.2932527589999996</v>
      </c>
      <c r="E85">
        <v>33.316210529999999</v>
      </c>
      <c r="F85">
        <v>10.250198210000001</v>
      </c>
      <c r="G85">
        <v>19.609559149999999</v>
      </c>
      <c r="H85">
        <v>17.620381250000001</v>
      </c>
      <c r="I85">
        <v>2.8894344460000001</v>
      </c>
      <c r="J85">
        <v>8.2932527589999996</v>
      </c>
      <c r="K85">
        <v>33.316210529999999</v>
      </c>
      <c r="L85">
        <v>10.250198210000001</v>
      </c>
      <c r="M85">
        <v>19.609559149999999</v>
      </c>
      <c r="N85">
        <v>7.9664312000000001E-2</v>
      </c>
      <c r="O85">
        <v>32.370166779999998</v>
      </c>
      <c r="P85">
        <v>480.76564270661697</v>
      </c>
      <c r="Q85">
        <v>23.189202990799998</v>
      </c>
      <c r="R85">
        <v>0.65842137836372105</v>
      </c>
      <c r="S85">
        <v>0.11675567462744001</v>
      </c>
      <c r="T85">
        <v>0.42504541011503999</v>
      </c>
      <c r="U85">
        <v>0.40008354920860401</v>
      </c>
      <c r="V85">
        <v>0.50152930266378304</v>
      </c>
      <c r="W85">
        <v>0.67107096847089898</v>
      </c>
      <c r="X85">
        <v>0.10746461422812</v>
      </c>
      <c r="Y85">
        <v>0.40690899862556001</v>
      </c>
      <c r="Z85">
        <v>0.41180765374444001</v>
      </c>
      <c r="AA85">
        <v>5.3460769548056895E-4</v>
      </c>
    </row>
    <row r="86" spans="1:27" x14ac:dyDescent="0.55000000000000004">
      <c r="A86">
        <v>85</v>
      </c>
      <c r="B86">
        <v>17.54327597</v>
      </c>
      <c r="C86">
        <v>2.8671131999999999</v>
      </c>
      <c r="D86">
        <v>8.2481161440000008</v>
      </c>
      <c r="E86">
        <v>34.349546179999997</v>
      </c>
      <c r="F86">
        <v>9.8332195759999994</v>
      </c>
      <c r="G86">
        <v>19.422868940000001</v>
      </c>
      <c r="H86">
        <v>17.54327597</v>
      </c>
      <c r="I86">
        <v>2.8671131999999999</v>
      </c>
      <c r="J86">
        <v>8.2481161440000008</v>
      </c>
      <c r="K86">
        <v>34.349546179999997</v>
      </c>
      <c r="L86">
        <v>9.8332195759999994</v>
      </c>
      <c r="M86">
        <v>19.422868940000001</v>
      </c>
      <c r="N86">
        <v>6.9759130000000003E-2</v>
      </c>
      <c r="O86">
        <v>24.396528239999999</v>
      </c>
      <c r="P86">
        <v>240.382821353308</v>
      </c>
      <c r="Q86">
        <v>47.3078472913</v>
      </c>
      <c r="R86">
        <v>0.65550852206793198</v>
      </c>
      <c r="S86">
        <v>0.115848414689515</v>
      </c>
      <c r="T86">
        <v>0.42273077956300198</v>
      </c>
      <c r="U86">
        <v>0.42957247554890898</v>
      </c>
      <c r="V86">
        <v>0.48102164210239001</v>
      </c>
      <c r="W86">
        <v>0.66079344837165499</v>
      </c>
      <c r="X86">
        <v>9.3426263945615304E-2</v>
      </c>
      <c r="Y86">
        <v>0.30348527786408103</v>
      </c>
      <c r="Z86">
        <v>0.20590382687222</v>
      </c>
      <c r="AA86">
        <v>1.0920804068797201E-3</v>
      </c>
    </row>
    <row r="87" spans="1:27" x14ac:dyDescent="0.55000000000000004">
      <c r="A87">
        <v>86</v>
      </c>
      <c r="B87">
        <v>17.194252030000001</v>
      </c>
      <c r="C87">
        <v>2.9058283340000002</v>
      </c>
      <c r="D87">
        <v>8.1894917940000003</v>
      </c>
      <c r="E87">
        <v>33.088834290000001</v>
      </c>
      <c r="F87">
        <v>8.3634682460000001</v>
      </c>
      <c r="G87">
        <v>17.753671449999999</v>
      </c>
      <c r="H87">
        <v>17.194252030000001</v>
      </c>
      <c r="I87">
        <v>2.9058283340000002</v>
      </c>
      <c r="J87">
        <v>8.1894917940000003</v>
      </c>
      <c r="K87">
        <v>33.088834290000001</v>
      </c>
      <c r="L87">
        <v>8.3634682460000001</v>
      </c>
      <c r="M87">
        <v>17.753671449999999</v>
      </c>
      <c r="N87">
        <v>5.3420044E-2</v>
      </c>
      <c r="O87">
        <v>18.12109375</v>
      </c>
      <c r="P87">
        <v>480.76564270661697</v>
      </c>
      <c r="Q87">
        <v>16.959822258100001</v>
      </c>
      <c r="R87">
        <v>0.64232321775401102</v>
      </c>
      <c r="S87">
        <v>0.11742201367541399</v>
      </c>
      <c r="T87">
        <v>0.41972449050912902</v>
      </c>
      <c r="U87">
        <v>0.39359477550482602</v>
      </c>
      <c r="V87">
        <v>0.408736975868639</v>
      </c>
      <c r="W87">
        <v>0.56890212341636404</v>
      </c>
      <c r="X87">
        <v>7.0269313112811302E-2</v>
      </c>
      <c r="Y87">
        <v>0.22208846245856201</v>
      </c>
      <c r="Z87">
        <v>0.41180765374444001</v>
      </c>
      <c r="AA87">
        <v>3.9062324411055901E-4</v>
      </c>
    </row>
    <row r="88" spans="1:27" x14ac:dyDescent="0.55000000000000004">
      <c r="A88">
        <v>87</v>
      </c>
      <c r="B88">
        <v>17.184252409999999</v>
      </c>
      <c r="C88">
        <v>2.894870343</v>
      </c>
      <c r="D88">
        <v>8.1568382780000004</v>
      </c>
      <c r="E88">
        <v>33.42921089</v>
      </c>
      <c r="F88">
        <v>8.3930001129999994</v>
      </c>
      <c r="G88">
        <v>17.820129380000001</v>
      </c>
      <c r="H88">
        <v>17.184252409999999</v>
      </c>
      <c r="I88">
        <v>2.894870343</v>
      </c>
      <c r="J88">
        <v>8.1568382780000004</v>
      </c>
      <c r="K88">
        <v>33.42921089</v>
      </c>
      <c r="L88">
        <v>8.3930001129999994</v>
      </c>
      <c r="M88">
        <v>17.820129380000001</v>
      </c>
      <c r="N88">
        <v>9.0834118000000005E-2</v>
      </c>
      <c r="O88">
        <v>40.306968689999998</v>
      </c>
      <c r="P88">
        <v>240.382821353308</v>
      </c>
      <c r="Q88">
        <v>53.385642010799998</v>
      </c>
      <c r="R88">
        <v>0.64194545560759897</v>
      </c>
      <c r="S88">
        <v>0.116976619801145</v>
      </c>
      <c r="T88">
        <v>0.418050000169854</v>
      </c>
      <c r="U88">
        <v>0.40330830903612702</v>
      </c>
      <c r="V88">
        <v>0.41018939921793701</v>
      </c>
      <c r="W88">
        <v>0.57256071221611504</v>
      </c>
      <c r="X88">
        <v>0.123295282378956</v>
      </c>
      <c r="Y88">
        <v>0.50985492229154805</v>
      </c>
      <c r="Z88">
        <v>0.20590382687222</v>
      </c>
      <c r="AA88">
        <v>1.23256113454388E-3</v>
      </c>
    </row>
    <row r="89" spans="1:27" x14ac:dyDescent="0.55000000000000004">
      <c r="A89">
        <v>88</v>
      </c>
      <c r="B89">
        <v>17.293660549999998</v>
      </c>
      <c r="C89">
        <v>3.0606256200000002</v>
      </c>
      <c r="D89">
        <v>8.2433831529999999</v>
      </c>
      <c r="E89">
        <v>34.298124960000003</v>
      </c>
      <c r="F89">
        <v>8.7595288930000006</v>
      </c>
      <c r="G89">
        <v>18.427102810000001</v>
      </c>
      <c r="H89">
        <v>17.293660549999998</v>
      </c>
      <c r="I89">
        <v>3.0606256200000002</v>
      </c>
      <c r="J89">
        <v>8.2433831529999999</v>
      </c>
      <c r="K89">
        <v>34.298124960000003</v>
      </c>
      <c r="L89">
        <v>8.7595288930000006</v>
      </c>
      <c r="M89">
        <v>18.427102810000001</v>
      </c>
      <c r="N89">
        <v>7.0501207999999996E-2</v>
      </c>
      <c r="O89">
        <v>24.012603760000001</v>
      </c>
      <c r="P89">
        <v>480.76564270661697</v>
      </c>
      <c r="Q89">
        <v>31.405114659599999</v>
      </c>
      <c r="R89">
        <v>0.64607863804866605</v>
      </c>
      <c r="S89">
        <v>0.123713838786221</v>
      </c>
      <c r="T89">
        <v>0.42248806916987403</v>
      </c>
      <c r="U89">
        <v>0.42810503699793301</v>
      </c>
      <c r="V89">
        <v>0.42821585715443999</v>
      </c>
      <c r="W89">
        <v>0.60597532793983999</v>
      </c>
      <c r="X89">
        <v>9.4477991304177694E-2</v>
      </c>
      <c r="Y89">
        <v>0.29850550633144601</v>
      </c>
      <c r="Z89">
        <v>0.41180765374444001</v>
      </c>
      <c r="AA89">
        <v>7.2450835894891097E-4</v>
      </c>
    </row>
    <row r="90" spans="1:27" x14ac:dyDescent="0.55000000000000004">
      <c r="A90">
        <v>89</v>
      </c>
      <c r="B90">
        <v>17.26924846</v>
      </c>
      <c r="C90">
        <v>2.5540154770000001</v>
      </c>
      <c r="D90">
        <v>7.454875403</v>
      </c>
      <c r="E90">
        <v>33.042408709999997</v>
      </c>
      <c r="F90">
        <v>7.5386374829999996</v>
      </c>
      <c r="G90">
        <v>16.44531486</v>
      </c>
      <c r="H90">
        <v>17.26924846</v>
      </c>
      <c r="I90">
        <v>2.5540154770000001</v>
      </c>
      <c r="J90">
        <v>7.454875403</v>
      </c>
      <c r="K90">
        <v>33.042408709999997</v>
      </c>
      <c r="L90">
        <v>7.5386374829999996</v>
      </c>
      <c r="M90">
        <v>16.44531486</v>
      </c>
      <c r="N90">
        <v>5.9839657999999997E-2</v>
      </c>
      <c r="O90">
        <v>18.461835860000001</v>
      </c>
      <c r="P90">
        <v>184.90986257946801</v>
      </c>
      <c r="Q90">
        <v>55.729653726400002</v>
      </c>
      <c r="R90">
        <v>0.64515640665219198</v>
      </c>
      <c r="S90">
        <v>0.10312237687185</v>
      </c>
      <c r="T90">
        <v>0.38205295615422402</v>
      </c>
      <c r="U90">
        <v>0.39226990056324601</v>
      </c>
      <c r="V90">
        <v>0.36817051051780603</v>
      </c>
      <c r="W90">
        <v>0.49687552303542998</v>
      </c>
      <c r="X90">
        <v>7.9367660827217107E-2</v>
      </c>
      <c r="Y90">
        <v>0.22650812816820401</v>
      </c>
      <c r="Z90">
        <v>0.15838755913247701</v>
      </c>
      <c r="AA90">
        <v>1.28674007388915E-3</v>
      </c>
    </row>
    <row r="91" spans="1:27" x14ac:dyDescent="0.55000000000000004">
      <c r="A91">
        <v>90</v>
      </c>
      <c r="B91">
        <v>18.335801660000001</v>
      </c>
      <c r="C91">
        <v>1.6845223579999999</v>
      </c>
      <c r="D91">
        <v>9.6967950629999997</v>
      </c>
      <c r="E91">
        <v>29.685173120000002</v>
      </c>
      <c r="F91">
        <v>5.5804817370000004</v>
      </c>
      <c r="G91">
        <v>12.660572419999999</v>
      </c>
      <c r="H91">
        <v>18.335801660000001</v>
      </c>
      <c r="I91">
        <v>1.6845223579999999</v>
      </c>
      <c r="J91">
        <v>9.6967950629999997</v>
      </c>
      <c r="K91">
        <v>29.685173120000002</v>
      </c>
      <c r="L91">
        <v>5.5804817370000004</v>
      </c>
      <c r="M91">
        <v>12.660572419999999</v>
      </c>
      <c r="N91">
        <v>7.7135913E-2</v>
      </c>
      <c r="O91">
        <v>29.851182940000001</v>
      </c>
      <c r="P91">
        <v>184.90986257946801</v>
      </c>
      <c r="Q91">
        <v>22.554594231599999</v>
      </c>
      <c r="R91">
        <v>0.68544828035285199</v>
      </c>
      <c r="S91">
        <v>6.7781326772314604E-2</v>
      </c>
      <c r="T91">
        <v>0.49701983482359202</v>
      </c>
      <c r="U91">
        <v>0.29646243178912401</v>
      </c>
      <c r="V91">
        <v>0.271865352193294</v>
      </c>
      <c r="W91">
        <v>0.28852090980981199</v>
      </c>
      <c r="X91">
        <v>0.103881181756518</v>
      </c>
      <c r="Y91">
        <v>0.37423599997332402</v>
      </c>
      <c r="Z91">
        <v>0.15838755913247701</v>
      </c>
      <c r="AA91">
        <v>5.1993949683469597E-4</v>
      </c>
    </row>
    <row r="92" spans="1:27" x14ac:dyDescent="0.55000000000000004">
      <c r="A92">
        <v>91</v>
      </c>
      <c r="B92">
        <v>18.355259140000001</v>
      </c>
      <c r="C92">
        <v>1.2034244970000001</v>
      </c>
      <c r="D92">
        <v>5.2197137229999999</v>
      </c>
      <c r="E92">
        <v>26.883635080000001</v>
      </c>
      <c r="F92">
        <v>5.0042094400000003</v>
      </c>
      <c r="G92">
        <v>9.1255383230000007</v>
      </c>
      <c r="H92">
        <v>18.355259140000001</v>
      </c>
      <c r="I92">
        <v>1.2034244970000001</v>
      </c>
      <c r="J92">
        <v>5.2197137229999999</v>
      </c>
      <c r="K92">
        <v>26.883635080000001</v>
      </c>
      <c r="L92">
        <v>5.0042094400000003</v>
      </c>
      <c r="M92">
        <v>9.1255383230000007</v>
      </c>
      <c r="N92">
        <v>7.4223502999999996E-2</v>
      </c>
      <c r="O92">
        <v>20.1840744</v>
      </c>
      <c r="P92">
        <v>84.526202818632399</v>
      </c>
      <c r="Q92">
        <v>47.0762909659</v>
      </c>
      <c r="R92">
        <v>0.68618333822590805</v>
      </c>
      <c r="S92">
        <v>4.82268262974462E-2</v>
      </c>
      <c r="T92">
        <v>0.26743263043256998</v>
      </c>
      <c r="U92">
        <v>0.216513241125737</v>
      </c>
      <c r="V92">
        <v>0.24352338046097199</v>
      </c>
      <c r="W92">
        <v>9.3913040530388806E-2</v>
      </c>
      <c r="X92">
        <v>9.975350073599E-2</v>
      </c>
      <c r="Y92">
        <v>0.24884677782633299</v>
      </c>
      <c r="Z92">
        <v>7.2402297857023207E-2</v>
      </c>
      <c r="AA92">
        <v>1.08672826805492E-3</v>
      </c>
    </row>
    <row r="93" spans="1:27" x14ac:dyDescent="0.55000000000000004">
      <c r="A93">
        <v>92</v>
      </c>
      <c r="B93">
        <v>18.875309189999999</v>
      </c>
      <c r="C93">
        <v>1.381905387</v>
      </c>
      <c r="D93">
        <v>5.5445229060000001</v>
      </c>
      <c r="E93">
        <v>25.87442768</v>
      </c>
      <c r="F93">
        <v>4.5043247549999998</v>
      </c>
      <c r="G93">
        <v>7.983846572</v>
      </c>
      <c r="H93">
        <v>18.875309189999999</v>
      </c>
      <c r="I93">
        <v>1.381905387</v>
      </c>
      <c r="J93">
        <v>5.5445229060000001</v>
      </c>
      <c r="K93">
        <v>25.87442768</v>
      </c>
      <c r="L93">
        <v>4.5043247549999998</v>
      </c>
      <c r="M93">
        <v>7.983846572</v>
      </c>
      <c r="N93">
        <v>7.8034118E-2</v>
      </c>
      <c r="O93">
        <v>21.184988019999999</v>
      </c>
      <c r="P93">
        <v>169.052405637265</v>
      </c>
      <c r="Q93">
        <v>17.212530341499999</v>
      </c>
      <c r="R93">
        <v>0.70582960709709197</v>
      </c>
      <c r="S93">
        <v>5.5481285174077799E-2</v>
      </c>
      <c r="T93">
        <v>0.28408902477127601</v>
      </c>
      <c r="U93">
        <v>0.18771287729362501</v>
      </c>
      <c r="V93">
        <v>0.21893827080804301</v>
      </c>
      <c r="W93">
        <v>3.10615395435783E-2</v>
      </c>
      <c r="X93">
        <v>0.105154183748353</v>
      </c>
      <c r="Y93">
        <v>0.26182933406109798</v>
      </c>
      <c r="Z93">
        <v>0.144804595714046</v>
      </c>
      <c r="AA93">
        <v>3.9646427972973597E-4</v>
      </c>
    </row>
    <row r="94" spans="1:27" x14ac:dyDescent="0.55000000000000004">
      <c r="A94">
        <v>93</v>
      </c>
      <c r="B94">
        <v>17.44654637</v>
      </c>
      <c r="C94">
        <v>-0.94849457500000001</v>
      </c>
      <c r="D94">
        <v>5.5555529330000004</v>
      </c>
      <c r="E94">
        <v>27.730850520000001</v>
      </c>
      <c r="F94">
        <v>7.677096326</v>
      </c>
      <c r="G94">
        <v>12.25488019</v>
      </c>
      <c r="H94">
        <v>17.44654637</v>
      </c>
      <c r="I94">
        <v>0.94849457500000001</v>
      </c>
      <c r="J94">
        <v>5.5555529330000004</v>
      </c>
      <c r="K94">
        <v>27.730850520000001</v>
      </c>
      <c r="L94">
        <v>7.677096326</v>
      </c>
      <c r="M94">
        <v>12.25488019</v>
      </c>
      <c r="N94">
        <v>9.1617062999999999E-2</v>
      </c>
      <c r="O94">
        <v>25.387056350000002</v>
      </c>
      <c r="P94">
        <v>169.052405637265</v>
      </c>
      <c r="Q94">
        <v>19.849776995900001</v>
      </c>
      <c r="R94">
        <v>0.65185430507592901</v>
      </c>
      <c r="S94">
        <v>3.7865052353065198E-2</v>
      </c>
      <c r="T94">
        <v>0.28465465064915801</v>
      </c>
      <c r="U94">
        <v>0.240690742119271</v>
      </c>
      <c r="V94">
        <v>0.37498013269611502</v>
      </c>
      <c r="W94">
        <v>0.26618706569483802</v>
      </c>
      <c r="X94">
        <v>0.12440492944671599</v>
      </c>
      <c r="Y94">
        <v>0.31633312670261599</v>
      </c>
      <c r="Z94">
        <v>0.144804595714046</v>
      </c>
      <c r="AA94">
        <v>4.5742098296476101E-4</v>
      </c>
    </row>
    <row r="95" spans="1:27" x14ac:dyDescent="0.55000000000000004">
      <c r="A95">
        <v>94</v>
      </c>
      <c r="B95">
        <v>17.611775439999999</v>
      </c>
      <c r="C95">
        <v>1.6903623999999999E-2</v>
      </c>
      <c r="D95">
        <v>6.3796792480000004</v>
      </c>
      <c r="E95">
        <v>26.49076264</v>
      </c>
      <c r="F95">
        <v>6.5439440619999996</v>
      </c>
      <c r="G95">
        <v>10.2731344</v>
      </c>
      <c r="H95">
        <v>17.611775439999999</v>
      </c>
      <c r="I95">
        <v>1.6903623999999999E-2</v>
      </c>
      <c r="J95">
        <v>6.3796792480000004</v>
      </c>
      <c r="K95">
        <v>26.49076264</v>
      </c>
      <c r="L95">
        <v>6.5439440619999996</v>
      </c>
      <c r="M95">
        <v>10.2731344</v>
      </c>
      <c r="N95">
        <v>0.147034898</v>
      </c>
      <c r="O95">
        <v>37.037307740000003</v>
      </c>
      <c r="P95">
        <v>169.052405637265</v>
      </c>
      <c r="Q95">
        <v>5.3016108726700004</v>
      </c>
      <c r="R95">
        <v>0.65809627108392299</v>
      </c>
      <c r="S95">
        <v>0</v>
      </c>
      <c r="T95">
        <v>0.326916303354786</v>
      </c>
      <c r="U95">
        <v>0.20530160196057701</v>
      </c>
      <c r="V95">
        <v>0.31924993431265097</v>
      </c>
      <c r="W95">
        <v>0.15708958174902199</v>
      </c>
      <c r="X95">
        <v>0.20294714902714101</v>
      </c>
      <c r="Y95">
        <v>0.46744511159080898</v>
      </c>
      <c r="Z95">
        <v>0.144804595714046</v>
      </c>
      <c r="AA95">
        <v>1.21158068948726E-4</v>
      </c>
    </row>
    <row r="96" spans="1:27" x14ac:dyDescent="0.55000000000000004">
      <c r="A96">
        <v>95</v>
      </c>
      <c r="B96">
        <v>17.330133199999999</v>
      </c>
      <c r="C96">
        <v>-0.95493418600000002</v>
      </c>
      <c r="D96">
        <v>3.4491216370000002</v>
      </c>
      <c r="E96">
        <v>28.652611790000002</v>
      </c>
      <c r="F96">
        <v>7.8032601460000004</v>
      </c>
      <c r="G96">
        <v>12.91291279</v>
      </c>
      <c r="H96">
        <v>17.330133199999999</v>
      </c>
      <c r="I96">
        <v>0.95493418600000002</v>
      </c>
      <c r="J96">
        <v>3.4491216370000002</v>
      </c>
      <c r="K96">
        <v>28.652611790000002</v>
      </c>
      <c r="L96">
        <v>7.8032601460000004</v>
      </c>
      <c r="M96">
        <v>12.91291279</v>
      </c>
      <c r="N96">
        <v>6.4127854999999997E-2</v>
      </c>
      <c r="O96">
        <v>15.852300639999999</v>
      </c>
      <c r="P96">
        <v>84.526202818632399</v>
      </c>
      <c r="Q96">
        <v>50.939378514200001</v>
      </c>
      <c r="R96">
        <v>0.64745648906193798</v>
      </c>
      <c r="S96">
        <v>3.8126794062113202E-2</v>
      </c>
      <c r="T96">
        <v>0.176635690133602</v>
      </c>
      <c r="U96">
        <v>0.26699560268841599</v>
      </c>
      <c r="V96">
        <v>0.381185066437848</v>
      </c>
      <c r="W96">
        <v>0.30241255000093697</v>
      </c>
      <c r="X96">
        <v>8.5445208071314893E-2</v>
      </c>
      <c r="Y96">
        <v>0.192660614193671</v>
      </c>
      <c r="Z96">
        <v>7.2402297857023207E-2</v>
      </c>
      <c r="AA96">
        <v>1.1760187714137001E-3</v>
      </c>
    </row>
    <row r="97" spans="1:27" x14ac:dyDescent="0.55000000000000004">
      <c r="A97">
        <v>96</v>
      </c>
      <c r="B97">
        <v>17.88111275</v>
      </c>
      <c r="C97">
        <v>-2.652418505</v>
      </c>
      <c r="D97">
        <v>1.983971814</v>
      </c>
      <c r="E97">
        <v>31.7788653</v>
      </c>
      <c r="F97">
        <v>10.972509710000001</v>
      </c>
      <c r="G97">
        <v>16.39779759</v>
      </c>
      <c r="H97">
        <v>17.88111275</v>
      </c>
      <c r="I97">
        <v>2.652418505</v>
      </c>
      <c r="J97">
        <v>1.983971814</v>
      </c>
      <c r="K97">
        <v>31.7788653</v>
      </c>
      <c r="L97">
        <v>10.972509710000001</v>
      </c>
      <c r="M97">
        <v>16.39779759</v>
      </c>
      <c r="N97">
        <v>0.118662462</v>
      </c>
      <c r="O97">
        <v>34.38339233</v>
      </c>
      <c r="P97">
        <v>0</v>
      </c>
      <c r="Q97">
        <v>10.252571160700001</v>
      </c>
      <c r="R97">
        <v>0.66827120176473198</v>
      </c>
      <c r="S97">
        <v>0.107122024789126</v>
      </c>
      <c r="T97">
        <v>0.101501997816863</v>
      </c>
      <c r="U97">
        <v>0.35621139571511801</v>
      </c>
      <c r="V97">
        <v>0.53705371052011097</v>
      </c>
      <c r="W97">
        <v>0.49425964029853597</v>
      </c>
      <c r="X97">
        <v>0.16273565216257499</v>
      </c>
      <c r="Y97">
        <v>0.43302195522229597</v>
      </c>
      <c r="Z97">
        <v>0</v>
      </c>
      <c r="AA97">
        <v>2.3559340873855001E-4</v>
      </c>
    </row>
    <row r="98" spans="1:27" x14ac:dyDescent="0.55000000000000004">
      <c r="A98">
        <v>97</v>
      </c>
      <c r="B98">
        <v>11.16735761</v>
      </c>
      <c r="C98">
        <v>-7.3701107659999998</v>
      </c>
      <c r="D98">
        <v>-3.6577213020000001</v>
      </c>
      <c r="E98">
        <v>33.329079980000003</v>
      </c>
      <c r="F98">
        <v>15.533066420000001</v>
      </c>
      <c r="G98">
        <v>21.73980212</v>
      </c>
      <c r="H98">
        <v>11.16735761</v>
      </c>
      <c r="I98">
        <v>7.3701107659999998</v>
      </c>
      <c r="J98">
        <v>3.6577213020000001</v>
      </c>
      <c r="K98">
        <v>33.329079980000003</v>
      </c>
      <c r="L98">
        <v>15.533066420000001</v>
      </c>
      <c r="M98">
        <v>21.73980212</v>
      </c>
      <c r="N98">
        <v>0.21202357099999999</v>
      </c>
      <c r="O98">
        <v>57.324501040000001</v>
      </c>
      <c r="P98">
        <v>540.436464986499</v>
      </c>
      <c r="Q98">
        <v>5.8531499976000001</v>
      </c>
      <c r="R98">
        <v>0.41464130861169202</v>
      </c>
      <c r="S98">
        <v>0.29887535199422899</v>
      </c>
      <c r="T98">
        <v>0.18733279619159701</v>
      </c>
      <c r="U98">
        <v>0.40045081251079401</v>
      </c>
      <c r="V98">
        <v>0.76134901333330496</v>
      </c>
      <c r="W98">
        <v>0.78834340038067496</v>
      </c>
      <c r="X98">
        <v>0.29505386205565298</v>
      </c>
      <c r="Y98">
        <v>0.73058433020070501</v>
      </c>
      <c r="Z98">
        <v>0.46291966994788403</v>
      </c>
      <c r="AA98">
        <v>1.33906215469179E-4</v>
      </c>
    </row>
    <row r="99" spans="1:27" x14ac:dyDescent="0.55000000000000004">
      <c r="A99">
        <v>98</v>
      </c>
      <c r="B99">
        <v>10.79515848</v>
      </c>
      <c r="C99">
        <v>-6.3842765400000001</v>
      </c>
      <c r="D99">
        <v>-2.8371207140000001</v>
      </c>
      <c r="E99">
        <v>33.12856094</v>
      </c>
      <c r="F99">
        <v>15.064131870000001</v>
      </c>
      <c r="G99">
        <v>21.498369239999999</v>
      </c>
      <c r="H99">
        <v>10.79515848</v>
      </c>
      <c r="I99">
        <v>6.3842765400000001</v>
      </c>
      <c r="J99">
        <v>2.8371207140000001</v>
      </c>
      <c r="K99">
        <v>33.12856094</v>
      </c>
      <c r="L99">
        <v>15.064131870000001</v>
      </c>
      <c r="M99">
        <v>21.498369239999999</v>
      </c>
      <c r="N99">
        <v>0.17391774099999999</v>
      </c>
      <c r="O99">
        <v>56.685729979999998</v>
      </c>
      <c r="P99">
        <v>270.21823249324899</v>
      </c>
      <c r="Q99">
        <v>26.199595383199998</v>
      </c>
      <c r="R99">
        <v>0.400580500076819</v>
      </c>
      <c r="S99">
        <v>0.25880555039421999</v>
      </c>
      <c r="T99">
        <v>0.14525194471424899</v>
      </c>
      <c r="U99">
        <v>0.39472847901694003</v>
      </c>
      <c r="V99">
        <v>0.73828607966531901</v>
      </c>
      <c r="W99">
        <v>0.77505223060365103</v>
      </c>
      <c r="X99">
        <v>0.24104748545948401</v>
      </c>
      <c r="Y99">
        <v>0.72229901861948098</v>
      </c>
      <c r="Z99">
        <v>0.23145983497394201</v>
      </c>
      <c r="AA99">
        <v>6.0418920215471602E-4</v>
      </c>
    </row>
    <row r="100" spans="1:27" x14ac:dyDescent="0.55000000000000004">
      <c r="A100">
        <v>99</v>
      </c>
      <c r="B100">
        <v>16.81820063</v>
      </c>
      <c r="C100">
        <v>-1.865852004</v>
      </c>
      <c r="D100">
        <v>3.0070862639999998</v>
      </c>
      <c r="E100">
        <v>29.858721549999999</v>
      </c>
      <c r="F100">
        <v>9.6909961209999995</v>
      </c>
      <c r="G100">
        <v>14.40978481</v>
      </c>
      <c r="H100">
        <v>16.81820063</v>
      </c>
      <c r="I100">
        <v>1.865852004</v>
      </c>
      <c r="J100">
        <v>3.0070862639999998</v>
      </c>
      <c r="K100">
        <v>29.858721549999999</v>
      </c>
      <c r="L100">
        <v>9.6909961209999995</v>
      </c>
      <c r="M100">
        <v>14.40978481</v>
      </c>
      <c r="N100">
        <v>4.7283317999999998E-2</v>
      </c>
      <c r="O100">
        <v>9.2436914439999995</v>
      </c>
      <c r="P100">
        <v>440.18563653968101</v>
      </c>
      <c r="Q100">
        <v>29.210541552999999</v>
      </c>
      <c r="R100">
        <v>0.628116879510633</v>
      </c>
      <c r="S100">
        <v>7.5151574982199598E-2</v>
      </c>
      <c r="T100">
        <v>0.15396787201238499</v>
      </c>
      <c r="U100">
        <v>0.30141508862308197</v>
      </c>
      <c r="V100">
        <v>0.47402687042541097</v>
      </c>
      <c r="W100">
        <v>0.38481715103247999</v>
      </c>
      <c r="X100">
        <v>6.1571895016328398E-2</v>
      </c>
      <c r="Y100">
        <v>0.10694228765051</v>
      </c>
      <c r="Z100">
        <v>0.37704818750126201</v>
      </c>
      <c r="AA100">
        <v>6.7378350871034995E-4</v>
      </c>
    </row>
    <row r="101" spans="1:27" x14ac:dyDescent="0.55000000000000004">
      <c r="A101">
        <v>100</v>
      </c>
      <c r="B101">
        <v>17.25384506</v>
      </c>
      <c r="C101">
        <v>-1.0701408880000001</v>
      </c>
      <c r="D101">
        <v>3.583572126</v>
      </c>
      <c r="E101">
        <v>29.107503319999999</v>
      </c>
      <c r="F101">
        <v>9.6242021439999998</v>
      </c>
      <c r="G101">
        <v>14.0777641</v>
      </c>
      <c r="H101">
        <v>17.25384506</v>
      </c>
      <c r="I101">
        <v>1.0701408880000001</v>
      </c>
      <c r="J101">
        <v>3.583572126</v>
      </c>
      <c r="K101">
        <v>29.107503319999999</v>
      </c>
      <c r="L101">
        <v>9.6242021439999998</v>
      </c>
      <c r="M101">
        <v>14.0777641</v>
      </c>
      <c r="N101">
        <v>9.0773462999999999E-2</v>
      </c>
      <c r="O101">
        <v>27.71259689</v>
      </c>
      <c r="P101">
        <v>438.677290554965</v>
      </c>
      <c r="Q101">
        <v>2.6310029215099999</v>
      </c>
      <c r="R101">
        <v>0.64457450239522596</v>
      </c>
      <c r="S101">
        <v>4.2809437016052797E-2</v>
      </c>
      <c r="T101">
        <v>0.18353038548405901</v>
      </c>
      <c r="U101">
        <v>0.27997711825017901</v>
      </c>
      <c r="V101">
        <v>0.47074183830105198</v>
      </c>
      <c r="W101">
        <v>0.36653901250346999</v>
      </c>
      <c r="X101">
        <v>0.12320931766509299</v>
      </c>
      <c r="Y101">
        <v>0.34649702919479702</v>
      </c>
      <c r="Z101">
        <v>0.37575618914317599</v>
      </c>
      <c r="AA101" s="1">
        <v>5.9430260491994598E-5</v>
      </c>
    </row>
    <row r="102" spans="1:27" x14ac:dyDescent="0.55000000000000004">
      <c r="A102">
        <v>101</v>
      </c>
      <c r="B102">
        <v>16.746742739999998</v>
      </c>
      <c r="C102">
        <v>-1.073442612</v>
      </c>
      <c r="D102">
        <v>3.007737074</v>
      </c>
      <c r="E102">
        <v>28.83111641</v>
      </c>
      <c r="F102">
        <v>8.8044274789999992</v>
      </c>
      <c r="G102">
        <v>13.412284939999999</v>
      </c>
      <c r="H102">
        <v>16.746742739999998</v>
      </c>
      <c r="I102">
        <v>1.073442612</v>
      </c>
      <c r="J102">
        <v>3.007737074</v>
      </c>
      <c r="K102">
        <v>28.83111641</v>
      </c>
      <c r="L102">
        <v>8.8044274789999992</v>
      </c>
      <c r="M102">
        <v>13.412284939999999</v>
      </c>
      <c r="N102">
        <v>8.3155215000000005E-2</v>
      </c>
      <c r="O102">
        <v>23.243194580000001</v>
      </c>
      <c r="P102">
        <v>438.677290554965</v>
      </c>
      <c r="Q102">
        <v>5.2897784212800003</v>
      </c>
      <c r="R102">
        <v>0.62541736833876205</v>
      </c>
      <c r="S102">
        <v>4.2943637495330901E-2</v>
      </c>
      <c r="T102">
        <v>0.154001245908712</v>
      </c>
      <c r="U102">
        <v>0.27208969732318899</v>
      </c>
      <c r="V102">
        <v>0.43042403974773502</v>
      </c>
      <c r="W102">
        <v>0.32990358613308002</v>
      </c>
      <c r="X102">
        <v>0.112412177949438</v>
      </c>
      <c r="Y102">
        <v>0.28852572611135602</v>
      </c>
      <c r="Z102">
        <v>0.37575618914317599</v>
      </c>
      <c r="AA102">
        <v>1.2088457643079299E-4</v>
      </c>
    </row>
    <row r="103" spans="1:27" x14ac:dyDescent="0.55000000000000004">
      <c r="A103">
        <v>102</v>
      </c>
      <c r="B103">
        <v>17.823123840000001</v>
      </c>
      <c r="C103">
        <v>-1.833216306</v>
      </c>
      <c r="D103">
        <v>2.7779571430000001</v>
      </c>
      <c r="E103">
        <v>29.471076759999999</v>
      </c>
      <c r="F103">
        <v>9.025679598</v>
      </c>
      <c r="G103">
        <v>13.61136209</v>
      </c>
      <c r="H103">
        <v>17.823123840000001</v>
      </c>
      <c r="I103">
        <v>1.833216306</v>
      </c>
      <c r="J103">
        <v>2.7779571430000001</v>
      </c>
      <c r="K103">
        <v>29.471076759999999</v>
      </c>
      <c r="L103">
        <v>9.025679598</v>
      </c>
      <c r="M103">
        <v>13.61136209</v>
      </c>
      <c r="N103">
        <v>7.2155348999999994E-2</v>
      </c>
      <c r="O103">
        <v>20.201532360000002</v>
      </c>
      <c r="P103">
        <v>438.677290554965</v>
      </c>
      <c r="Q103">
        <v>7.0459902397700001</v>
      </c>
      <c r="R103">
        <v>0.66608051700774196</v>
      </c>
      <c r="S103">
        <v>7.3825078184412599E-2</v>
      </c>
      <c r="T103">
        <v>0.14221800410961399</v>
      </c>
      <c r="U103">
        <v>0.29035263407744299</v>
      </c>
      <c r="V103">
        <v>0.44130556456691999</v>
      </c>
      <c r="W103">
        <v>0.34086302214434799</v>
      </c>
      <c r="X103">
        <v>9.6822361228390497E-2</v>
      </c>
      <c r="Y103">
        <v>0.249073219891777</v>
      </c>
      <c r="Z103">
        <v>0.37575618914317599</v>
      </c>
      <c r="AA103">
        <v>1.61477246236225E-4</v>
      </c>
    </row>
    <row r="104" spans="1:27" x14ac:dyDescent="0.55000000000000004">
      <c r="A104">
        <v>103</v>
      </c>
      <c r="B104">
        <v>19.365959879999998</v>
      </c>
      <c r="C104">
        <v>0.79931807200000005</v>
      </c>
      <c r="D104">
        <v>16.95631891</v>
      </c>
      <c r="E104">
        <v>33.554301979999998</v>
      </c>
      <c r="F104">
        <v>9.8980156089999998</v>
      </c>
      <c r="G104">
        <v>19.354056830000001</v>
      </c>
      <c r="H104">
        <v>19.365959879999998</v>
      </c>
      <c r="I104">
        <v>0.79931807200000005</v>
      </c>
      <c r="J104">
        <v>16.95631891</v>
      </c>
      <c r="K104">
        <v>33.554301979999998</v>
      </c>
      <c r="L104">
        <v>9.8980156089999998</v>
      </c>
      <c r="M104">
        <v>19.354056830000001</v>
      </c>
      <c r="N104">
        <v>9.0458021E-2</v>
      </c>
      <c r="O104">
        <v>36.738079069999998</v>
      </c>
      <c r="P104">
        <v>209.98677700671499</v>
      </c>
      <c r="Q104">
        <v>52.246010939400001</v>
      </c>
      <c r="R104">
        <v>0.72436523723032997</v>
      </c>
      <c r="S104">
        <v>3.1801687214235999E-2</v>
      </c>
      <c r="T104">
        <v>0.86929222807939199</v>
      </c>
      <c r="U104">
        <v>0.40687810936077301</v>
      </c>
      <c r="V104">
        <v>0.48420841221994199</v>
      </c>
      <c r="W104">
        <v>0.65700525913775598</v>
      </c>
      <c r="X104">
        <v>0.122762250131169</v>
      </c>
      <c r="Y104">
        <v>0.463563904503899</v>
      </c>
      <c r="Z104">
        <v>0.17986759925201701</v>
      </c>
      <c r="AA104">
        <v>1.2062199681228899E-3</v>
      </c>
    </row>
    <row r="105" spans="1:27" x14ac:dyDescent="0.55000000000000004">
      <c r="A105">
        <v>104</v>
      </c>
      <c r="B105">
        <v>17.482526119999999</v>
      </c>
      <c r="C105">
        <v>3.1067791480000002</v>
      </c>
      <c r="D105">
        <v>8.2615574340000002</v>
      </c>
      <c r="E105">
        <v>33.259031589999999</v>
      </c>
      <c r="F105">
        <v>8.6326287669999999</v>
      </c>
      <c r="G105">
        <v>18.477050070000001</v>
      </c>
      <c r="H105">
        <v>17.482526119999999</v>
      </c>
      <c r="I105">
        <v>3.1067791480000002</v>
      </c>
      <c r="J105">
        <v>8.2615574340000002</v>
      </c>
      <c r="K105">
        <v>33.259031589999999</v>
      </c>
      <c r="L105">
        <v>8.6326287669999999</v>
      </c>
      <c r="M105">
        <v>18.477050070000001</v>
      </c>
      <c r="N105">
        <v>7.4323468000000004E-2</v>
      </c>
      <c r="O105">
        <v>29.835983280000001</v>
      </c>
      <c r="P105">
        <v>120.191410676654</v>
      </c>
      <c r="Q105">
        <v>67.489447876400007</v>
      </c>
      <c r="R105">
        <v>0.65321353548542105</v>
      </c>
      <c r="S105">
        <v>0.125589775593167</v>
      </c>
      <c r="T105">
        <v>0.42342005633957902</v>
      </c>
      <c r="U105">
        <v>0.39845179910893702</v>
      </c>
      <c r="V105">
        <v>0.42197471073347997</v>
      </c>
      <c r="W105">
        <v>0.60872498454235902</v>
      </c>
      <c r="X105">
        <v>9.9895178464475098E-2</v>
      </c>
      <c r="Y105">
        <v>0.37403884965310003</v>
      </c>
      <c r="Z105">
        <v>0.10295191343611</v>
      </c>
      <c r="AA105">
        <v>1.5585532093463699E-3</v>
      </c>
    </row>
    <row r="106" spans="1:27" x14ac:dyDescent="0.55000000000000004">
      <c r="A106">
        <v>105</v>
      </c>
      <c r="B106">
        <v>17.139889289999999</v>
      </c>
      <c r="C106">
        <v>3.193185336</v>
      </c>
      <c r="D106">
        <v>8.3704269589999996</v>
      </c>
      <c r="E106">
        <v>31.089038810000002</v>
      </c>
      <c r="F106">
        <v>7.3598925949999998</v>
      </c>
      <c r="G106">
        <v>16.536940359999999</v>
      </c>
      <c r="H106">
        <v>17.139889289999999</v>
      </c>
      <c r="I106">
        <v>3.193185336</v>
      </c>
      <c r="J106">
        <v>8.3704269589999996</v>
      </c>
      <c r="K106">
        <v>31.089038810000002</v>
      </c>
      <c r="L106">
        <v>7.3598925949999998</v>
      </c>
      <c r="M106">
        <v>16.536940359999999</v>
      </c>
      <c r="N106">
        <v>4.8682872000000002E-2</v>
      </c>
      <c r="O106">
        <v>19.487987520000001</v>
      </c>
      <c r="P106">
        <v>480.76564270661697</v>
      </c>
      <c r="Q106">
        <v>12.1058644273</v>
      </c>
      <c r="R106">
        <v>0.64026952117881697</v>
      </c>
      <c r="S106">
        <v>0.12910180501846</v>
      </c>
      <c r="T106">
        <v>0.429002945724414</v>
      </c>
      <c r="U106">
        <v>0.33652539867127101</v>
      </c>
      <c r="V106">
        <v>0.35937955771760099</v>
      </c>
      <c r="W106">
        <v>0.50191961676617902</v>
      </c>
      <c r="X106">
        <v>6.35554455751451E-2</v>
      </c>
      <c r="Y106">
        <v>0.239818039598271</v>
      </c>
      <c r="Z106">
        <v>0.41180765374444001</v>
      </c>
      <c r="AA106">
        <v>2.7842999646201101E-4</v>
      </c>
    </row>
    <row r="107" spans="1:27" x14ac:dyDescent="0.55000000000000004">
      <c r="A107">
        <v>106</v>
      </c>
      <c r="B107">
        <v>17.165778719999999</v>
      </c>
      <c r="C107">
        <v>3.2926256459999999</v>
      </c>
      <c r="D107">
        <v>8.5372910789999992</v>
      </c>
      <c r="E107">
        <v>30.72006975</v>
      </c>
      <c r="F107">
        <v>7.9758635020000002</v>
      </c>
      <c r="G107">
        <v>16.65044193</v>
      </c>
      <c r="H107">
        <v>17.165778719999999</v>
      </c>
      <c r="I107">
        <v>3.2926256459999999</v>
      </c>
      <c r="J107">
        <v>8.5372910789999992</v>
      </c>
      <c r="K107">
        <v>30.72006975</v>
      </c>
      <c r="L107">
        <v>7.9758635020000002</v>
      </c>
      <c r="M107">
        <v>16.65044193</v>
      </c>
      <c r="N107">
        <v>0.118581086</v>
      </c>
      <c r="O107">
        <v>46.475654599999999</v>
      </c>
      <c r="P107">
        <v>240.382821353308</v>
      </c>
      <c r="Q107">
        <v>52.546231557500001</v>
      </c>
      <c r="R107">
        <v>0.64124756300902497</v>
      </c>
      <c r="S107">
        <v>0.13314361386182999</v>
      </c>
      <c r="T107">
        <v>0.43755982997882598</v>
      </c>
      <c r="U107">
        <v>0.32599590476269302</v>
      </c>
      <c r="V107">
        <v>0.38967396910091701</v>
      </c>
      <c r="W107">
        <v>0.50816801440294201</v>
      </c>
      <c r="X107">
        <v>0.16262032012803099</v>
      </c>
      <c r="Y107">
        <v>0.58986713325654505</v>
      </c>
      <c r="Z107">
        <v>0.20590382687222</v>
      </c>
      <c r="AA107">
        <v>1.21315919737247E-3</v>
      </c>
    </row>
    <row r="108" spans="1:27" x14ac:dyDescent="0.55000000000000004">
      <c r="A108">
        <v>107</v>
      </c>
      <c r="B108">
        <v>19.469775739999999</v>
      </c>
      <c r="C108">
        <v>1.8954883060000001</v>
      </c>
      <c r="D108">
        <v>10.924762299999999</v>
      </c>
      <c r="E108">
        <v>27.291571950000002</v>
      </c>
      <c r="F108">
        <v>3.9513656469999998</v>
      </c>
      <c r="G108">
        <v>8.6354503810000001</v>
      </c>
      <c r="H108">
        <v>19.469775739999999</v>
      </c>
      <c r="I108">
        <v>1.8954883060000001</v>
      </c>
      <c r="J108">
        <v>10.924762299999999</v>
      </c>
      <c r="K108">
        <v>27.291571950000002</v>
      </c>
      <c r="L108">
        <v>3.9513656469999998</v>
      </c>
      <c r="M108">
        <v>8.6354503810000001</v>
      </c>
      <c r="N108">
        <v>7.8421413999999995E-2</v>
      </c>
      <c r="O108">
        <v>29.074453349999999</v>
      </c>
      <c r="P108">
        <v>124.487643543278</v>
      </c>
      <c r="Q108">
        <v>57.040926124099997</v>
      </c>
      <c r="R108">
        <v>0.72828715647378195</v>
      </c>
      <c r="S108">
        <v>7.6356159596913498E-2</v>
      </c>
      <c r="T108">
        <v>0.55999067310338002</v>
      </c>
      <c r="U108">
        <v>0.22815478306898099</v>
      </c>
      <c r="V108">
        <v>0.19174287812709701</v>
      </c>
      <c r="W108">
        <v>6.6933111190217096E-2</v>
      </c>
      <c r="X108">
        <v>0.10570308804016899</v>
      </c>
      <c r="Y108">
        <v>0.364161268867776</v>
      </c>
      <c r="Z108">
        <v>0.106631921780266</v>
      </c>
      <c r="AA108">
        <v>1.3170485178390201E-3</v>
      </c>
    </row>
    <row r="109" spans="1:27" x14ac:dyDescent="0.55000000000000004">
      <c r="A109">
        <v>108</v>
      </c>
      <c r="B109">
        <v>19.317441599999999</v>
      </c>
      <c r="C109">
        <v>1.8031251669999999</v>
      </c>
      <c r="D109">
        <v>8.0794416009999992</v>
      </c>
      <c r="E109">
        <v>27.136968070000002</v>
      </c>
      <c r="F109">
        <v>4.0995247350000001</v>
      </c>
      <c r="G109">
        <v>8.7662557640000003</v>
      </c>
      <c r="H109">
        <v>19.317441599999999</v>
      </c>
      <c r="I109">
        <v>1.8031251669999999</v>
      </c>
      <c r="J109">
        <v>8.0794416009999992</v>
      </c>
      <c r="K109">
        <v>27.136968070000002</v>
      </c>
      <c r="L109">
        <v>4.0995247350000001</v>
      </c>
      <c r="M109">
        <v>8.7662557640000003</v>
      </c>
      <c r="N109">
        <v>7.6152607999999997E-2</v>
      </c>
      <c r="O109">
        <v>25.74955177</v>
      </c>
      <c r="P109">
        <v>248.975287086555</v>
      </c>
      <c r="Q109">
        <v>32.127270886799998</v>
      </c>
      <c r="R109">
        <v>0.72253233062057698</v>
      </c>
      <c r="S109">
        <v>7.2602006457089294E-2</v>
      </c>
      <c r="T109">
        <v>0.41408105581701699</v>
      </c>
      <c r="U109">
        <v>0.223742758351509</v>
      </c>
      <c r="V109">
        <v>0.199029573506768</v>
      </c>
      <c r="W109">
        <v>7.4134104498177505E-2</v>
      </c>
      <c r="X109">
        <v>0.102487569804255</v>
      </c>
      <c r="Y109">
        <v>0.32103494819945499</v>
      </c>
      <c r="Z109">
        <v>0.21326384356053199</v>
      </c>
      <c r="AA109">
        <v>7.4120010932323104E-4</v>
      </c>
    </row>
    <row r="110" spans="1:27" x14ac:dyDescent="0.55000000000000004">
      <c r="A110">
        <v>109</v>
      </c>
      <c r="B110">
        <v>19.31845092</v>
      </c>
      <c r="C110">
        <v>1.659523946</v>
      </c>
      <c r="D110">
        <v>4.364205932</v>
      </c>
      <c r="E110">
        <v>27.23132287</v>
      </c>
      <c r="F110">
        <v>4.0011011060000001</v>
      </c>
      <c r="G110">
        <v>8.8253158200000001</v>
      </c>
      <c r="H110">
        <v>19.31845092</v>
      </c>
      <c r="I110">
        <v>1.659523946</v>
      </c>
      <c r="J110">
        <v>4.364205932</v>
      </c>
      <c r="K110">
        <v>27.23132287</v>
      </c>
      <c r="L110">
        <v>4.0011011060000001</v>
      </c>
      <c r="M110">
        <v>8.8253158200000001</v>
      </c>
      <c r="N110">
        <v>7.5663619000000001E-2</v>
      </c>
      <c r="O110">
        <v>25.633535389999999</v>
      </c>
      <c r="P110">
        <v>248.975287086555</v>
      </c>
      <c r="Q110">
        <v>21.273265584899999</v>
      </c>
      <c r="R110">
        <v>0.72257046035846895</v>
      </c>
      <c r="S110">
        <v>6.6765251875808396E-2</v>
      </c>
      <c r="T110">
        <v>0.223561718301582</v>
      </c>
      <c r="U110">
        <v>0.22643541852156501</v>
      </c>
      <c r="V110">
        <v>0.194188945689966</v>
      </c>
      <c r="W110">
        <v>7.7385431456363701E-2</v>
      </c>
      <c r="X110">
        <v>0.101794538735639</v>
      </c>
      <c r="Y110">
        <v>0.31953013385043699</v>
      </c>
      <c r="Z110">
        <v>0.21326384356053199</v>
      </c>
      <c r="AA110">
        <v>4.9032316575200595E-4</v>
      </c>
    </row>
    <row r="111" spans="1:27" x14ac:dyDescent="0.55000000000000004">
      <c r="A111">
        <v>110</v>
      </c>
      <c r="B111">
        <v>19.355532400000001</v>
      </c>
      <c r="C111">
        <v>2.05375489</v>
      </c>
      <c r="D111">
        <v>13.12325253</v>
      </c>
      <c r="E111">
        <v>27.090240779999998</v>
      </c>
      <c r="F111">
        <v>3.9630784509999999</v>
      </c>
      <c r="G111">
        <v>8.3027446479999991</v>
      </c>
      <c r="H111">
        <v>19.355532400000001</v>
      </c>
      <c r="I111">
        <v>2.05375489</v>
      </c>
      <c r="J111">
        <v>13.12325253</v>
      </c>
      <c r="K111">
        <v>27.090240779999998</v>
      </c>
      <c r="L111">
        <v>3.9630784509999999</v>
      </c>
      <c r="M111">
        <v>8.3027446479999991</v>
      </c>
      <c r="N111">
        <v>6.1227209999999997E-2</v>
      </c>
      <c r="O111">
        <v>15.9275713</v>
      </c>
      <c r="P111">
        <v>124.487643543278</v>
      </c>
      <c r="Q111">
        <v>28.692728727199999</v>
      </c>
      <c r="R111">
        <v>0.72397131153850702</v>
      </c>
      <c r="S111">
        <v>8.2788996329030695E-2</v>
      </c>
      <c r="T111">
        <v>0.67273046661060998</v>
      </c>
      <c r="U111">
        <v>0.22240927332862001</v>
      </c>
      <c r="V111">
        <v>0.192318932123796</v>
      </c>
      <c r="W111">
        <v>4.86172613229904E-2</v>
      </c>
      <c r="X111">
        <v>8.1334201271520898E-2</v>
      </c>
      <c r="Y111">
        <v>0.19363692779031999</v>
      </c>
      <c r="Z111">
        <v>0.106631921780266</v>
      </c>
      <c r="AA111">
        <v>6.6181490399113796E-4</v>
      </c>
    </row>
    <row r="112" spans="1:27" x14ac:dyDescent="0.55000000000000004">
      <c r="A112">
        <v>111</v>
      </c>
      <c r="B112">
        <v>18.99808496</v>
      </c>
      <c r="C112">
        <v>1.6219154140000001</v>
      </c>
      <c r="D112">
        <v>5.5716135910000002</v>
      </c>
      <c r="E112">
        <v>26.16250728</v>
      </c>
      <c r="F112">
        <v>3.941869428</v>
      </c>
      <c r="G112">
        <v>8.0088449189999995</v>
      </c>
      <c r="H112">
        <v>18.99808496</v>
      </c>
      <c r="I112">
        <v>1.6219154140000001</v>
      </c>
      <c r="J112">
        <v>5.5716135910000002</v>
      </c>
      <c r="K112">
        <v>26.16250728</v>
      </c>
      <c r="L112">
        <v>3.941869428</v>
      </c>
      <c r="M112">
        <v>8.0088449189999995</v>
      </c>
      <c r="N112">
        <v>7.4816778E-2</v>
      </c>
      <c r="O112">
        <v>23.874645229999999</v>
      </c>
      <c r="P112">
        <v>169.052405637265</v>
      </c>
      <c r="Q112">
        <v>26.536129217599999</v>
      </c>
      <c r="R112">
        <v>0.71046778718819403</v>
      </c>
      <c r="S112">
        <v>6.5236631367447603E-2</v>
      </c>
      <c r="T112">
        <v>0.28547825006379401</v>
      </c>
      <c r="U112">
        <v>0.19593397960877801</v>
      </c>
      <c r="V112">
        <v>0.19127583924311201</v>
      </c>
      <c r="W112">
        <v>3.2437728545349501E-2</v>
      </c>
      <c r="X112">
        <v>0.10059433357115199</v>
      </c>
      <c r="Y112">
        <v>0.29671608680712103</v>
      </c>
      <c r="Z112">
        <v>0.144804595714046</v>
      </c>
      <c r="AA112">
        <v>6.1196776660481797E-4</v>
      </c>
    </row>
    <row r="113" spans="1:27" x14ac:dyDescent="0.55000000000000004">
      <c r="A113">
        <v>112</v>
      </c>
      <c r="B113">
        <v>17.81841447</v>
      </c>
      <c r="C113">
        <v>0.11786975399999999</v>
      </c>
      <c r="D113">
        <v>4.5502582589999996</v>
      </c>
      <c r="E113">
        <v>27.035169379999999</v>
      </c>
      <c r="F113">
        <v>7.0635169720000004</v>
      </c>
      <c r="G113">
        <v>11.326552380000001</v>
      </c>
      <c r="H113">
        <v>17.81841447</v>
      </c>
      <c r="I113">
        <v>0.11786975399999999</v>
      </c>
      <c r="J113">
        <v>4.5502582589999996</v>
      </c>
      <c r="K113">
        <v>27.035169379999999</v>
      </c>
      <c r="L113">
        <v>7.0635169720000004</v>
      </c>
      <c r="M113">
        <v>11.326552380000001</v>
      </c>
      <c r="N113">
        <v>9.0530552E-2</v>
      </c>
      <c r="O113">
        <v>26.827688219999999</v>
      </c>
      <c r="P113">
        <v>169.052405637265</v>
      </c>
      <c r="Q113">
        <v>2.3152362947</v>
      </c>
      <c r="R113">
        <v>0.66590260807525803</v>
      </c>
      <c r="S113">
        <v>4.1038266786861399E-3</v>
      </c>
      <c r="T113">
        <v>0.23310258441110299</v>
      </c>
      <c r="U113">
        <v>0.22083766737652</v>
      </c>
      <c r="V113">
        <v>0.34480334162506299</v>
      </c>
      <c r="W113">
        <v>0.215081505708797</v>
      </c>
      <c r="X113">
        <v>0.122865046383104</v>
      </c>
      <c r="Y113">
        <v>0.33501913905388198</v>
      </c>
      <c r="Z113">
        <v>0.144804595714046</v>
      </c>
      <c r="AA113" s="1">
        <v>5.2131704427900803E-5</v>
      </c>
    </row>
    <row r="114" spans="1:27" x14ac:dyDescent="0.55000000000000004">
      <c r="A114">
        <v>113</v>
      </c>
      <c r="B114">
        <v>16.745017099999998</v>
      </c>
      <c r="C114">
        <v>-4.6766654760000002</v>
      </c>
      <c r="D114">
        <v>3.3066122529999999</v>
      </c>
      <c r="E114">
        <v>30.292977149999999</v>
      </c>
      <c r="F114">
        <v>11.6753573</v>
      </c>
      <c r="G114">
        <v>17.013014819999999</v>
      </c>
      <c r="H114">
        <v>16.745017099999998</v>
      </c>
      <c r="I114">
        <v>4.6766654760000002</v>
      </c>
      <c r="J114">
        <v>3.3066122529999999</v>
      </c>
      <c r="K114">
        <v>30.292977149999999</v>
      </c>
      <c r="L114">
        <v>11.6753573</v>
      </c>
      <c r="M114">
        <v>17.013014819999999</v>
      </c>
      <c r="N114">
        <v>0.101010956</v>
      </c>
      <c r="O114">
        <v>32.084873199999997</v>
      </c>
      <c r="P114">
        <v>289.526205305784</v>
      </c>
      <c r="Q114">
        <v>13.526772248</v>
      </c>
      <c r="R114">
        <v>0.62535217771448404</v>
      </c>
      <c r="S114">
        <v>0.189398712266792</v>
      </c>
      <c r="T114">
        <v>0.16932773019556599</v>
      </c>
      <c r="U114">
        <v>0.31380770413118497</v>
      </c>
      <c r="V114">
        <v>0.57162085287904796</v>
      </c>
      <c r="W114">
        <v>0.52812808710528503</v>
      </c>
      <c r="X114">
        <v>0.13771864346533499</v>
      </c>
      <c r="Y114">
        <v>0.40320853949326502</v>
      </c>
      <c r="Z114">
        <v>0.24799839404760601</v>
      </c>
      <c r="AA114">
        <v>3.1127252797351302E-4</v>
      </c>
    </row>
    <row r="115" spans="1:27" x14ac:dyDescent="0.55000000000000004">
      <c r="A115">
        <v>114</v>
      </c>
      <c r="B115">
        <v>17.32039061</v>
      </c>
      <c r="C115">
        <v>4.0262606459999999</v>
      </c>
      <c r="D115">
        <v>6.8732184470000002</v>
      </c>
      <c r="E115">
        <v>39.457200049999997</v>
      </c>
      <c r="F115">
        <v>7.9719556860000003</v>
      </c>
      <c r="G115">
        <v>16.549127429999999</v>
      </c>
      <c r="H115">
        <v>17.32039061</v>
      </c>
      <c r="I115">
        <v>4.0262606459999999</v>
      </c>
      <c r="J115">
        <v>6.8732184470000002</v>
      </c>
      <c r="K115">
        <v>39.457200049999997</v>
      </c>
      <c r="L115">
        <v>7.9719556860000003</v>
      </c>
      <c r="M115">
        <v>16.549127429999999</v>
      </c>
      <c r="N115">
        <v>6.0334145999999998E-2</v>
      </c>
      <c r="O115">
        <v>23.5436306</v>
      </c>
      <c r="P115">
        <v>0</v>
      </c>
      <c r="Q115">
        <v>4.2723973766299999</v>
      </c>
      <c r="R115">
        <v>0.64708843690495499</v>
      </c>
      <c r="S115">
        <v>0.16296263223381099</v>
      </c>
      <c r="T115">
        <v>0.35222526612556099</v>
      </c>
      <c r="U115">
        <v>0.57533269270991405</v>
      </c>
      <c r="V115">
        <v>0.389481776605835</v>
      </c>
      <c r="W115">
        <v>0.50259052959484796</v>
      </c>
      <c r="X115">
        <v>8.00684854818772E-2</v>
      </c>
      <c r="Y115">
        <v>0.29242259338008098</v>
      </c>
      <c r="Z115">
        <v>0</v>
      </c>
      <c r="AA115" s="1">
        <v>9.7369068576340999E-5</v>
      </c>
    </row>
    <row r="116" spans="1:27" x14ac:dyDescent="0.55000000000000004">
      <c r="A116">
        <v>115</v>
      </c>
      <c r="B116">
        <v>17.580294219999999</v>
      </c>
      <c r="C116">
        <v>4.1159594930000001</v>
      </c>
      <c r="D116">
        <v>7.0407181659999996</v>
      </c>
      <c r="E116">
        <v>36.286042770000002</v>
      </c>
      <c r="F116">
        <v>7.7033622690000003</v>
      </c>
      <c r="G116">
        <v>15.574423400000001</v>
      </c>
      <c r="H116">
        <v>17.580294219999999</v>
      </c>
      <c r="I116">
        <v>4.1159594930000001</v>
      </c>
      <c r="J116">
        <v>7.0407181659999996</v>
      </c>
      <c r="K116">
        <v>36.286042770000002</v>
      </c>
      <c r="L116">
        <v>7.7033622690000003</v>
      </c>
      <c r="M116">
        <v>15.574423400000001</v>
      </c>
      <c r="N116">
        <v>5.9266607999999998E-2</v>
      </c>
      <c r="O116">
        <v>20.04963493</v>
      </c>
      <c r="P116">
        <v>0</v>
      </c>
      <c r="Q116">
        <v>12.060257716700001</v>
      </c>
      <c r="R116">
        <v>0.65690698456714802</v>
      </c>
      <c r="S116">
        <v>0.16660849368622099</v>
      </c>
      <c r="T116">
        <v>0.36081474424781801</v>
      </c>
      <c r="U116">
        <v>0.48483545355684299</v>
      </c>
      <c r="V116">
        <v>0.37627193280155802</v>
      </c>
      <c r="W116">
        <v>0.44893190304373698</v>
      </c>
      <c r="X116">
        <v>7.8555492345164998E-2</v>
      </c>
      <c r="Y116">
        <v>0.24710300299444801</v>
      </c>
      <c r="Z116">
        <v>0</v>
      </c>
      <c r="AA116">
        <v>2.7737585360474999E-4</v>
      </c>
    </row>
    <row r="117" spans="1:27" x14ac:dyDescent="0.55000000000000004">
      <c r="A117">
        <v>116</v>
      </c>
      <c r="B117">
        <v>16.059429160000001</v>
      </c>
      <c r="C117">
        <v>1.2393686310000001</v>
      </c>
      <c r="D117">
        <v>4.5088734930000003</v>
      </c>
      <c r="E117">
        <v>38.295309179999997</v>
      </c>
      <c r="F117">
        <v>11.50635211</v>
      </c>
      <c r="G117">
        <v>20.725833659999999</v>
      </c>
      <c r="H117">
        <v>16.059429160000001</v>
      </c>
      <c r="I117">
        <v>1.2393686310000001</v>
      </c>
      <c r="J117">
        <v>4.5088734930000003</v>
      </c>
      <c r="K117">
        <v>38.295309179999997</v>
      </c>
      <c r="L117">
        <v>11.50635211</v>
      </c>
      <c r="M117">
        <v>20.725833659999999</v>
      </c>
      <c r="N117">
        <v>8.1747345999999999E-2</v>
      </c>
      <c r="O117">
        <v>35.955406189999998</v>
      </c>
      <c r="P117">
        <v>236.68462410171901</v>
      </c>
      <c r="Q117">
        <v>1.3950066736</v>
      </c>
      <c r="R117">
        <v>0.59945227634137399</v>
      </c>
      <c r="S117">
        <v>4.9687796387628602E-2</v>
      </c>
      <c r="T117">
        <v>0.23098035074841999</v>
      </c>
      <c r="U117">
        <v>0.54217510806556002</v>
      </c>
      <c r="V117">
        <v>0.56330891364037206</v>
      </c>
      <c r="W117">
        <v>0.73252321983854196</v>
      </c>
      <c r="X117">
        <v>0.110416842762878</v>
      </c>
      <c r="Y117">
        <v>0.453412084731454</v>
      </c>
      <c r="Z117">
        <v>0.20273607568957</v>
      </c>
      <c r="AA117" s="1">
        <v>3.0861731887454201E-5</v>
      </c>
    </row>
    <row r="118" spans="1:27" x14ac:dyDescent="0.55000000000000004">
      <c r="A118">
        <v>117</v>
      </c>
      <c r="B118">
        <v>17.477475389999999</v>
      </c>
      <c r="C118">
        <v>1.9172127649999999</v>
      </c>
      <c r="D118">
        <v>5.695305523</v>
      </c>
      <c r="E118">
        <v>34.905699730000002</v>
      </c>
      <c r="F118">
        <v>10.884336660000001</v>
      </c>
      <c r="G118">
        <v>19.686567419999999</v>
      </c>
      <c r="H118">
        <v>17.477475389999999</v>
      </c>
      <c r="I118">
        <v>1.9172127649999999</v>
      </c>
      <c r="J118">
        <v>5.695305523</v>
      </c>
      <c r="K118">
        <v>34.905699730000002</v>
      </c>
      <c r="L118">
        <v>10.884336660000001</v>
      </c>
      <c r="M118">
        <v>19.686567419999999</v>
      </c>
      <c r="N118">
        <v>6.0174274999999999E-2</v>
      </c>
      <c r="O118">
        <v>18.220914839999999</v>
      </c>
      <c r="P118">
        <v>375.98304762042301</v>
      </c>
      <c r="Q118">
        <v>63.749035897200002</v>
      </c>
      <c r="R118">
        <v>0.65302273077426698</v>
      </c>
      <c r="S118">
        <v>7.7239162782478998E-2</v>
      </c>
      <c r="T118">
        <v>0.29182124066793702</v>
      </c>
      <c r="U118">
        <v>0.44544376680828801</v>
      </c>
      <c r="V118">
        <v>0.53271722219044104</v>
      </c>
      <c r="W118">
        <v>0.67531036614865003</v>
      </c>
      <c r="X118">
        <v>7.9841904577254305E-2</v>
      </c>
      <c r="Y118">
        <v>0.22338321246340301</v>
      </c>
      <c r="Z118">
        <v>0.32205441265846801</v>
      </c>
      <c r="AA118">
        <v>1.4720982004406101E-3</v>
      </c>
    </row>
    <row r="119" spans="1:27" x14ac:dyDescent="0.55000000000000004">
      <c r="A119">
        <v>118</v>
      </c>
      <c r="B119">
        <v>18.616799799999999</v>
      </c>
      <c r="C119">
        <v>2.013718221</v>
      </c>
      <c r="D119">
        <v>6.3531423370000004</v>
      </c>
      <c r="E119">
        <v>36.056905380000003</v>
      </c>
      <c r="F119">
        <v>11.58830627</v>
      </c>
      <c r="G119">
        <v>21.272993939999999</v>
      </c>
      <c r="H119">
        <v>18.616799799999999</v>
      </c>
      <c r="I119">
        <v>2.013718221</v>
      </c>
      <c r="J119">
        <v>6.3531423370000004</v>
      </c>
      <c r="K119">
        <v>36.056905380000003</v>
      </c>
      <c r="L119">
        <v>11.58830627</v>
      </c>
      <c r="M119">
        <v>21.272993939999999</v>
      </c>
      <c r="N119">
        <v>5.7426125000000001E-2</v>
      </c>
      <c r="O119">
        <v>17.370512009999999</v>
      </c>
      <c r="P119">
        <v>187.99152381021199</v>
      </c>
      <c r="Q119">
        <v>33.069944676699997</v>
      </c>
      <c r="R119">
        <v>0.69606372979034803</v>
      </c>
      <c r="S119">
        <v>8.11616827896494E-2</v>
      </c>
      <c r="T119">
        <v>0.32555547589890899</v>
      </c>
      <c r="U119">
        <v>0.47829642084707402</v>
      </c>
      <c r="V119">
        <v>0.56733954724562796</v>
      </c>
      <c r="W119">
        <v>0.76264504987562598</v>
      </c>
      <c r="X119">
        <v>7.5947024873997293E-2</v>
      </c>
      <c r="Y119">
        <v>0.212352887426285</v>
      </c>
      <c r="Z119">
        <v>0.16102720632923401</v>
      </c>
      <c r="AA119">
        <v>7.6298885113943598E-4</v>
      </c>
    </row>
    <row r="120" spans="1:27" x14ac:dyDescent="0.55000000000000004">
      <c r="A120">
        <v>119</v>
      </c>
      <c r="B120">
        <v>17.916086190000001</v>
      </c>
      <c r="C120">
        <v>-0.75191431900000005</v>
      </c>
      <c r="D120">
        <v>3.789318695</v>
      </c>
      <c r="E120">
        <v>30.917310019999999</v>
      </c>
      <c r="F120">
        <v>8.4019741700000008</v>
      </c>
      <c r="G120">
        <v>14.093325849999999</v>
      </c>
      <c r="H120">
        <v>17.916086190000001</v>
      </c>
      <c r="I120">
        <v>0.75191431900000005</v>
      </c>
      <c r="J120">
        <v>3.789318695</v>
      </c>
      <c r="K120">
        <v>30.917310019999999</v>
      </c>
      <c r="L120">
        <v>8.4019741700000008</v>
      </c>
      <c r="M120">
        <v>14.093325849999999</v>
      </c>
      <c r="N120">
        <v>6.9118708000000001E-2</v>
      </c>
      <c r="O120">
        <v>37.86940002</v>
      </c>
      <c r="P120">
        <v>369.81972515893602</v>
      </c>
      <c r="Q120">
        <v>10.373871793599999</v>
      </c>
      <c r="R120">
        <v>0.66959241614706</v>
      </c>
      <c r="S120">
        <v>2.9874934289950899E-2</v>
      </c>
      <c r="T120">
        <v>0.19408118320303699</v>
      </c>
      <c r="U120">
        <v>0.33162467000791801</v>
      </c>
      <c r="V120">
        <v>0.41063075735911903</v>
      </c>
      <c r="W120">
        <v>0.36739570551594403</v>
      </c>
      <c r="X120">
        <v>9.2518610924739703E-2</v>
      </c>
      <c r="Y120">
        <v>0.47823793586830698</v>
      </c>
      <c r="Z120">
        <v>0.31677511826495403</v>
      </c>
      <c r="AA120">
        <v>2.3839712323737099E-4</v>
      </c>
    </row>
    <row r="121" spans="1:27" x14ac:dyDescent="0.55000000000000004">
      <c r="A121">
        <v>120</v>
      </c>
      <c r="B121">
        <v>18.590518200000002</v>
      </c>
      <c r="C121">
        <v>2.1778992260000001</v>
      </c>
      <c r="D121">
        <v>6.4929365929999996</v>
      </c>
      <c r="E121">
        <v>34.971943959999997</v>
      </c>
      <c r="F121">
        <v>11.16889475</v>
      </c>
      <c r="G121">
        <v>20.673537410000002</v>
      </c>
      <c r="H121">
        <v>18.590518200000002</v>
      </c>
      <c r="I121">
        <v>2.1778992260000001</v>
      </c>
      <c r="J121">
        <v>6.4929365929999996</v>
      </c>
      <c r="K121">
        <v>34.971943959999997</v>
      </c>
      <c r="L121">
        <v>11.16889475</v>
      </c>
      <c r="M121">
        <v>20.673537410000002</v>
      </c>
      <c r="N121">
        <v>4.8116821999999997E-2</v>
      </c>
      <c r="O121">
        <v>13.762743</v>
      </c>
      <c r="P121">
        <v>240.382821353308</v>
      </c>
      <c r="Q121">
        <v>38.219868061</v>
      </c>
      <c r="R121">
        <v>0.69507087269906498</v>
      </c>
      <c r="S121">
        <v>8.7834914579879506E-2</v>
      </c>
      <c r="T121">
        <v>0.33272420257318602</v>
      </c>
      <c r="U121">
        <v>0.44733421858834699</v>
      </c>
      <c r="V121">
        <v>0.54671223355046705</v>
      </c>
      <c r="W121">
        <v>0.72964424851760301</v>
      </c>
      <c r="X121">
        <v>6.2753198006406594E-2</v>
      </c>
      <c r="Y121">
        <v>0.165557576503881</v>
      </c>
      <c r="Z121">
        <v>0.20590382687222</v>
      </c>
      <c r="AA121">
        <v>8.8202297746817497E-4</v>
      </c>
    </row>
    <row r="122" spans="1:27" x14ac:dyDescent="0.55000000000000004">
      <c r="A122">
        <v>121</v>
      </c>
      <c r="B122">
        <v>18.631152490000002</v>
      </c>
      <c r="C122">
        <v>2.0787857060000001</v>
      </c>
      <c r="D122">
        <v>12.435916880000001</v>
      </c>
      <c r="E122">
        <v>33.945778660000002</v>
      </c>
      <c r="F122">
        <v>9.9112565379999999</v>
      </c>
      <c r="G122">
        <v>19.802750400000001</v>
      </c>
      <c r="H122">
        <v>18.631152490000002</v>
      </c>
      <c r="I122">
        <v>2.0787857060000001</v>
      </c>
      <c r="J122">
        <v>12.435916880000001</v>
      </c>
      <c r="K122">
        <v>33.945778660000002</v>
      </c>
      <c r="L122">
        <v>9.9112565379999999</v>
      </c>
      <c r="M122">
        <v>19.802750400000001</v>
      </c>
      <c r="N122">
        <v>6.2800310999999998E-2</v>
      </c>
      <c r="O122">
        <v>30.037397380000002</v>
      </c>
      <c r="P122">
        <v>197.237186751433</v>
      </c>
      <c r="Q122">
        <v>48.644088746400001</v>
      </c>
      <c r="R122">
        <v>0.69660594069248105</v>
      </c>
      <c r="S122">
        <v>8.3806388304835694E-2</v>
      </c>
      <c r="T122">
        <v>0.63748351477350496</v>
      </c>
      <c r="U122">
        <v>0.41804991687604498</v>
      </c>
      <c r="V122">
        <v>0.484859621791149</v>
      </c>
      <c r="W122">
        <v>0.68170637862375505</v>
      </c>
      <c r="X122">
        <v>8.3563715365028698E-2</v>
      </c>
      <c r="Y122">
        <v>0.376651332716049</v>
      </c>
      <c r="Z122">
        <v>0.168946729741309</v>
      </c>
      <c r="AA122">
        <v>1.1229659797907601E-3</v>
      </c>
    </row>
    <row r="123" spans="1:27" x14ac:dyDescent="0.55000000000000004">
      <c r="A123">
        <v>122</v>
      </c>
      <c r="B123">
        <v>18.075783220000002</v>
      </c>
      <c r="C123">
        <v>2.567316398</v>
      </c>
      <c r="D123">
        <v>6.8249781470000004</v>
      </c>
      <c r="E123">
        <v>32.48749754</v>
      </c>
      <c r="F123">
        <v>9.6844755090000003</v>
      </c>
      <c r="G123">
        <v>19.37479806</v>
      </c>
      <c r="H123">
        <v>18.075783220000002</v>
      </c>
      <c r="I123">
        <v>2.567316398</v>
      </c>
      <c r="J123">
        <v>6.8249781470000004</v>
      </c>
      <c r="K123">
        <v>32.48749754</v>
      </c>
      <c r="L123">
        <v>9.6844755090000003</v>
      </c>
      <c r="M123">
        <v>19.37479806</v>
      </c>
      <c r="N123">
        <v>6.5289579E-2</v>
      </c>
      <c r="O123">
        <v>29.219421390000001</v>
      </c>
      <c r="P123">
        <v>240.382821353308</v>
      </c>
      <c r="Q123">
        <v>10.7592309151</v>
      </c>
      <c r="R123">
        <v>0.67562539468308602</v>
      </c>
      <c r="S123">
        <v>0.103663000489403</v>
      </c>
      <c r="T123">
        <v>0.34975147689215302</v>
      </c>
      <c r="U123">
        <v>0.37643406385564498</v>
      </c>
      <c r="V123">
        <v>0.47370617654173303</v>
      </c>
      <c r="W123">
        <v>0.65814708873989802</v>
      </c>
      <c r="X123">
        <v>8.7091688513935103E-2</v>
      </c>
      <c r="Y123">
        <v>0.36604160668508301</v>
      </c>
      <c r="Z123">
        <v>0.20590382687222</v>
      </c>
      <c r="AA123">
        <v>2.47304223970248E-4</v>
      </c>
    </row>
    <row r="124" spans="1:27" x14ac:dyDescent="0.55000000000000004">
      <c r="A124">
        <v>123</v>
      </c>
      <c r="B124">
        <v>18.075971190000001</v>
      </c>
      <c r="C124">
        <v>2.5242359830000001</v>
      </c>
      <c r="D124">
        <v>6.7436103279999999</v>
      </c>
      <c r="E124">
        <v>32.831526850000003</v>
      </c>
      <c r="F124">
        <v>9.7948083530000005</v>
      </c>
      <c r="G124">
        <v>19.459605289999999</v>
      </c>
      <c r="H124">
        <v>18.075971190000001</v>
      </c>
      <c r="I124">
        <v>2.5242359830000001</v>
      </c>
      <c r="J124">
        <v>6.7436103279999999</v>
      </c>
      <c r="K124">
        <v>32.831526850000003</v>
      </c>
      <c r="L124">
        <v>9.7948083530000005</v>
      </c>
      <c r="M124">
        <v>19.459605289999999</v>
      </c>
      <c r="N124">
        <v>7.2438098000000006E-2</v>
      </c>
      <c r="O124">
        <v>28.054807660000002</v>
      </c>
      <c r="P124">
        <v>480.76564270661697</v>
      </c>
      <c r="Q124">
        <v>11.763096195099999</v>
      </c>
      <c r="R124">
        <v>0.675632495747993</v>
      </c>
      <c r="S124">
        <v>0.101911972135579</v>
      </c>
      <c r="T124">
        <v>0.34557889018377702</v>
      </c>
      <c r="U124">
        <v>0.38625183698821502</v>
      </c>
      <c r="V124">
        <v>0.47913251815501801</v>
      </c>
      <c r="W124">
        <v>0.66281582852484</v>
      </c>
      <c r="X124">
        <v>9.7223093845320505E-2</v>
      </c>
      <c r="Y124">
        <v>0.350935744461423</v>
      </c>
      <c r="Z124">
        <v>0.41180765374444001</v>
      </c>
      <c r="AA124">
        <v>2.7050733159721699E-4</v>
      </c>
    </row>
    <row r="125" spans="1:27" x14ac:dyDescent="0.55000000000000004">
      <c r="A125">
        <v>124</v>
      </c>
      <c r="B125">
        <v>18.029617819999999</v>
      </c>
      <c r="C125">
        <v>2.5724389259999998</v>
      </c>
      <c r="D125">
        <v>7.8343357490000001</v>
      </c>
      <c r="E125">
        <v>34.958747350000003</v>
      </c>
      <c r="F125">
        <v>10.11907188</v>
      </c>
      <c r="G125">
        <v>19.960301189999999</v>
      </c>
      <c r="H125">
        <v>18.029617819999999</v>
      </c>
      <c r="I125">
        <v>2.5724389259999998</v>
      </c>
      <c r="J125">
        <v>7.8343357490000001</v>
      </c>
      <c r="K125">
        <v>34.958747350000003</v>
      </c>
      <c r="L125">
        <v>10.11907188</v>
      </c>
      <c r="M125">
        <v>19.960301189999999</v>
      </c>
      <c r="N125">
        <v>6.7070751999999997E-2</v>
      </c>
      <c r="O125">
        <v>23.732410430000002</v>
      </c>
      <c r="P125">
        <v>240.382821353308</v>
      </c>
      <c r="Q125">
        <v>41.413165172600003</v>
      </c>
      <c r="R125">
        <v>0.673881374350917</v>
      </c>
      <c r="S125">
        <v>0.10387120859908</v>
      </c>
      <c r="T125">
        <v>0.40151189232253398</v>
      </c>
      <c r="U125">
        <v>0.44695761892275698</v>
      </c>
      <c r="V125">
        <v>0.49508030492856298</v>
      </c>
      <c r="W125">
        <v>0.69037973868305702</v>
      </c>
      <c r="X125">
        <v>8.9616097503869896E-2</v>
      </c>
      <c r="Y125">
        <v>0.29487120104211301</v>
      </c>
      <c r="Z125">
        <v>0.20590382687222</v>
      </c>
      <c r="AA125">
        <v>9.5583210110410999E-4</v>
      </c>
    </row>
    <row r="126" spans="1:27" x14ac:dyDescent="0.55000000000000004">
      <c r="A126">
        <v>125</v>
      </c>
      <c r="B126">
        <v>17.79096144</v>
      </c>
      <c r="C126">
        <v>3.0271411549999998</v>
      </c>
      <c r="D126">
        <v>7.0220368860000004</v>
      </c>
      <c r="E126">
        <v>32.599091209999997</v>
      </c>
      <c r="F126">
        <v>9.5766913870000003</v>
      </c>
      <c r="G126">
        <v>19.24297464</v>
      </c>
      <c r="H126">
        <v>17.79096144</v>
      </c>
      <c r="I126">
        <v>3.0271411549999998</v>
      </c>
      <c r="J126">
        <v>7.0220368860000004</v>
      </c>
      <c r="K126">
        <v>32.599091209999997</v>
      </c>
      <c r="L126">
        <v>9.5766913870000003</v>
      </c>
      <c r="M126">
        <v>19.24297464</v>
      </c>
      <c r="N126">
        <v>0.11623805</v>
      </c>
      <c r="O126">
        <v>53.061706540000003</v>
      </c>
      <c r="P126">
        <v>480.76564270661697</v>
      </c>
      <c r="Q126">
        <v>13.409649022</v>
      </c>
      <c r="R126">
        <v>0.66486549711121001</v>
      </c>
      <c r="S126">
        <v>0.122352843363414</v>
      </c>
      <c r="T126">
        <v>0.35985675788931099</v>
      </c>
      <c r="U126">
        <v>0.37961868011723898</v>
      </c>
      <c r="V126">
        <v>0.46840518505763701</v>
      </c>
      <c r="W126">
        <v>0.65089005127338595</v>
      </c>
      <c r="X126">
        <v>0.15929959769279201</v>
      </c>
      <c r="Y126">
        <v>0.67529287626535195</v>
      </c>
      <c r="Z126">
        <v>0.41180765374444001</v>
      </c>
      <c r="AA126">
        <v>3.0856536908213699E-4</v>
      </c>
    </row>
    <row r="127" spans="1:27" x14ac:dyDescent="0.55000000000000004">
      <c r="A127">
        <v>126</v>
      </c>
      <c r="B127">
        <v>17.188337350000001</v>
      </c>
      <c r="C127">
        <v>2.6777667260000002</v>
      </c>
      <c r="D127">
        <v>7.9692740869999996</v>
      </c>
      <c r="E127">
        <v>33.99256475</v>
      </c>
      <c r="F127">
        <v>7.9060504189999996</v>
      </c>
      <c r="G127">
        <v>16.990199530000002</v>
      </c>
      <c r="H127">
        <v>17.188337350000001</v>
      </c>
      <c r="I127">
        <v>2.6777667260000002</v>
      </c>
      <c r="J127">
        <v>7.9692740869999996</v>
      </c>
      <c r="K127">
        <v>33.99256475</v>
      </c>
      <c r="L127">
        <v>7.9060504189999996</v>
      </c>
      <c r="M127">
        <v>16.990199530000002</v>
      </c>
      <c r="N127">
        <v>5.6194276000000001E-2</v>
      </c>
      <c r="O127">
        <v>15.32609272</v>
      </c>
      <c r="P127">
        <v>73.963945031787205</v>
      </c>
      <c r="Q127">
        <v>100.572485153</v>
      </c>
      <c r="R127">
        <v>0.64209977504197402</v>
      </c>
      <c r="S127">
        <v>0.108152317874511</v>
      </c>
      <c r="T127">
        <v>0.40843160483921298</v>
      </c>
      <c r="U127">
        <v>0.41938507991020602</v>
      </c>
      <c r="V127">
        <v>0.38624045262748402</v>
      </c>
      <c r="W127">
        <v>0.52687207801115499</v>
      </c>
      <c r="X127">
        <v>7.4201158139074797E-2</v>
      </c>
      <c r="Y127">
        <v>0.18583532600089001</v>
      </c>
      <c r="Z127">
        <v>6.3355023652990797E-2</v>
      </c>
      <c r="AA127">
        <v>2.3232268063413399E-3</v>
      </c>
    </row>
    <row r="128" spans="1:27" x14ac:dyDescent="0.55000000000000004">
      <c r="A128">
        <v>127</v>
      </c>
      <c r="B128">
        <v>17.274321449999999</v>
      </c>
      <c r="C128">
        <v>2.5383955889999998</v>
      </c>
      <c r="D128">
        <v>7.3457658930000003</v>
      </c>
      <c r="E128">
        <v>32.18407053</v>
      </c>
      <c r="F128">
        <v>7.365420576</v>
      </c>
      <c r="G128">
        <v>15.958400259999999</v>
      </c>
      <c r="H128">
        <v>17.274321449999999</v>
      </c>
      <c r="I128">
        <v>2.5383955889999998</v>
      </c>
      <c r="J128">
        <v>7.3457658930000003</v>
      </c>
      <c r="K128">
        <v>32.18407053</v>
      </c>
      <c r="L128">
        <v>7.365420576</v>
      </c>
      <c r="M128">
        <v>15.958400259999999</v>
      </c>
      <c r="N128">
        <v>7.2033949E-2</v>
      </c>
      <c r="O128">
        <v>27.232295990000001</v>
      </c>
      <c r="P128">
        <v>123.273241719645</v>
      </c>
      <c r="Q128">
        <v>85.6397982039</v>
      </c>
      <c r="R128">
        <v>0.64534805229383896</v>
      </c>
      <c r="S128">
        <v>0.102487497500991</v>
      </c>
      <c r="T128">
        <v>0.37645776020601401</v>
      </c>
      <c r="U128">
        <v>0.36777498319047203</v>
      </c>
      <c r="V128">
        <v>0.359651432458161</v>
      </c>
      <c r="W128">
        <v>0.47007028998054801</v>
      </c>
      <c r="X128">
        <v>9.6650304246065896E-2</v>
      </c>
      <c r="Y128">
        <v>0.34026718745894602</v>
      </c>
      <c r="Z128">
        <v>0.105591706088318</v>
      </c>
      <c r="AA128">
        <v>1.9780761677618301E-3</v>
      </c>
    </row>
    <row r="129" spans="1:27" x14ac:dyDescent="0.55000000000000004">
      <c r="A129">
        <v>128</v>
      </c>
      <c r="B129">
        <v>16.87374325</v>
      </c>
      <c r="C129">
        <v>2.8179398459999998</v>
      </c>
      <c r="D129">
        <v>8.2129282860000004</v>
      </c>
      <c r="E129">
        <v>29.50547238</v>
      </c>
      <c r="F129">
        <v>6.3494612400000001</v>
      </c>
      <c r="G129">
        <v>14.04724437</v>
      </c>
      <c r="H129">
        <v>16.87374325</v>
      </c>
      <c r="I129">
        <v>2.8179398459999998</v>
      </c>
      <c r="J129">
        <v>8.2129282860000004</v>
      </c>
      <c r="K129">
        <v>29.50547238</v>
      </c>
      <c r="L129">
        <v>6.3494612400000001</v>
      </c>
      <c r="M129">
        <v>14.04724437</v>
      </c>
      <c r="N129">
        <v>8.7460071E-2</v>
      </c>
      <c r="O129">
        <v>30.66695786</v>
      </c>
      <c r="P129">
        <v>184.90986257946801</v>
      </c>
      <c r="Q129">
        <v>69.050956121300004</v>
      </c>
      <c r="R129">
        <v>0.63021514917973598</v>
      </c>
      <c r="S129">
        <v>0.11384973531034399</v>
      </c>
      <c r="T129">
        <v>0.42092632676591901</v>
      </c>
      <c r="U129">
        <v>0.29133420275225802</v>
      </c>
      <c r="V129">
        <v>0.30968496533489298</v>
      </c>
      <c r="W129">
        <v>0.36485886474157903</v>
      </c>
      <c r="X129">
        <v>0.118513335549949</v>
      </c>
      <c r="Y129">
        <v>0.38481717657257097</v>
      </c>
      <c r="Z129">
        <v>0.15838755913247701</v>
      </c>
      <c r="AA129">
        <v>1.59464554622529E-3</v>
      </c>
    </row>
    <row r="130" spans="1:27" x14ac:dyDescent="0.55000000000000004">
      <c r="A130">
        <v>129</v>
      </c>
      <c r="B130">
        <v>17.691326620000002</v>
      </c>
      <c r="C130">
        <v>2.032038123</v>
      </c>
      <c r="D130">
        <v>7.6613591850000002</v>
      </c>
      <c r="E130">
        <v>30.659291159999999</v>
      </c>
      <c r="F130">
        <v>6.086884435</v>
      </c>
      <c r="G130">
        <v>13.8706338</v>
      </c>
      <c r="H130">
        <v>17.691326620000002</v>
      </c>
      <c r="I130">
        <v>2.032038123</v>
      </c>
      <c r="J130">
        <v>7.6613591850000002</v>
      </c>
      <c r="K130">
        <v>30.659291159999999</v>
      </c>
      <c r="L130">
        <v>6.086884435</v>
      </c>
      <c r="M130">
        <v>13.8706338</v>
      </c>
      <c r="N130">
        <v>7.4126585999999994E-2</v>
      </c>
      <c r="O130">
        <v>23.06077003</v>
      </c>
      <c r="P130">
        <v>184.90986257946801</v>
      </c>
      <c r="Q130">
        <v>24.223360344</v>
      </c>
      <c r="R130">
        <v>0.66110152773431596</v>
      </c>
      <c r="S130">
        <v>8.1906305789248596E-2</v>
      </c>
      <c r="T130">
        <v>0.39264155856310201</v>
      </c>
      <c r="U130">
        <v>0.324261429267168</v>
      </c>
      <c r="V130">
        <v>0.29677102790702198</v>
      </c>
      <c r="W130">
        <v>0.35513624092047003</v>
      </c>
      <c r="X130">
        <v>9.9616142856616394E-2</v>
      </c>
      <c r="Y130">
        <v>0.28615955091736001</v>
      </c>
      <c r="Z130">
        <v>0.15838755913247701</v>
      </c>
      <c r="AA130">
        <v>5.5851096701270203E-4</v>
      </c>
    </row>
    <row r="131" spans="1:27" x14ac:dyDescent="0.55000000000000004">
      <c r="A131">
        <v>130</v>
      </c>
      <c r="B131">
        <v>18.168636899999999</v>
      </c>
      <c r="C131">
        <v>1.8141802410000001</v>
      </c>
      <c r="D131">
        <v>13.0526932</v>
      </c>
      <c r="E131">
        <v>30.587718250000002</v>
      </c>
      <c r="F131">
        <v>5.7029865180000003</v>
      </c>
      <c r="G131">
        <v>13.3339012</v>
      </c>
      <c r="H131">
        <v>18.168636899999999</v>
      </c>
      <c r="I131">
        <v>1.8141802410000001</v>
      </c>
      <c r="J131">
        <v>13.0526932</v>
      </c>
      <c r="K131">
        <v>30.587718250000002</v>
      </c>
      <c r="L131">
        <v>5.7029865180000003</v>
      </c>
      <c r="M131">
        <v>13.3339012</v>
      </c>
      <c r="N131">
        <v>8.4970071999999994E-2</v>
      </c>
      <c r="O131">
        <v>31.03903008</v>
      </c>
      <c r="P131">
        <v>184.90986257946801</v>
      </c>
      <c r="Q131">
        <v>56.190758874899998</v>
      </c>
      <c r="R131">
        <v>0.67913318852515803</v>
      </c>
      <c r="S131">
        <v>7.3051346325974501E-2</v>
      </c>
      <c r="T131">
        <v>0.66911214518909201</v>
      </c>
      <c r="U131">
        <v>0.32221890971318601</v>
      </c>
      <c r="V131">
        <v>0.27789032868140801</v>
      </c>
      <c r="W131">
        <v>0.325588467181187</v>
      </c>
      <c r="X131">
        <v>0.114984326374238</v>
      </c>
      <c r="Y131">
        <v>0.38964321592604001</v>
      </c>
      <c r="Z131">
        <v>0.15838755913247701</v>
      </c>
      <c r="AA131">
        <v>1.2973979505994499E-3</v>
      </c>
    </row>
    <row r="132" spans="1:27" x14ac:dyDescent="0.55000000000000004">
      <c r="A132">
        <v>131</v>
      </c>
      <c r="B132">
        <v>16.24488629</v>
      </c>
      <c r="C132">
        <v>1.228051953</v>
      </c>
      <c r="D132">
        <v>6.8401440840000003</v>
      </c>
      <c r="E132">
        <v>25.942413869999999</v>
      </c>
      <c r="F132">
        <v>4.5033022200000001</v>
      </c>
      <c r="G132">
        <v>9.3252372680000004</v>
      </c>
      <c r="H132">
        <v>16.24488629</v>
      </c>
      <c r="I132">
        <v>1.228051953</v>
      </c>
      <c r="J132">
        <v>6.8401440840000003</v>
      </c>
      <c r="K132">
        <v>25.942413869999999</v>
      </c>
      <c r="L132">
        <v>4.5033022200000001</v>
      </c>
      <c r="M132">
        <v>9.3252372680000004</v>
      </c>
      <c r="N132">
        <v>6.8247862000000006E-2</v>
      </c>
      <c r="O132">
        <v>28.465629580000002</v>
      </c>
      <c r="P132">
        <v>252.53207690207699</v>
      </c>
      <c r="Q132">
        <v>11.8293532651</v>
      </c>
      <c r="R132">
        <v>0.60645841092410901</v>
      </c>
      <c r="S132">
        <v>4.9227823473043199E-2</v>
      </c>
      <c r="T132">
        <v>0.35052919451963799</v>
      </c>
      <c r="U132">
        <v>0.18965304044300299</v>
      </c>
      <c r="V132">
        <v>0.21888798093949199</v>
      </c>
      <c r="W132">
        <v>0.104906707102595</v>
      </c>
      <c r="X132">
        <v>9.1284384113953301E-2</v>
      </c>
      <c r="Y132">
        <v>0.35626439477879401</v>
      </c>
      <c r="Z132">
        <v>0.216310469897111</v>
      </c>
      <c r="AA132">
        <v>2.72038782038712E-4</v>
      </c>
    </row>
    <row r="133" spans="1:27" x14ac:dyDescent="0.55000000000000004">
      <c r="A133">
        <v>132</v>
      </c>
      <c r="B133">
        <v>16.476237950000002</v>
      </c>
      <c r="C133">
        <v>-2.0118105530000001</v>
      </c>
      <c r="D133">
        <v>2.527929936</v>
      </c>
      <c r="E133">
        <v>30.136564180000001</v>
      </c>
      <c r="F133">
        <v>12.74088154</v>
      </c>
      <c r="G133">
        <v>17.993303059999999</v>
      </c>
      <c r="H133">
        <v>16.476237950000002</v>
      </c>
      <c r="I133">
        <v>2.0118105530000001</v>
      </c>
      <c r="J133">
        <v>2.527929936</v>
      </c>
      <c r="K133">
        <v>30.136564180000001</v>
      </c>
      <c r="L133">
        <v>12.74088154</v>
      </c>
      <c r="M133">
        <v>17.993303059999999</v>
      </c>
      <c r="N133">
        <v>0.125388891</v>
      </c>
      <c r="O133">
        <v>44.44299316</v>
      </c>
      <c r="P133">
        <v>108.600910899567</v>
      </c>
      <c r="Q133">
        <v>47.154975499400003</v>
      </c>
      <c r="R133">
        <v>0.61519833300690596</v>
      </c>
      <c r="S133">
        <v>8.1084144521791898E-2</v>
      </c>
      <c r="T133">
        <v>0.12939647081202499</v>
      </c>
      <c r="U133">
        <v>0.30934405231485701</v>
      </c>
      <c r="V133">
        <v>0.62402499940386902</v>
      </c>
      <c r="W133">
        <v>0.58209413111826203</v>
      </c>
      <c r="X133">
        <v>0.172268840593883</v>
      </c>
      <c r="Y133">
        <v>0.56350207944596797</v>
      </c>
      <c r="Z133">
        <v>9.3023881782150195E-2</v>
      </c>
      <c r="AA133">
        <v>1.0885469639852899E-3</v>
      </c>
    </row>
    <row r="134" spans="1:27" x14ac:dyDescent="0.55000000000000004">
      <c r="A134">
        <v>133</v>
      </c>
      <c r="B134">
        <v>9.2420389709999995</v>
      </c>
      <c r="C134">
        <v>-4.5233883920000002</v>
      </c>
      <c r="D134">
        <v>-1.2356261589999999</v>
      </c>
      <c r="E134">
        <v>32.26020647</v>
      </c>
      <c r="F134">
        <v>13.99395093</v>
      </c>
      <c r="G134">
        <v>19.906349779999999</v>
      </c>
      <c r="H134">
        <v>9.2420389709999995</v>
      </c>
      <c r="I134">
        <v>4.5233883920000002</v>
      </c>
      <c r="J134">
        <v>1.2356261589999999</v>
      </c>
      <c r="K134">
        <v>32.26020647</v>
      </c>
      <c r="L134">
        <v>13.99395093</v>
      </c>
      <c r="M134">
        <v>19.906349779999999</v>
      </c>
      <c r="N134">
        <v>9.9934801000000004E-2</v>
      </c>
      <c r="O134">
        <v>30.1054821</v>
      </c>
      <c r="P134">
        <v>570.87534844243396</v>
      </c>
      <c r="Q134">
        <v>6.7177183888299998</v>
      </c>
      <c r="R134">
        <v>0.34190729455959001</v>
      </c>
      <c r="S134">
        <v>0.183168676644446</v>
      </c>
      <c r="T134">
        <v>6.3126419219576096E-2</v>
      </c>
      <c r="U134">
        <v>0.36994772069982801</v>
      </c>
      <c r="V134">
        <v>0.68565290936050105</v>
      </c>
      <c r="W134">
        <v>0.68740964881783295</v>
      </c>
      <c r="X134">
        <v>0.13619343768433401</v>
      </c>
      <c r="Y134">
        <v>0.37753443959806798</v>
      </c>
      <c r="Z134">
        <v>0.48899259210600599</v>
      </c>
      <c r="AA134">
        <v>1.53889647342213E-4</v>
      </c>
    </row>
    <row r="135" spans="1:27" x14ac:dyDescent="0.55000000000000004">
      <c r="A135">
        <v>134</v>
      </c>
      <c r="B135">
        <v>8.2750851680000004</v>
      </c>
      <c r="C135">
        <v>-4.6385371500000003</v>
      </c>
      <c r="D135">
        <v>-1.473625964</v>
      </c>
      <c r="E135">
        <v>32.948860840000002</v>
      </c>
      <c r="F135">
        <v>15.22622681</v>
      </c>
      <c r="G135">
        <v>21.259529610000001</v>
      </c>
      <c r="H135">
        <v>8.2750851680000004</v>
      </c>
      <c r="I135">
        <v>4.6385371500000003</v>
      </c>
      <c r="J135">
        <v>1.473625964</v>
      </c>
      <c r="K135">
        <v>32.948860840000002</v>
      </c>
      <c r="L135">
        <v>15.22622681</v>
      </c>
      <c r="M135">
        <v>21.259529610000001</v>
      </c>
      <c r="N135">
        <v>7.2644985999999995E-2</v>
      </c>
      <c r="O135">
        <v>21.64068031</v>
      </c>
      <c r="P135">
        <v>468.78279228127701</v>
      </c>
      <c r="Q135">
        <v>2.6473859129499999</v>
      </c>
      <c r="R135">
        <v>0.30537805203812202</v>
      </c>
      <c r="S135">
        <v>0.18784896443103299</v>
      </c>
      <c r="T135">
        <v>7.5331180698302802E-2</v>
      </c>
      <c r="U135">
        <v>0.38960026824414201</v>
      </c>
      <c r="V135">
        <v>0.74625816201484096</v>
      </c>
      <c r="W135">
        <v>0.76190382235117404</v>
      </c>
      <c r="X135">
        <v>9.7516310690124203E-2</v>
      </c>
      <c r="Y135">
        <v>0.26773998475308702</v>
      </c>
      <c r="Z135">
        <v>0.401543547742504</v>
      </c>
      <c r="AA135" s="1">
        <v>5.98089331298549E-5</v>
      </c>
    </row>
    <row r="136" spans="1:27" x14ac:dyDescent="0.55000000000000004">
      <c r="A136">
        <v>135</v>
      </c>
      <c r="B136">
        <v>8.1868057160000003</v>
      </c>
      <c r="C136">
        <v>-4.698053689</v>
      </c>
      <c r="D136">
        <v>-1.5692320959999999</v>
      </c>
      <c r="E136">
        <v>33.101771429999999</v>
      </c>
      <c r="F136">
        <v>15.08574192</v>
      </c>
      <c r="G136">
        <v>21.40492892</v>
      </c>
      <c r="H136">
        <v>8.1868057160000003</v>
      </c>
      <c r="I136">
        <v>4.698053689</v>
      </c>
      <c r="J136">
        <v>1.5692320959999999</v>
      </c>
      <c r="K136">
        <v>33.101771429999999</v>
      </c>
      <c r="L136">
        <v>15.08574192</v>
      </c>
      <c r="M136">
        <v>21.40492892</v>
      </c>
      <c r="N136">
        <v>7.5758911999999998E-2</v>
      </c>
      <c r="O136">
        <v>19.45399857</v>
      </c>
      <c r="P136">
        <v>468.78279228127701</v>
      </c>
      <c r="Q136">
        <v>5.8731906125200002</v>
      </c>
      <c r="R136">
        <v>0.302043061781333</v>
      </c>
      <c r="S136">
        <v>0.19026804853944901</v>
      </c>
      <c r="T136">
        <v>8.0233915962996297E-2</v>
      </c>
      <c r="U136">
        <v>0.39396397051761201</v>
      </c>
      <c r="V136">
        <v>0.73934889568028705</v>
      </c>
      <c r="W136">
        <v>0.769908228854016</v>
      </c>
      <c r="X136">
        <v>0.101929594963124</v>
      </c>
      <c r="Y136">
        <v>0.239377178922665</v>
      </c>
      <c r="Z136">
        <v>0.401543547742504</v>
      </c>
      <c r="AA136">
        <v>1.3436942956191001E-4</v>
      </c>
    </row>
    <row r="137" spans="1:27" x14ac:dyDescent="0.55000000000000004">
      <c r="A137">
        <v>136</v>
      </c>
      <c r="B137">
        <v>12.037697440000001</v>
      </c>
      <c r="C137">
        <v>-6.1168529080000003</v>
      </c>
      <c r="D137">
        <v>-2.0036729590000002</v>
      </c>
      <c r="E137">
        <v>32.175427890000002</v>
      </c>
      <c r="F137">
        <v>13.77664399</v>
      </c>
      <c r="G137">
        <v>18.740748849999999</v>
      </c>
      <c r="H137">
        <v>12.037697440000001</v>
      </c>
      <c r="I137">
        <v>6.1168529080000003</v>
      </c>
      <c r="J137">
        <v>2.0036729590000002</v>
      </c>
      <c r="K137">
        <v>32.175427890000002</v>
      </c>
      <c r="L137">
        <v>13.77664399</v>
      </c>
      <c r="M137">
        <v>18.740748849999999</v>
      </c>
      <c r="N137">
        <v>8.2829713999999999E-2</v>
      </c>
      <c r="O137">
        <v>30.610065460000001</v>
      </c>
      <c r="P137">
        <v>107.777647286624</v>
      </c>
      <c r="Q137">
        <v>88.3738255839</v>
      </c>
      <c r="R137">
        <v>0.447520702257516</v>
      </c>
      <c r="S137">
        <v>0.24793596238968099</v>
      </c>
      <c r="T137">
        <v>0.102512283415975</v>
      </c>
      <c r="U137">
        <v>0.36752834292954101</v>
      </c>
      <c r="V137">
        <v>0.67496541460710102</v>
      </c>
      <c r="W137">
        <v>0.62324191883471403</v>
      </c>
      <c r="X137">
        <v>0.111950854063082</v>
      </c>
      <c r="Y137">
        <v>0.38407924198204002</v>
      </c>
      <c r="Z137">
        <v>9.2318701905005601E-2</v>
      </c>
      <c r="AA137">
        <v>2.0412698380850199E-3</v>
      </c>
    </row>
    <row r="138" spans="1:27" x14ac:dyDescent="0.55000000000000004">
      <c r="A138">
        <v>137</v>
      </c>
      <c r="B138">
        <v>12.245787269999999</v>
      </c>
      <c r="C138">
        <v>-6.3181391570000001</v>
      </c>
      <c r="D138">
        <v>-2.1131645909999999</v>
      </c>
      <c r="E138">
        <v>31.84886642</v>
      </c>
      <c r="F138">
        <v>13.587863990000001</v>
      </c>
      <c r="G138">
        <v>18.405931899999999</v>
      </c>
      <c r="H138">
        <v>12.245787269999999</v>
      </c>
      <c r="I138">
        <v>6.3181391570000001</v>
      </c>
      <c r="J138">
        <v>2.1131645909999999</v>
      </c>
      <c r="K138">
        <v>31.84886642</v>
      </c>
      <c r="L138">
        <v>13.587863990000001</v>
      </c>
      <c r="M138">
        <v>18.405931899999999</v>
      </c>
      <c r="N138">
        <v>8.6222119999999999E-2</v>
      </c>
      <c r="O138">
        <v>26.72933197</v>
      </c>
      <c r="P138">
        <v>269.44411821656098</v>
      </c>
      <c r="Q138">
        <v>48.987414455600003</v>
      </c>
      <c r="R138">
        <v>0.45538184706374901</v>
      </c>
      <c r="S138">
        <v>0.256117358256778</v>
      </c>
      <c r="T138">
        <v>0.10812707479144</v>
      </c>
      <c r="U138">
        <v>0.35820906014430798</v>
      </c>
      <c r="V138">
        <v>0.66568091932339402</v>
      </c>
      <c r="W138">
        <v>0.60480984393805903</v>
      </c>
      <c r="X138">
        <v>0.11675882061316301</v>
      </c>
      <c r="Y138">
        <v>0.333743389057927</v>
      </c>
      <c r="Z138">
        <v>0.23079675476251399</v>
      </c>
      <c r="AA138">
        <v>1.1309015300487401E-3</v>
      </c>
    </row>
    <row r="139" spans="1:27" x14ac:dyDescent="0.55000000000000004">
      <c r="A139">
        <v>138</v>
      </c>
      <c r="B139">
        <v>10.53989601</v>
      </c>
      <c r="C139">
        <v>-5.3431710069999996</v>
      </c>
      <c r="D139">
        <v>-1.688929814</v>
      </c>
      <c r="E139">
        <v>31.674437319999999</v>
      </c>
      <c r="F139">
        <v>14.911282119999999</v>
      </c>
      <c r="G139">
        <v>19.43453323</v>
      </c>
      <c r="H139">
        <v>10.53989601</v>
      </c>
      <c r="I139">
        <v>5.3431710069999996</v>
      </c>
      <c r="J139">
        <v>1.688929814</v>
      </c>
      <c r="K139">
        <v>31.674437319999999</v>
      </c>
      <c r="L139">
        <v>14.911282119999999</v>
      </c>
      <c r="M139">
        <v>19.43453323</v>
      </c>
      <c r="N139">
        <v>7.5361915000000002E-2</v>
      </c>
      <c r="O139">
        <v>29.340774540000002</v>
      </c>
      <c r="P139">
        <v>520.41827671666397</v>
      </c>
      <c r="Q139">
        <v>6.3189424213100001</v>
      </c>
      <c r="R139">
        <v>0.39093728377803699</v>
      </c>
      <c r="S139">
        <v>0.21648921459276699</v>
      </c>
      <c r="T139">
        <v>8.6372081066694098E-2</v>
      </c>
      <c r="U139">
        <v>0.353231271096281</v>
      </c>
      <c r="V139">
        <v>0.73076869020144097</v>
      </c>
      <c r="W139">
        <v>0.66143558153395898</v>
      </c>
      <c r="X139">
        <v>0.101366941702729</v>
      </c>
      <c r="Y139">
        <v>0.367615642708432</v>
      </c>
      <c r="Z139">
        <v>0.44577276423888801</v>
      </c>
      <c r="AA139">
        <v>1.44672432763963E-4</v>
      </c>
    </row>
    <row r="140" spans="1:27" x14ac:dyDescent="0.55000000000000004">
      <c r="A140">
        <v>139</v>
      </c>
      <c r="B140">
        <v>10.966631270000001</v>
      </c>
      <c r="C140">
        <v>-5.6496555749999997</v>
      </c>
      <c r="D140">
        <v>-1.856418466</v>
      </c>
      <c r="E140">
        <v>31.775945400000001</v>
      </c>
      <c r="F140">
        <v>14.21948883</v>
      </c>
      <c r="G140">
        <v>19.120153689999999</v>
      </c>
      <c r="H140">
        <v>10.966631270000001</v>
      </c>
      <c r="I140">
        <v>5.6496555749999997</v>
      </c>
      <c r="J140">
        <v>1.856418466</v>
      </c>
      <c r="K140">
        <v>31.775945400000001</v>
      </c>
      <c r="L140">
        <v>14.21948883</v>
      </c>
      <c r="M140">
        <v>19.120153689999999</v>
      </c>
      <c r="N140">
        <v>7.2889805000000002E-2</v>
      </c>
      <c r="O140">
        <v>27.212375640000001</v>
      </c>
      <c r="P140">
        <v>262.382074795562</v>
      </c>
      <c r="Q140">
        <v>10.3263454709</v>
      </c>
      <c r="R140">
        <v>0.40705833915487</v>
      </c>
      <c r="S140">
        <v>0.228946456905253</v>
      </c>
      <c r="T140">
        <v>9.4960991667076597E-2</v>
      </c>
      <c r="U140">
        <v>0.356128068757395</v>
      </c>
      <c r="V140">
        <v>0.69674521558386804</v>
      </c>
      <c r="W140">
        <v>0.64412861058384396</v>
      </c>
      <c r="X140">
        <v>9.7863286129627802E-2</v>
      </c>
      <c r="Y140">
        <v>0.34000880645690601</v>
      </c>
      <c r="Z140">
        <v>0.224747646270754</v>
      </c>
      <c r="AA140">
        <v>2.3729861091436E-4</v>
      </c>
    </row>
    <row r="141" spans="1:27" x14ac:dyDescent="0.55000000000000004">
      <c r="A141">
        <v>140</v>
      </c>
      <c r="B141">
        <v>11.80173278</v>
      </c>
      <c r="C141">
        <v>-7.8011649739999998</v>
      </c>
      <c r="D141">
        <v>-3.164053274</v>
      </c>
      <c r="E141">
        <v>31.71465808</v>
      </c>
      <c r="F141">
        <v>15.12925598</v>
      </c>
      <c r="G141">
        <v>19.45213987</v>
      </c>
      <c r="H141">
        <v>11.80173278</v>
      </c>
      <c r="I141">
        <v>7.8011649739999998</v>
      </c>
      <c r="J141">
        <v>3.164053274</v>
      </c>
      <c r="K141">
        <v>31.71465808</v>
      </c>
      <c r="L141">
        <v>15.12925598</v>
      </c>
      <c r="M141">
        <v>19.45213987</v>
      </c>
      <c r="N141">
        <v>8.1325239999999993E-2</v>
      </c>
      <c r="O141">
        <v>26.593185420000001</v>
      </c>
      <c r="P141">
        <v>538.88823643312196</v>
      </c>
      <c r="Q141">
        <v>3.5432400413399998</v>
      </c>
      <c r="R141">
        <v>0.43860651187438399</v>
      </c>
      <c r="S141">
        <v>0.31639579928432798</v>
      </c>
      <c r="T141">
        <v>0.16201722699853299</v>
      </c>
      <c r="U141">
        <v>0.354379075325228</v>
      </c>
      <c r="V141">
        <v>0.74148898512220296</v>
      </c>
      <c r="W141">
        <v>0.66240484819491596</v>
      </c>
      <c r="X141">
        <v>0.109818603186427</v>
      </c>
      <c r="Y141">
        <v>0.331977472193349</v>
      </c>
      <c r="Z141">
        <v>0.46159350952502798</v>
      </c>
      <c r="AA141" s="1">
        <v>8.0515496224752706E-5</v>
      </c>
    </row>
    <row r="142" spans="1:27" x14ac:dyDescent="0.55000000000000004">
      <c r="A142">
        <v>141</v>
      </c>
      <c r="B142">
        <v>11.82257998</v>
      </c>
      <c r="C142">
        <v>-8.2927225230000001</v>
      </c>
      <c r="D142">
        <v>-3.4760376829999999</v>
      </c>
      <c r="E142">
        <v>31.33025713</v>
      </c>
      <c r="F142">
        <v>15.713492110000001</v>
      </c>
      <c r="G142">
        <v>19.54477614</v>
      </c>
      <c r="H142">
        <v>11.82257998</v>
      </c>
      <c r="I142">
        <v>8.2927225230000001</v>
      </c>
      <c r="J142">
        <v>3.4760376829999999</v>
      </c>
      <c r="K142">
        <v>31.33025713</v>
      </c>
      <c r="L142">
        <v>15.713492110000001</v>
      </c>
      <c r="M142">
        <v>19.54477614</v>
      </c>
      <c r="N142">
        <v>8.3756319999999995E-2</v>
      </c>
      <c r="O142">
        <v>27.486860279999998</v>
      </c>
      <c r="P142">
        <v>538.88823643312196</v>
      </c>
      <c r="Q142">
        <v>7.5849660478900001</v>
      </c>
      <c r="R142">
        <v>0.43939407010346399</v>
      </c>
      <c r="S142">
        <v>0.33637543982017698</v>
      </c>
      <c r="T142">
        <v>0.178015959841724</v>
      </c>
      <c r="U142">
        <v>0.34340919220961702</v>
      </c>
      <c r="V142">
        <v>0.77022263060136698</v>
      </c>
      <c r="W142">
        <v>0.66750458602714602</v>
      </c>
      <c r="X142">
        <v>0.113264108034778</v>
      </c>
      <c r="Y142">
        <v>0.34356906600695503</v>
      </c>
      <c r="Z142">
        <v>0.46159350952502798</v>
      </c>
      <c r="AA142">
        <v>1.7393500718612101E-4</v>
      </c>
    </row>
    <row r="143" spans="1:27" x14ac:dyDescent="0.55000000000000004">
      <c r="A143">
        <v>142</v>
      </c>
      <c r="B143">
        <v>11.90047949</v>
      </c>
      <c r="C143">
        <v>-8.3304465160000003</v>
      </c>
      <c r="D143">
        <v>-3.468113792</v>
      </c>
      <c r="E143">
        <v>31.44940016</v>
      </c>
      <c r="F143">
        <v>15.54296675</v>
      </c>
      <c r="G143">
        <v>19.603558759999999</v>
      </c>
      <c r="H143">
        <v>11.90047949</v>
      </c>
      <c r="I143">
        <v>8.3304465160000003</v>
      </c>
      <c r="J143">
        <v>3.468113792</v>
      </c>
      <c r="K143">
        <v>31.44940016</v>
      </c>
      <c r="L143">
        <v>15.54296675</v>
      </c>
      <c r="M143">
        <v>19.603558759999999</v>
      </c>
      <c r="N143">
        <v>9.1677918999999997E-2</v>
      </c>
      <c r="O143">
        <v>30.722345350000001</v>
      </c>
      <c r="P143">
        <v>538.88823643312196</v>
      </c>
      <c r="Q143">
        <v>11.213539684100001</v>
      </c>
      <c r="R143">
        <v>0.442336930542365</v>
      </c>
      <c r="S143">
        <v>0.33790875330758102</v>
      </c>
      <c r="T143">
        <v>0.177609618333845</v>
      </c>
      <c r="U143">
        <v>0.34680924913751898</v>
      </c>
      <c r="V143">
        <v>0.76183592702751102</v>
      </c>
      <c r="W143">
        <v>0.67074063980059295</v>
      </c>
      <c r="X143">
        <v>0.124491179032518</v>
      </c>
      <c r="Y143">
        <v>0.38553559141802701</v>
      </c>
      <c r="Z143">
        <v>0.46159350952502798</v>
      </c>
      <c r="AA143">
        <v>2.5780501075209897E-4</v>
      </c>
    </row>
    <row r="144" spans="1:27" x14ac:dyDescent="0.55000000000000004">
      <c r="A144">
        <v>143</v>
      </c>
      <c r="B144">
        <v>12.06099139</v>
      </c>
      <c r="C144">
        <v>-8.5178609729999994</v>
      </c>
      <c r="D144">
        <v>-3.550575754</v>
      </c>
      <c r="E144">
        <v>31.108144190000001</v>
      </c>
      <c r="F144">
        <v>15.371157970000001</v>
      </c>
      <c r="G144">
        <v>19.365656019999999</v>
      </c>
      <c r="H144">
        <v>12.06099139</v>
      </c>
      <c r="I144">
        <v>8.5178609729999994</v>
      </c>
      <c r="J144">
        <v>3.550575754</v>
      </c>
      <c r="K144">
        <v>31.108144190000001</v>
      </c>
      <c r="L144">
        <v>15.371157970000001</v>
      </c>
      <c r="M144">
        <v>19.365656019999999</v>
      </c>
      <c r="N144">
        <v>9.1541089000000006E-2</v>
      </c>
      <c r="O144">
        <v>31.074586870000001</v>
      </c>
      <c r="P144">
        <v>538.88823643312196</v>
      </c>
      <c r="Q144">
        <v>13.2757616042</v>
      </c>
      <c r="R144">
        <v>0.44840069295220403</v>
      </c>
      <c r="S144">
        <v>0.34552632217555701</v>
      </c>
      <c r="T144">
        <v>0.18183831329969999</v>
      </c>
      <c r="U144">
        <v>0.33707062049103897</v>
      </c>
      <c r="V144">
        <v>0.753386102853289</v>
      </c>
      <c r="W144">
        <v>0.65764380846693604</v>
      </c>
      <c r="X144">
        <v>0.124297253522704</v>
      </c>
      <c r="Y144">
        <v>0.39010441259324402</v>
      </c>
      <c r="Z144">
        <v>0.46159350952502798</v>
      </c>
      <c r="AA144">
        <v>3.0547072657681002E-4</v>
      </c>
    </row>
    <row r="145" spans="1:27" x14ac:dyDescent="0.55000000000000004">
      <c r="A145">
        <v>144</v>
      </c>
      <c r="B145">
        <v>12.78431009</v>
      </c>
      <c r="C145">
        <v>-8.0853415799999997</v>
      </c>
      <c r="D145">
        <v>-3.0449127379999998</v>
      </c>
      <c r="E145">
        <v>30.762608620000002</v>
      </c>
      <c r="F145">
        <v>14.476433500000001</v>
      </c>
      <c r="G145">
        <v>19.050176019999999</v>
      </c>
      <c r="H145">
        <v>12.78431009</v>
      </c>
      <c r="I145">
        <v>8.0853415799999997</v>
      </c>
      <c r="J145">
        <v>3.0449127379999998</v>
      </c>
      <c r="K145">
        <v>30.762608620000002</v>
      </c>
      <c r="L145">
        <v>14.476433500000001</v>
      </c>
      <c r="M145">
        <v>19.050176019999999</v>
      </c>
      <c r="N145">
        <v>0.101727374</v>
      </c>
      <c r="O145">
        <v>41.196262359999999</v>
      </c>
      <c r="P145">
        <v>540.33686072460898</v>
      </c>
      <c r="Q145">
        <v>10.914095574299999</v>
      </c>
      <c r="R145">
        <v>0.47572597377806902</v>
      </c>
      <c r="S145">
        <v>0.32794632159474302</v>
      </c>
      <c r="T145">
        <v>0.155907634495599</v>
      </c>
      <c r="U145">
        <v>0.327209862303043</v>
      </c>
      <c r="V145">
        <v>0.70938215581476505</v>
      </c>
      <c r="W145">
        <v>0.64027625587320702</v>
      </c>
      <c r="X145">
        <v>0.13873400359023699</v>
      </c>
      <c r="Y145">
        <v>0.52138968897800297</v>
      </c>
      <c r="Z145">
        <v>0.46283435229256797</v>
      </c>
      <c r="AA145">
        <v>2.5088372953401401E-4</v>
      </c>
    </row>
    <row r="146" spans="1:27" x14ac:dyDescent="0.55000000000000004">
      <c r="A146">
        <v>145</v>
      </c>
      <c r="B146">
        <v>14.236444069999999</v>
      </c>
      <c r="C146">
        <v>-6.6683857480000004</v>
      </c>
      <c r="D146">
        <v>-1.6798832829999999</v>
      </c>
      <c r="E146">
        <v>30.422987590000002</v>
      </c>
      <c r="F146">
        <v>13.0761138</v>
      </c>
      <c r="G146">
        <v>18.6199762</v>
      </c>
      <c r="H146">
        <v>14.236444069999999</v>
      </c>
      <c r="I146">
        <v>6.6683857480000004</v>
      </c>
      <c r="J146">
        <v>1.6798832829999999</v>
      </c>
      <c r="K146">
        <v>30.422987590000002</v>
      </c>
      <c r="L146">
        <v>13.0761138</v>
      </c>
      <c r="M146">
        <v>18.6199762</v>
      </c>
      <c r="N146">
        <v>0.12112861900000001</v>
      </c>
      <c r="O146">
        <v>55.013828279999998</v>
      </c>
      <c r="P146">
        <v>202.31528513617801</v>
      </c>
      <c r="Q146">
        <v>31.8140128651</v>
      </c>
      <c r="R146">
        <v>0.53058418330629098</v>
      </c>
      <c r="S146">
        <v>0.27035333327399103</v>
      </c>
      <c r="T146">
        <v>8.5908169959435399E-2</v>
      </c>
      <c r="U146">
        <v>0.31751789093121502</v>
      </c>
      <c r="V146">
        <v>0.64051224560005804</v>
      </c>
      <c r="W146">
        <v>0.61659323951824696</v>
      </c>
      <c r="X146">
        <v>0.16623087070754</v>
      </c>
      <c r="Y146">
        <v>0.70061327331086098</v>
      </c>
      <c r="Z146">
        <v>0.17329645774918501</v>
      </c>
      <c r="AA146">
        <v>7.3395953657175996E-4</v>
      </c>
    </row>
    <row r="147" spans="1:27" x14ac:dyDescent="0.55000000000000004">
      <c r="A147">
        <v>146</v>
      </c>
      <c r="B147">
        <v>14.6626318</v>
      </c>
      <c r="C147">
        <v>-6.094755063</v>
      </c>
      <c r="D147">
        <v>-1.170096018</v>
      </c>
      <c r="E147">
        <v>30.084560830000001</v>
      </c>
      <c r="F147">
        <v>13.07317817</v>
      </c>
      <c r="G147">
        <v>18.496926500000001</v>
      </c>
      <c r="H147">
        <v>14.6626318</v>
      </c>
      <c r="I147">
        <v>6.094755063</v>
      </c>
      <c r="J147">
        <v>1.170096018</v>
      </c>
      <c r="K147">
        <v>30.084560830000001</v>
      </c>
      <c r="L147">
        <v>13.07317817</v>
      </c>
      <c r="M147">
        <v>18.496926500000001</v>
      </c>
      <c r="N147">
        <v>0.10347746300000001</v>
      </c>
      <c r="O147">
        <v>44.455818180000001</v>
      </c>
      <c r="P147">
        <v>410.07181265988203</v>
      </c>
      <c r="Q147">
        <v>4.4657797190700004</v>
      </c>
      <c r="R147">
        <v>0.54668455428631402</v>
      </c>
      <c r="S147">
        <v>0.24703778271445201</v>
      </c>
      <c r="T147">
        <v>5.9765997388254298E-2</v>
      </c>
      <c r="U147">
        <v>0.30786000116690798</v>
      </c>
      <c r="V147">
        <v>0.64036786673105905</v>
      </c>
      <c r="W147">
        <v>0.60981920586669203</v>
      </c>
      <c r="X147">
        <v>0.14121435805596599</v>
      </c>
      <c r="Y147">
        <v>0.56366842900904202</v>
      </c>
      <c r="Z147">
        <v>0.35125370042560899</v>
      </c>
      <c r="AA147">
        <v>1.01838862874626E-4</v>
      </c>
    </row>
    <row r="148" spans="1:27" x14ac:dyDescent="0.55000000000000004">
      <c r="A148">
        <v>147</v>
      </c>
      <c r="B148">
        <v>9.2586644549999999</v>
      </c>
      <c r="C148">
        <v>-6.1711841600000001</v>
      </c>
      <c r="D148">
        <v>-2.9432023030000001</v>
      </c>
      <c r="E148">
        <v>33.708550029999998</v>
      </c>
      <c r="F148">
        <v>16.381114780000001</v>
      </c>
      <c r="G148">
        <v>22.664103229999998</v>
      </c>
      <c r="H148">
        <v>9.2586644549999999</v>
      </c>
      <c r="I148">
        <v>6.1711841600000001</v>
      </c>
      <c r="J148">
        <v>2.9432023030000001</v>
      </c>
      <c r="K148">
        <v>33.708550029999998</v>
      </c>
      <c r="L148">
        <v>16.381114780000001</v>
      </c>
      <c r="M148">
        <v>22.664103229999998</v>
      </c>
      <c r="N148">
        <v>0.10580506200000001</v>
      </c>
      <c r="O148">
        <v>32.586624149999999</v>
      </c>
      <c r="P148">
        <v>96.791752525731098</v>
      </c>
      <c r="Q148">
        <v>50.584194262399997</v>
      </c>
      <c r="R148">
        <v>0.34253536627841402</v>
      </c>
      <c r="S148">
        <v>0.25014428751261097</v>
      </c>
      <c r="T148">
        <v>0.150691867200863</v>
      </c>
      <c r="U148">
        <v>0.41127997954166401</v>
      </c>
      <c r="V148">
        <v>0.803057356371634</v>
      </c>
      <c r="W148">
        <v>0.83922728569945004</v>
      </c>
      <c r="X148">
        <v>0.14451320204280099</v>
      </c>
      <c r="Y148">
        <v>0.40971660352003098</v>
      </c>
      <c r="Z148">
        <v>8.29085545402789E-2</v>
      </c>
      <c r="AA148">
        <v>1.16780912557166E-3</v>
      </c>
    </row>
    <row r="149" spans="1:27" x14ac:dyDescent="0.55000000000000004">
      <c r="A149">
        <v>148</v>
      </c>
      <c r="B149">
        <v>9.2586644549999999</v>
      </c>
      <c r="C149">
        <v>-6.1711841600000001</v>
      </c>
      <c r="D149">
        <v>-2.9432023030000001</v>
      </c>
      <c r="E149">
        <v>33.708550029999998</v>
      </c>
      <c r="F149">
        <v>16.381114780000001</v>
      </c>
      <c r="G149">
        <v>22.664103229999998</v>
      </c>
      <c r="H149">
        <v>9.2586644549999999</v>
      </c>
      <c r="I149">
        <v>6.1711841600000001</v>
      </c>
      <c r="J149">
        <v>2.9432023030000001</v>
      </c>
      <c r="K149">
        <v>33.708550029999998</v>
      </c>
      <c r="L149">
        <v>16.381114780000001</v>
      </c>
      <c r="M149">
        <v>22.664103229999998</v>
      </c>
      <c r="N149">
        <v>6.7216298999999993E-2</v>
      </c>
      <c r="O149">
        <v>37.68954849</v>
      </c>
      <c r="P149">
        <v>419.973554013431</v>
      </c>
      <c r="Q149">
        <v>6.3185791303199998</v>
      </c>
      <c r="R149">
        <v>0.34253536627841402</v>
      </c>
      <c r="S149">
        <v>0.25014428751261097</v>
      </c>
      <c r="T149">
        <v>0.150691867200863</v>
      </c>
      <c r="U149">
        <v>0.41127997954166401</v>
      </c>
      <c r="V149">
        <v>0.803057356371634</v>
      </c>
      <c r="W149">
        <v>0.83922728569945004</v>
      </c>
      <c r="X149">
        <v>8.9822377385306407E-2</v>
      </c>
      <c r="Y149">
        <v>0.47590513456010403</v>
      </c>
      <c r="Z149">
        <v>0.35973519850403501</v>
      </c>
      <c r="AA149">
        <v>1.44664035740868E-4</v>
      </c>
    </row>
    <row r="150" spans="1:27" x14ac:dyDescent="0.55000000000000004">
      <c r="A150">
        <v>149</v>
      </c>
      <c r="B150">
        <v>21.360120569999999</v>
      </c>
      <c r="C150">
        <v>3.5478294670000001</v>
      </c>
      <c r="D150">
        <v>8.2188199050000001</v>
      </c>
      <c r="E150">
        <v>37.752248539999997</v>
      </c>
      <c r="F150">
        <v>8.3329719149999999</v>
      </c>
      <c r="G150">
        <v>14.902689479999999</v>
      </c>
      <c r="H150">
        <v>21.360120569999999</v>
      </c>
      <c r="I150">
        <v>3.5478294670000001</v>
      </c>
      <c r="J150">
        <v>8.2188199050000001</v>
      </c>
      <c r="K150">
        <v>37.752248539999997</v>
      </c>
      <c r="L150">
        <v>8.3329719149999999</v>
      </c>
      <c r="M150">
        <v>14.902689479999999</v>
      </c>
      <c r="N150">
        <v>4.0393863000000002E-2</v>
      </c>
      <c r="O150">
        <v>18.9692173</v>
      </c>
      <c r="P150">
        <v>489.352263103697</v>
      </c>
      <c r="Q150">
        <v>16.428733532599999</v>
      </c>
      <c r="R150">
        <v>0.79969994220360296</v>
      </c>
      <c r="S150">
        <v>0.14351652058928799</v>
      </c>
      <c r="T150">
        <v>0.42122845224294903</v>
      </c>
      <c r="U150">
        <v>0.52667745712195801</v>
      </c>
      <c r="V150">
        <v>0.40723711867328</v>
      </c>
      <c r="W150">
        <v>0.41195214462928398</v>
      </c>
      <c r="X150">
        <v>5.1807654183039703E-2</v>
      </c>
      <c r="Y150">
        <v>0.233089223625049</v>
      </c>
      <c r="Z150">
        <v>0.41916266351470599</v>
      </c>
      <c r="AA150">
        <v>3.7834778334629502E-4</v>
      </c>
    </row>
    <row r="151" spans="1:27" x14ac:dyDescent="0.55000000000000004">
      <c r="A151">
        <v>150</v>
      </c>
      <c r="B151">
        <v>19.02073815</v>
      </c>
      <c r="C151">
        <v>-1.7111851490000001</v>
      </c>
      <c r="D151">
        <v>3.6150132510000001</v>
      </c>
      <c r="E151">
        <v>29.704600110000001</v>
      </c>
      <c r="F151">
        <v>8.9184901930000002</v>
      </c>
      <c r="G151">
        <v>12.061957250000001</v>
      </c>
      <c r="H151">
        <v>19.02073815</v>
      </c>
      <c r="I151">
        <v>1.7111851490000001</v>
      </c>
      <c r="J151">
        <v>3.6150132510000001</v>
      </c>
      <c r="K151">
        <v>29.704600110000001</v>
      </c>
      <c r="L151">
        <v>8.9184901930000002</v>
      </c>
      <c r="M151">
        <v>12.061957250000001</v>
      </c>
      <c r="N151">
        <v>7.6713875000000001E-2</v>
      </c>
      <c r="O151">
        <v>34.567737579999999</v>
      </c>
      <c r="P151">
        <v>209.98677700671499</v>
      </c>
      <c r="Q151">
        <v>80.574508427599994</v>
      </c>
      <c r="R151">
        <v>0.71132357147574499</v>
      </c>
      <c r="S151">
        <v>6.8865051314733305E-2</v>
      </c>
      <c r="T151">
        <v>0.185142703743092</v>
      </c>
      <c r="U151">
        <v>0.297016831588573</v>
      </c>
      <c r="V151">
        <v>0.436033822193862</v>
      </c>
      <c r="W151">
        <v>0.25556642632946802</v>
      </c>
      <c r="X151">
        <v>0.103283038554653</v>
      </c>
      <c r="Y151">
        <v>0.43541304325118801</v>
      </c>
      <c r="Z151">
        <v>0.17986759925201701</v>
      </c>
      <c r="AA151">
        <v>1.86099824288204E-3</v>
      </c>
    </row>
    <row r="152" spans="1:27" x14ac:dyDescent="0.55000000000000004">
      <c r="A152">
        <v>151</v>
      </c>
      <c r="B152">
        <v>18.13942806</v>
      </c>
      <c r="C152">
        <v>2.508941562</v>
      </c>
      <c r="D152">
        <v>12.76602072</v>
      </c>
      <c r="E152">
        <v>31.812910509999998</v>
      </c>
      <c r="F152">
        <v>9.2284980210000001</v>
      </c>
      <c r="G152">
        <v>17.743024139999999</v>
      </c>
      <c r="H152">
        <v>18.13942806</v>
      </c>
      <c r="I152">
        <v>2.508941562</v>
      </c>
      <c r="J152">
        <v>12.76602072</v>
      </c>
      <c r="K152">
        <v>31.812910509999998</v>
      </c>
      <c r="L152">
        <v>9.2284980210000001</v>
      </c>
      <c r="M152">
        <v>17.743024139999999</v>
      </c>
      <c r="N152" t="s">
        <v>27</v>
      </c>
      <c r="O152">
        <v>39</v>
      </c>
      <c r="P152">
        <v>591.71156025429798</v>
      </c>
      <c r="Q152">
        <v>11.2986178365</v>
      </c>
      <c r="R152">
        <v>0.67802974718512599</v>
      </c>
      <c r="S152">
        <v>0.101290321558946</v>
      </c>
      <c r="T152">
        <v>0.65441142204809999</v>
      </c>
      <c r="U152">
        <v>0.35718296452717901</v>
      </c>
      <c r="V152">
        <v>0.451280491422479</v>
      </c>
      <c r="W152">
        <v>0.56831597622349295</v>
      </c>
      <c r="X152" t="s">
        <v>27</v>
      </c>
      <c r="Y152">
        <v>0.49290261574285399</v>
      </c>
      <c r="Z152">
        <v>0.50684018922392604</v>
      </c>
      <c r="AA152">
        <v>2.5977148729648198E-4</v>
      </c>
    </row>
    <row r="153" spans="1:27" x14ac:dyDescent="0.55000000000000004">
      <c r="A153">
        <v>152</v>
      </c>
      <c r="B153">
        <v>15.1464578</v>
      </c>
      <c r="C153">
        <v>-4.9536854339999996</v>
      </c>
      <c r="D153">
        <v>-0.217801516</v>
      </c>
      <c r="E153">
        <v>30.193314430000001</v>
      </c>
      <c r="F153">
        <v>13.24995494</v>
      </c>
      <c r="G153">
        <v>18.66516442</v>
      </c>
      <c r="H153">
        <v>15.1464578</v>
      </c>
      <c r="I153">
        <v>4.9536854339999996</v>
      </c>
      <c r="J153">
        <v>0.217801516</v>
      </c>
      <c r="K153">
        <v>30.193314430000001</v>
      </c>
      <c r="L153">
        <v>13.24995494</v>
      </c>
      <c r="M153">
        <v>18.66516442</v>
      </c>
      <c r="N153">
        <v>8.2917540999999997E-2</v>
      </c>
      <c r="O153">
        <v>27.676256179999999</v>
      </c>
      <c r="P153">
        <v>427.38485662019002</v>
      </c>
      <c r="Q153">
        <v>5.2639244636300004</v>
      </c>
      <c r="R153">
        <v>0.56496236366806396</v>
      </c>
      <c r="S153">
        <v>0.20065834848508499</v>
      </c>
      <c r="T153">
        <v>1.0931809249264599E-2</v>
      </c>
      <c r="U153">
        <v>0.31096356862792002</v>
      </c>
      <c r="V153">
        <v>0.64906202441372596</v>
      </c>
      <c r="W153">
        <v>0.61908090525765103</v>
      </c>
      <c r="X153">
        <v>0.112075328927881</v>
      </c>
      <c r="Y153">
        <v>0.34602566453179501</v>
      </c>
      <c r="Z153">
        <v>0.36608347064864399</v>
      </c>
      <c r="AA153">
        <v>1.2028699409191999E-4</v>
      </c>
    </row>
    <row r="154" spans="1:27" x14ac:dyDescent="0.55000000000000004">
      <c r="A154">
        <v>153</v>
      </c>
      <c r="B154">
        <v>15.56875069</v>
      </c>
      <c r="C154">
        <v>-7.1062352430000004</v>
      </c>
      <c r="D154">
        <v>0.31219367100000001</v>
      </c>
      <c r="E154">
        <v>35.340279610000003</v>
      </c>
      <c r="F154">
        <v>6.4155477080000001</v>
      </c>
      <c r="G154">
        <v>12.086330670000001</v>
      </c>
      <c r="H154">
        <v>15.56875069</v>
      </c>
      <c r="I154">
        <v>7.1062352430000004</v>
      </c>
      <c r="J154">
        <v>0.31219367100000001</v>
      </c>
      <c r="K154">
        <v>35.340279610000003</v>
      </c>
      <c r="L154">
        <v>6.4155477080000001</v>
      </c>
      <c r="M154">
        <v>12.086330670000001</v>
      </c>
      <c r="N154">
        <v>6.6851525999999994E-2</v>
      </c>
      <c r="O154">
        <v>33.35660172</v>
      </c>
      <c r="P154">
        <v>128.09222383487801</v>
      </c>
      <c r="Q154">
        <v>126.617409501</v>
      </c>
      <c r="R154">
        <v>0.58091559674501403</v>
      </c>
      <c r="S154">
        <v>0.28814997892962102</v>
      </c>
      <c r="T154">
        <v>1.57722911027602E-2</v>
      </c>
      <c r="U154">
        <v>0.45784563649148302</v>
      </c>
      <c r="V154">
        <v>0.31293520106146799</v>
      </c>
      <c r="W154">
        <v>0.25690821234994199</v>
      </c>
      <c r="X154">
        <v>8.9305394340714203E-2</v>
      </c>
      <c r="Y154">
        <v>0.41970375615966898</v>
      </c>
      <c r="Z154">
        <v>0.10971948382871199</v>
      </c>
      <c r="AA154">
        <v>2.9252231048714499E-3</v>
      </c>
    </row>
    <row r="155" spans="1:27" x14ac:dyDescent="0.55000000000000004">
      <c r="A155">
        <v>154</v>
      </c>
      <c r="B155">
        <v>15.78891314</v>
      </c>
      <c r="C155">
        <v>-6.7959738090000004</v>
      </c>
      <c r="D155">
        <v>0.213735957</v>
      </c>
      <c r="E155">
        <v>34.773822809999999</v>
      </c>
      <c r="F155">
        <v>6.1318019369999996</v>
      </c>
      <c r="G155">
        <v>12.070275540000001</v>
      </c>
      <c r="H155">
        <v>15.78891314</v>
      </c>
      <c r="I155">
        <v>6.7959738090000004</v>
      </c>
      <c r="J155">
        <v>0.213735957</v>
      </c>
      <c r="K155">
        <v>34.773822809999999</v>
      </c>
      <c r="L155">
        <v>6.1318019369999996</v>
      </c>
      <c r="M155">
        <v>12.070275540000001</v>
      </c>
      <c r="N155">
        <v>8.5957132000000006E-2</v>
      </c>
      <c r="O155">
        <v>42.164825440000001</v>
      </c>
      <c r="P155">
        <v>192.138335752317</v>
      </c>
      <c r="Q155">
        <v>68.981480055600002</v>
      </c>
      <c r="R155">
        <v>0.58923281676650696</v>
      </c>
      <c r="S155">
        <v>0.27553922371679301</v>
      </c>
      <c r="T155">
        <v>1.0723325137806199E-2</v>
      </c>
      <c r="U155">
        <v>0.44168031513615602</v>
      </c>
      <c r="V155">
        <v>0.29898014081874502</v>
      </c>
      <c r="W155">
        <v>0.25602435817638403</v>
      </c>
      <c r="X155">
        <v>0.116383260187857</v>
      </c>
      <c r="Y155">
        <v>0.53395263587148001</v>
      </c>
      <c r="Z155">
        <v>0.16457922574306699</v>
      </c>
      <c r="AA155">
        <v>1.59303969266899E-3</v>
      </c>
    </row>
    <row r="156" spans="1:27" x14ac:dyDescent="0.55000000000000004">
      <c r="A156">
        <v>155</v>
      </c>
      <c r="B156">
        <v>15.81902045</v>
      </c>
      <c r="C156">
        <v>-6.3755366120000003</v>
      </c>
      <c r="D156">
        <v>0.34084927900000001</v>
      </c>
      <c r="E156">
        <v>34.547344270000004</v>
      </c>
      <c r="F156">
        <v>6.6351626530000001</v>
      </c>
      <c r="G156">
        <v>12.307646030000001</v>
      </c>
      <c r="H156">
        <v>15.81902045</v>
      </c>
      <c r="I156">
        <v>6.3755366120000003</v>
      </c>
      <c r="J156">
        <v>0.34084927900000001</v>
      </c>
      <c r="K156">
        <v>34.547344270000004</v>
      </c>
      <c r="L156">
        <v>6.6351626530000001</v>
      </c>
      <c r="M156">
        <v>12.307646030000001</v>
      </c>
      <c r="N156">
        <v>5.5785878999999997E-2</v>
      </c>
      <c r="O156">
        <v>27.669021610000001</v>
      </c>
      <c r="P156">
        <v>346.95100035941101</v>
      </c>
      <c r="Q156">
        <v>43.5773259403</v>
      </c>
      <c r="R156">
        <v>0.590370200191906</v>
      </c>
      <c r="S156">
        <v>0.25845031097188897</v>
      </c>
      <c r="T156">
        <v>1.7241766511229099E-2</v>
      </c>
      <c r="U156">
        <v>0.43521715964188901</v>
      </c>
      <c r="V156">
        <v>0.323736207105987</v>
      </c>
      <c r="W156">
        <v>0.26909188850881099</v>
      </c>
      <c r="X156">
        <v>7.3622347962712095E-2</v>
      </c>
      <c r="Y156">
        <v>0.34593182705173398</v>
      </c>
      <c r="Z156">
        <v>0.29718653899210701</v>
      </c>
      <c r="AA156">
        <v>1.0058540076442E-3</v>
      </c>
    </row>
    <row r="157" spans="1:27" x14ac:dyDescent="0.55000000000000004">
      <c r="A157">
        <v>156</v>
      </c>
      <c r="B157">
        <v>16.218217190000001</v>
      </c>
      <c r="C157">
        <v>-10.65258305</v>
      </c>
      <c r="D157">
        <v>-1.3936814710000001</v>
      </c>
      <c r="E157">
        <v>34.994502500000003</v>
      </c>
      <c r="F157">
        <v>7.0127393590000002</v>
      </c>
      <c r="G157">
        <v>11.92993514</v>
      </c>
      <c r="H157">
        <v>16.218217190000001</v>
      </c>
      <c r="I157">
        <v>10.65258305</v>
      </c>
      <c r="J157">
        <v>1.3936814710000001</v>
      </c>
      <c r="K157">
        <v>34.994502500000003</v>
      </c>
      <c r="L157">
        <v>7.0127393590000002</v>
      </c>
      <c r="M157">
        <v>11.92993514</v>
      </c>
      <c r="N157">
        <v>6.3190213999999995E-2</v>
      </c>
      <c r="O157">
        <v>30.198541639999998</v>
      </c>
      <c r="P157">
        <v>323.96312670171699</v>
      </c>
      <c r="Q157">
        <v>62.177679156000004</v>
      </c>
      <c r="R157">
        <v>0.605450914993376</v>
      </c>
      <c r="S157">
        <v>0.43229333415445398</v>
      </c>
      <c r="T157">
        <v>7.1231582933494797E-2</v>
      </c>
      <c r="U157">
        <v>0.44797798532997102</v>
      </c>
      <c r="V157">
        <v>0.34230601930057702</v>
      </c>
      <c r="W157">
        <v>0.248298450740017</v>
      </c>
      <c r="X157">
        <v>8.4116314488416805E-2</v>
      </c>
      <c r="Y157">
        <v>0.37874148752617098</v>
      </c>
      <c r="Z157">
        <v>0.27749590082118197</v>
      </c>
      <c r="AA157">
        <v>1.43577822771835E-3</v>
      </c>
    </row>
    <row r="158" spans="1:27" x14ac:dyDescent="0.55000000000000004">
      <c r="A158">
        <v>157</v>
      </c>
      <c r="B158">
        <v>15.937912949999999</v>
      </c>
      <c r="C158">
        <v>-5.8956736300000001</v>
      </c>
      <c r="D158">
        <v>0.31266334099999998</v>
      </c>
      <c r="E158">
        <v>34.001657620000003</v>
      </c>
      <c r="F158">
        <v>5.7694840699999999</v>
      </c>
      <c r="G158">
        <v>11.754430729999999</v>
      </c>
      <c r="H158">
        <v>15.937912949999999</v>
      </c>
      <c r="I158">
        <v>5.8956736300000001</v>
      </c>
      <c r="J158">
        <v>0.31266334099999998</v>
      </c>
      <c r="K158">
        <v>34.001657620000003</v>
      </c>
      <c r="L158">
        <v>5.7694840699999999</v>
      </c>
      <c r="M158">
        <v>11.754430729999999</v>
      </c>
      <c r="N158">
        <v>9.0367481E-2</v>
      </c>
      <c r="O158">
        <v>38.741661069999999</v>
      </c>
      <c r="P158">
        <v>320.289806684251</v>
      </c>
      <c r="Q158">
        <v>26.859157353699999</v>
      </c>
      <c r="R158">
        <v>0.59486167946734803</v>
      </c>
      <c r="S158">
        <v>0.23894600286732501</v>
      </c>
      <c r="T158">
        <v>1.57963760398202E-2</v>
      </c>
      <c r="U158">
        <v>0.41964456865778899</v>
      </c>
      <c r="V158">
        <v>0.28116078216123602</v>
      </c>
      <c r="W158">
        <v>0.23863672235436201</v>
      </c>
      <c r="X158">
        <v>0.122633930203824</v>
      </c>
      <c r="Y158">
        <v>0.489551777449382</v>
      </c>
      <c r="Z158">
        <v>0.27434945863922999</v>
      </c>
      <c r="AA158">
        <v>6.1943416349869904E-4</v>
      </c>
    </row>
    <row r="159" spans="1:27" x14ac:dyDescent="0.55000000000000004">
      <c r="A159">
        <v>158</v>
      </c>
      <c r="B159">
        <v>16.175083600000001</v>
      </c>
      <c r="C159">
        <v>-6.8388453599999997</v>
      </c>
      <c r="D159">
        <v>-0.81359040000000005</v>
      </c>
      <c r="E159">
        <v>33.348548950000001</v>
      </c>
      <c r="F159">
        <v>5.2647086400000003</v>
      </c>
      <c r="G159">
        <v>12.28476706</v>
      </c>
      <c r="H159">
        <v>16.175083600000001</v>
      </c>
      <c r="I159">
        <v>6.8388453599999997</v>
      </c>
      <c r="J159">
        <v>0.81359040000000005</v>
      </c>
      <c r="K159">
        <v>33.348548950000001</v>
      </c>
      <c r="L159">
        <v>5.2647086400000003</v>
      </c>
      <c r="M159">
        <v>12.28476706</v>
      </c>
      <c r="N159">
        <v>8.2678847E-2</v>
      </c>
      <c r="O159">
        <v>36.821800230000001</v>
      </c>
      <c r="P159">
        <v>640.57961336850201</v>
      </c>
      <c r="Q159">
        <v>6.6142937713199998</v>
      </c>
      <c r="R159">
        <v>0.60382142931883498</v>
      </c>
      <c r="S159">
        <v>0.27728176267268301</v>
      </c>
      <c r="T159">
        <v>4.1484192352674198E-2</v>
      </c>
      <c r="U159">
        <v>0.401006410318972</v>
      </c>
      <c r="V159">
        <v>0.25633513802962099</v>
      </c>
      <c r="W159">
        <v>0.267832373754261</v>
      </c>
      <c r="X159">
        <v>0.111737034287527</v>
      </c>
      <c r="Y159">
        <v>0.46464982705108099</v>
      </c>
      <c r="Z159">
        <v>0.54869891727845899</v>
      </c>
      <c r="AA159">
        <v>1.5149911488813501E-4</v>
      </c>
    </row>
    <row r="160" spans="1:27" x14ac:dyDescent="0.55000000000000004">
      <c r="A160">
        <v>159</v>
      </c>
      <c r="B160">
        <v>16.57451116</v>
      </c>
      <c r="C160">
        <v>-9.6893762209999998</v>
      </c>
      <c r="D160">
        <v>-3.0913954700000001</v>
      </c>
      <c r="E160">
        <v>33.036504460000003</v>
      </c>
      <c r="F160">
        <v>5.0652559659999996</v>
      </c>
      <c r="G160">
        <v>11.763311059999999</v>
      </c>
      <c r="H160">
        <v>16.57451116</v>
      </c>
      <c r="I160">
        <v>9.6893762209999998</v>
      </c>
      <c r="J160">
        <v>3.0913954700000001</v>
      </c>
      <c r="K160">
        <v>33.036504460000003</v>
      </c>
      <c r="L160">
        <v>5.0652559659999996</v>
      </c>
      <c r="M160">
        <v>11.763311059999999</v>
      </c>
      <c r="N160">
        <v>5.0230503000000003E-2</v>
      </c>
      <c r="O160">
        <v>26.243854519999999</v>
      </c>
      <c r="P160">
        <v>435.821645943276</v>
      </c>
      <c r="Q160">
        <v>19.482700837500001</v>
      </c>
      <c r="R160">
        <v>0.61891086395752204</v>
      </c>
      <c r="S160">
        <v>0.393143236176619</v>
      </c>
      <c r="T160">
        <v>0.15829129467103301</v>
      </c>
      <c r="U160">
        <v>0.39210140739905103</v>
      </c>
      <c r="V160">
        <v>0.246525743967349</v>
      </c>
      <c r="W160">
        <v>0.239125595177757</v>
      </c>
      <c r="X160">
        <v>6.5748861716924595E-2</v>
      </c>
      <c r="Y160">
        <v>0.32744640381425</v>
      </c>
      <c r="Z160">
        <v>0.373310140168364</v>
      </c>
      <c r="AA160">
        <v>4.4893647037095002E-4</v>
      </c>
    </row>
    <row r="161" spans="1:27" x14ac:dyDescent="0.55000000000000004">
      <c r="A161">
        <v>160</v>
      </c>
      <c r="B161">
        <v>16.920555459999999</v>
      </c>
      <c r="C161">
        <v>-12.136591900000001</v>
      </c>
      <c r="D161">
        <v>-5.1162582739999998</v>
      </c>
      <c r="E161">
        <v>32.660932709999997</v>
      </c>
      <c r="F161">
        <v>4.9003285549999998</v>
      </c>
      <c r="G161">
        <v>11.4417875</v>
      </c>
      <c r="H161">
        <v>16.920555459999999</v>
      </c>
      <c r="I161">
        <v>12.136591900000001</v>
      </c>
      <c r="J161">
        <v>5.1162582739999998</v>
      </c>
      <c r="K161">
        <v>32.660932709999997</v>
      </c>
      <c r="L161">
        <v>4.9003285549999998</v>
      </c>
      <c r="M161">
        <v>11.4417875</v>
      </c>
      <c r="N161">
        <v>5.5408291999999998E-2</v>
      </c>
      <c r="O161">
        <v>29.016683579999999</v>
      </c>
      <c r="P161">
        <v>328.43775552356402</v>
      </c>
      <c r="Q161">
        <v>25.757041331500002</v>
      </c>
      <c r="R161">
        <v>0.63198360447382596</v>
      </c>
      <c r="S161">
        <v>0.49261173112615497</v>
      </c>
      <c r="T161">
        <v>0.262127377855916</v>
      </c>
      <c r="U161">
        <v>0.38138348852027198</v>
      </c>
      <c r="V161">
        <v>0.23841435626958599</v>
      </c>
      <c r="W161">
        <v>0.22142533735341699</v>
      </c>
      <c r="X161">
        <v>7.3087203977662593E-2</v>
      </c>
      <c r="Y161">
        <v>0.36341195416897598</v>
      </c>
      <c r="Z161">
        <v>0.28132871713086599</v>
      </c>
      <c r="AA161">
        <v>5.9396011116319804E-4</v>
      </c>
    </row>
    <row r="162" spans="1:27" x14ac:dyDescent="0.55000000000000004">
      <c r="A162">
        <v>161</v>
      </c>
      <c r="B162">
        <v>16.963395370000001</v>
      </c>
      <c r="C162">
        <v>-12.488014140000001</v>
      </c>
      <c r="D162">
        <v>-5.4118918989999996</v>
      </c>
      <c r="E162">
        <v>32.979541050000002</v>
      </c>
      <c r="F162">
        <v>5.0720614389999996</v>
      </c>
      <c r="G162">
        <v>11.59713816</v>
      </c>
      <c r="H162">
        <v>16.963395370000001</v>
      </c>
      <c r="I162">
        <v>12.488014140000001</v>
      </c>
      <c r="J162">
        <v>5.4118918989999996</v>
      </c>
      <c r="K162">
        <v>32.979541050000002</v>
      </c>
      <c r="L162">
        <v>5.0720614389999996</v>
      </c>
      <c r="M162">
        <v>11.59713816</v>
      </c>
      <c r="N162">
        <v>9.6847057E-2</v>
      </c>
      <c r="O162">
        <v>45.114562990000003</v>
      </c>
      <c r="P162">
        <v>938.46223341261305</v>
      </c>
      <c r="Q162">
        <v>4.8488063254</v>
      </c>
      <c r="R162">
        <v>0.63360199560805897</v>
      </c>
      <c r="S162">
        <v>0.50689549107610699</v>
      </c>
      <c r="T162">
        <v>0.27728763346291602</v>
      </c>
      <c r="U162">
        <v>0.39047580800975001</v>
      </c>
      <c r="V162">
        <v>0.24686044775997401</v>
      </c>
      <c r="W162">
        <v>0.22997757761593901</v>
      </c>
      <c r="X162">
        <v>0.131817260461674</v>
      </c>
      <c r="Y162">
        <v>0.57221281422800396</v>
      </c>
      <c r="Z162">
        <v>0.80385513468409997</v>
      </c>
      <c r="AA162">
        <v>1.10692050396629E-4</v>
      </c>
    </row>
    <row r="163" spans="1:27" x14ac:dyDescent="0.55000000000000004">
      <c r="A163">
        <v>162</v>
      </c>
      <c r="B163">
        <v>17.17845647</v>
      </c>
      <c r="C163">
        <v>-13.72344476</v>
      </c>
      <c r="D163">
        <v>-6.4047916130000004</v>
      </c>
      <c r="E163">
        <v>33.286598830000003</v>
      </c>
      <c r="F163">
        <v>4.9121056000000003</v>
      </c>
      <c r="G163">
        <v>11.53910973</v>
      </c>
      <c r="H163">
        <v>17.17845647</v>
      </c>
      <c r="I163">
        <v>13.72344476</v>
      </c>
      <c r="J163">
        <v>6.4047916130000004</v>
      </c>
      <c r="K163">
        <v>33.286598830000003</v>
      </c>
      <c r="L163">
        <v>4.9121056000000003</v>
      </c>
      <c r="M163">
        <v>11.53910973</v>
      </c>
      <c r="N163">
        <v>8.4864452000000007E-2</v>
      </c>
      <c r="O163">
        <v>42.558681489999998</v>
      </c>
      <c r="P163">
        <v>985.31326657069303</v>
      </c>
      <c r="Q163">
        <v>1.2904587865899999</v>
      </c>
      <c r="R163">
        <v>0.64172649861374498</v>
      </c>
      <c r="S163">
        <v>0.557110282293932</v>
      </c>
      <c r="T163">
        <v>0.32820407930481899</v>
      </c>
      <c r="U163">
        <v>0.39923850216110202</v>
      </c>
      <c r="V163">
        <v>0.23899356973901401</v>
      </c>
      <c r="W163">
        <v>0.226783042907062</v>
      </c>
      <c r="X163">
        <v>0.114834633965069</v>
      </c>
      <c r="Y163">
        <v>0.53906122687809199</v>
      </c>
      <c r="Z163">
        <v>0.84398615139259903</v>
      </c>
      <c r="AA163" s="1">
        <v>2.8445236444494802E-5</v>
      </c>
    </row>
    <row r="164" spans="1:27" x14ac:dyDescent="0.55000000000000004">
      <c r="A164">
        <v>163</v>
      </c>
      <c r="B164">
        <v>17.573844999999999</v>
      </c>
      <c r="C164">
        <v>-14.663082559999999</v>
      </c>
      <c r="D164">
        <v>-6.4820583960000002</v>
      </c>
      <c r="E164">
        <v>32.076612470000001</v>
      </c>
      <c r="F164">
        <v>4.9475156089999999</v>
      </c>
      <c r="G164">
        <v>10.81018195</v>
      </c>
      <c r="H164">
        <v>17.573844999999999</v>
      </c>
      <c r="I164">
        <v>14.663082559999999</v>
      </c>
      <c r="J164">
        <v>6.4820583960000002</v>
      </c>
      <c r="K164">
        <v>32.076612470000001</v>
      </c>
      <c r="L164">
        <v>4.9475156089999999</v>
      </c>
      <c r="M164">
        <v>10.81018195</v>
      </c>
      <c r="N164">
        <v>2.6111249E-2</v>
      </c>
      <c r="O164">
        <v>16.956098560000001</v>
      </c>
      <c r="P164">
        <v>985.31326657069303</v>
      </c>
      <c r="Q164">
        <v>18.447143497500001</v>
      </c>
      <c r="R164">
        <v>0.65666334818997796</v>
      </c>
      <c r="S164">
        <v>0.595302403473004</v>
      </c>
      <c r="T164">
        <v>0.332166362621579</v>
      </c>
      <c r="U164">
        <v>0.364708387340409</v>
      </c>
      <c r="V164">
        <v>0.24073508929382101</v>
      </c>
      <c r="W164">
        <v>0.18665469386376299</v>
      </c>
      <c r="X164">
        <v>3.1565286270788202E-2</v>
      </c>
      <c r="Y164">
        <v>0.20697765242941499</v>
      </c>
      <c r="Z164">
        <v>0.84398615139259903</v>
      </c>
      <c r="AA164">
        <v>4.2500083987089199E-4</v>
      </c>
    </row>
    <row r="165" spans="1:27" x14ac:dyDescent="0.55000000000000004">
      <c r="A165">
        <v>164</v>
      </c>
      <c r="B165">
        <v>17.47575569</v>
      </c>
      <c r="C165">
        <v>-15.162433500000001</v>
      </c>
      <c r="D165">
        <v>-7.0841945470000001</v>
      </c>
      <c r="E165">
        <v>34.255141909999999</v>
      </c>
      <c r="F165">
        <v>5.2640543739999996</v>
      </c>
      <c r="G165">
        <v>11.83091727</v>
      </c>
      <c r="H165">
        <v>17.47575569</v>
      </c>
      <c r="I165">
        <v>15.162433500000001</v>
      </c>
      <c r="J165">
        <v>7.0841945470000001</v>
      </c>
      <c r="K165">
        <v>34.255141909999999</v>
      </c>
      <c r="L165">
        <v>5.2640543739999996</v>
      </c>
      <c r="M165">
        <v>11.83091727</v>
      </c>
      <c r="N165">
        <v>4.8250649E-2</v>
      </c>
      <c r="O165">
        <v>29.338214870000002</v>
      </c>
      <c r="P165">
        <v>1019.91095259512</v>
      </c>
      <c r="Q165">
        <v>7.08947929187</v>
      </c>
      <c r="R165">
        <v>0.65295776454923204</v>
      </c>
      <c r="S165">
        <v>0.61559881088803503</v>
      </c>
      <c r="T165">
        <v>0.36304423708317202</v>
      </c>
      <c r="U165">
        <v>0.42687840362345097</v>
      </c>
      <c r="V165">
        <v>0.256302960205745</v>
      </c>
      <c r="W165">
        <v>0.24284739816950901</v>
      </c>
      <c r="X165">
        <v>6.2942867444409606E-2</v>
      </c>
      <c r="Y165">
        <v>0.36758244198156298</v>
      </c>
      <c r="Z165">
        <v>0.87362136373118304</v>
      </c>
      <c r="AA165">
        <v>1.6248244202950001E-4</v>
      </c>
    </row>
    <row r="166" spans="1:27" x14ac:dyDescent="0.55000000000000004">
      <c r="A166">
        <v>165</v>
      </c>
      <c r="B166">
        <v>18.290576439999999</v>
      </c>
      <c r="C166">
        <v>-14.42997551</v>
      </c>
      <c r="D166">
        <v>-6.0420971300000001</v>
      </c>
      <c r="E166">
        <v>32.060358819999998</v>
      </c>
      <c r="F166">
        <v>4.6897550829999997</v>
      </c>
      <c r="G166">
        <v>10.72675549</v>
      </c>
      <c r="H166">
        <v>18.290576439999999</v>
      </c>
      <c r="I166">
        <v>14.42997551</v>
      </c>
      <c r="J166">
        <v>6.0420971300000001</v>
      </c>
      <c r="K166">
        <v>32.060358819999998</v>
      </c>
      <c r="L166">
        <v>4.6897550829999997</v>
      </c>
      <c r="M166">
        <v>10.72675549</v>
      </c>
      <c r="N166">
        <v>4.2240735000000001E-2</v>
      </c>
      <c r="O166">
        <v>22.50087547</v>
      </c>
      <c r="P166">
        <v>814.46889049096399</v>
      </c>
      <c r="Q166">
        <v>37.660458767400002</v>
      </c>
      <c r="R166">
        <v>0.68373977781184003</v>
      </c>
      <c r="S166">
        <v>0.585827632767423</v>
      </c>
      <c r="T166">
        <v>0.309604905853122</v>
      </c>
      <c r="U166">
        <v>0.36424454706971798</v>
      </c>
      <c r="V166">
        <v>0.22805802399043701</v>
      </c>
      <c r="W166">
        <v>0.18206196712432199</v>
      </c>
      <c r="X166">
        <v>5.4425176613516098E-2</v>
      </c>
      <c r="Y166">
        <v>0.27889732322308702</v>
      </c>
      <c r="Z166">
        <v>0.69764661416456197</v>
      </c>
      <c r="AA166">
        <v>8.6909292170717902E-4</v>
      </c>
    </row>
    <row r="167" spans="1:27" x14ac:dyDescent="0.55000000000000004">
      <c r="A167">
        <v>166</v>
      </c>
      <c r="B167">
        <v>18.77996946</v>
      </c>
      <c r="C167">
        <v>-13.77999842</v>
      </c>
      <c r="D167">
        <v>-5.567283582</v>
      </c>
      <c r="E167">
        <v>33.448653040000004</v>
      </c>
      <c r="F167">
        <v>5.1461281400000001</v>
      </c>
      <c r="G167">
        <v>11.09747703</v>
      </c>
      <c r="H167">
        <v>18.77996946</v>
      </c>
      <c r="I167">
        <v>13.77999842</v>
      </c>
      <c r="J167">
        <v>5.567283582</v>
      </c>
      <c r="K167">
        <v>33.448653040000004</v>
      </c>
      <c r="L167">
        <v>5.1461281400000001</v>
      </c>
      <c r="M167">
        <v>11.09747703</v>
      </c>
      <c r="N167">
        <v>3.0003443000000001E-2</v>
      </c>
      <c r="O167">
        <v>15.97369576</v>
      </c>
      <c r="P167">
        <v>878.36008967435396</v>
      </c>
      <c r="Q167">
        <v>25.360673904199999</v>
      </c>
      <c r="R167">
        <v>0.70222789612776104</v>
      </c>
      <c r="S167">
        <v>0.55940893847383399</v>
      </c>
      <c r="T167">
        <v>0.285256204810245</v>
      </c>
      <c r="U167">
        <v>0.40386314146569402</v>
      </c>
      <c r="V167">
        <v>0.25050316381100901</v>
      </c>
      <c r="W167">
        <v>0.20247063278800401</v>
      </c>
      <c r="X167">
        <v>3.7081589024181801E-2</v>
      </c>
      <c r="Y167">
        <v>0.19423519459754801</v>
      </c>
      <c r="Z167">
        <v>0.752373663049556</v>
      </c>
      <c r="AA167">
        <v>5.8479856702107298E-4</v>
      </c>
    </row>
    <row r="168" spans="1:27" x14ac:dyDescent="0.55000000000000004">
      <c r="A168">
        <v>167</v>
      </c>
      <c r="B168">
        <v>20.080670909999998</v>
      </c>
      <c r="C168">
        <v>-11.601277189999999</v>
      </c>
      <c r="D168">
        <v>-3.604623556</v>
      </c>
      <c r="E168">
        <v>32.32011224</v>
      </c>
      <c r="F168">
        <v>5.4235878700000004</v>
      </c>
      <c r="G168">
        <v>11.247864119999999</v>
      </c>
      <c r="H168">
        <v>20.080670909999998</v>
      </c>
      <c r="I168">
        <v>11.601277189999999</v>
      </c>
      <c r="J168">
        <v>3.604623556</v>
      </c>
      <c r="K168">
        <v>32.32011224</v>
      </c>
      <c r="L168">
        <v>5.4235878700000004</v>
      </c>
      <c r="M168">
        <v>11.247864119999999</v>
      </c>
      <c r="N168">
        <v>3.2734033000000003E-2</v>
      </c>
      <c r="O168">
        <v>20.631309510000001</v>
      </c>
      <c r="P168">
        <v>949.73404191525799</v>
      </c>
      <c r="Q168">
        <v>4.35013757789</v>
      </c>
      <c r="R168">
        <v>0.75136534050996795</v>
      </c>
      <c r="S168">
        <v>0.47085355550437802</v>
      </c>
      <c r="T168">
        <v>0.18460991444390801</v>
      </c>
      <c r="U168">
        <v>0.371657288001498</v>
      </c>
      <c r="V168">
        <v>0.26414906673824501</v>
      </c>
      <c r="W168">
        <v>0.21074962256546301</v>
      </c>
      <c r="X168">
        <v>4.09515814077549E-2</v>
      </c>
      <c r="Y168">
        <v>0.25464773292347398</v>
      </c>
      <c r="Z168">
        <v>0.81351018612828796</v>
      </c>
      <c r="AA168" s="1">
        <v>9.9165937431869099E-5</v>
      </c>
    </row>
    <row r="169" spans="1:27" x14ac:dyDescent="0.55000000000000004">
      <c r="A169">
        <v>168</v>
      </c>
      <c r="B169">
        <v>20.219862620000001</v>
      </c>
      <c r="C169">
        <v>-11.39120563</v>
      </c>
      <c r="D169">
        <v>-3.3749573019999999</v>
      </c>
      <c r="E169">
        <v>32.043737610000001</v>
      </c>
      <c r="F169">
        <v>4.8249536930000003</v>
      </c>
      <c r="G169">
        <v>10.92416379</v>
      </c>
      <c r="H169">
        <v>20.219862620000001</v>
      </c>
      <c r="I169">
        <v>11.39120563</v>
      </c>
      <c r="J169">
        <v>3.3749573019999999</v>
      </c>
      <c r="K169">
        <v>32.043737610000001</v>
      </c>
      <c r="L169">
        <v>4.8249536930000003</v>
      </c>
      <c r="M169">
        <v>10.92416379</v>
      </c>
      <c r="N169">
        <v>6.0242865E-2</v>
      </c>
      <c r="O169">
        <v>28.645063400000002</v>
      </c>
      <c r="P169">
        <v>949.73404191525799</v>
      </c>
      <c r="Q169">
        <v>6.3634720265400002</v>
      </c>
      <c r="R169">
        <v>0.75662367623996096</v>
      </c>
      <c r="S169">
        <v>0.46231507559669799</v>
      </c>
      <c r="T169">
        <v>0.172832502064169</v>
      </c>
      <c r="U169">
        <v>0.363770217516318</v>
      </c>
      <c r="V169">
        <v>0.23470730281716001</v>
      </c>
      <c r="W169">
        <v>0.19292953094037599</v>
      </c>
      <c r="X169">
        <v>7.99391153549944E-2</v>
      </c>
      <c r="Y169">
        <v>0.35859177809341902</v>
      </c>
      <c r="Z169">
        <v>0.81351018612828796</v>
      </c>
      <c r="AA169">
        <v>1.4570167965926201E-4</v>
      </c>
    </row>
    <row r="170" spans="1:27" x14ac:dyDescent="0.55000000000000004">
      <c r="A170">
        <v>169</v>
      </c>
      <c r="B170">
        <v>20.464238000000002</v>
      </c>
      <c r="C170">
        <v>-10.969101739999999</v>
      </c>
      <c r="D170">
        <v>-2.9238611620000001</v>
      </c>
      <c r="E170">
        <v>32.518684749999998</v>
      </c>
      <c r="F170">
        <v>5.3181381889999999</v>
      </c>
      <c r="G170">
        <v>10.972550310000001</v>
      </c>
      <c r="H170">
        <v>20.464238000000002</v>
      </c>
      <c r="I170">
        <v>10.969101739999999</v>
      </c>
      <c r="J170">
        <v>2.9238611620000001</v>
      </c>
      <c r="K170">
        <v>32.518684749999998</v>
      </c>
      <c r="L170">
        <v>5.3181381889999999</v>
      </c>
      <c r="M170">
        <v>10.972550310000001</v>
      </c>
      <c r="N170">
        <v>6.0242865E-2</v>
      </c>
      <c r="O170">
        <v>28.645063400000002</v>
      </c>
      <c r="P170">
        <v>949.73404191525799</v>
      </c>
      <c r="Q170">
        <v>11.235758350399999</v>
      </c>
      <c r="R170">
        <v>0.76585560386111595</v>
      </c>
      <c r="S170">
        <v>0.44515841915201498</v>
      </c>
      <c r="T170">
        <v>0.149700042805749</v>
      </c>
      <c r="U170">
        <v>0.37732407218783598</v>
      </c>
      <c r="V170">
        <v>0.258962886709042</v>
      </c>
      <c r="W170">
        <v>0.19559326693291901</v>
      </c>
      <c r="X170">
        <v>7.99391153549944E-2</v>
      </c>
      <c r="Y170">
        <v>0.35859177809341902</v>
      </c>
      <c r="Z170">
        <v>0.81351018612828796</v>
      </c>
      <c r="AA170">
        <v>2.5831856781573801E-4</v>
      </c>
    </row>
    <row r="171" spans="1:27" x14ac:dyDescent="0.55000000000000004">
      <c r="A171">
        <v>170</v>
      </c>
      <c r="B171">
        <v>21.914300780000001</v>
      </c>
      <c r="C171">
        <v>-9.6594405129999998</v>
      </c>
      <c r="D171">
        <v>-1.270953875</v>
      </c>
      <c r="E171">
        <v>33.076009890000002</v>
      </c>
      <c r="F171">
        <v>5.8856837909999999</v>
      </c>
      <c r="G171">
        <v>11.194099789999999</v>
      </c>
      <c r="H171">
        <v>21.914300780000001</v>
      </c>
      <c r="I171">
        <v>9.6594405129999998</v>
      </c>
      <c r="J171">
        <v>1.270953875</v>
      </c>
      <c r="K171">
        <v>33.076009890000002</v>
      </c>
      <c r="L171">
        <v>5.8856837909999999</v>
      </c>
      <c r="M171">
        <v>11.194099789999999</v>
      </c>
      <c r="N171">
        <v>4.4520427000000001E-2</v>
      </c>
      <c r="O171">
        <v>23.145013809999998</v>
      </c>
      <c r="P171">
        <v>988.87459636994799</v>
      </c>
      <c r="Q171">
        <v>16.883369356100001</v>
      </c>
      <c r="R171">
        <v>0.82063556832026097</v>
      </c>
      <c r="S171">
        <v>0.39192648203207803</v>
      </c>
      <c r="T171">
        <v>6.4938044012160301E-2</v>
      </c>
      <c r="U171">
        <v>0.39322879782181602</v>
      </c>
      <c r="V171">
        <v>0.28687566594973402</v>
      </c>
      <c r="W171">
        <v>0.20778983167874501</v>
      </c>
      <c r="X171">
        <v>5.7656123286906301E-2</v>
      </c>
      <c r="Y171">
        <v>0.28725225221487999</v>
      </c>
      <c r="Z171">
        <v>0.84703666652630305</v>
      </c>
      <c r="AA171">
        <v>3.8885612958947498E-4</v>
      </c>
    </row>
    <row r="172" spans="1:27" x14ac:dyDescent="0.55000000000000004">
      <c r="A172">
        <v>171</v>
      </c>
      <c r="B172">
        <v>22.563723840000002</v>
      </c>
      <c r="C172">
        <v>-11.4794079</v>
      </c>
      <c r="D172">
        <v>-2.9658702520000002</v>
      </c>
      <c r="E172">
        <v>32.555422989999997</v>
      </c>
      <c r="F172">
        <v>5.8870726060000003</v>
      </c>
      <c r="G172">
        <v>11.879709350000001</v>
      </c>
      <c r="H172">
        <v>22.563723840000002</v>
      </c>
      <c r="I172">
        <v>11.4794079</v>
      </c>
      <c r="J172">
        <v>2.9658702520000002</v>
      </c>
      <c r="K172">
        <v>32.555422989999997</v>
      </c>
      <c r="L172">
        <v>5.8870726060000003</v>
      </c>
      <c r="M172">
        <v>11.879709350000001</v>
      </c>
      <c r="N172">
        <v>6.3877440999999993E-2</v>
      </c>
      <c r="O172">
        <v>32.586425779999999</v>
      </c>
      <c r="P172">
        <v>1121.2431284823999</v>
      </c>
      <c r="Q172">
        <v>8.7933096566100009</v>
      </c>
      <c r="R172">
        <v>0.84516924550749895</v>
      </c>
      <c r="S172">
        <v>0.46590010781241897</v>
      </c>
      <c r="T172">
        <v>0.15185429214804699</v>
      </c>
      <c r="U172">
        <v>0.37837249363079301</v>
      </c>
      <c r="V172">
        <v>0.286943970040832</v>
      </c>
      <c r="W172">
        <v>0.245533460726747</v>
      </c>
      <c r="X172">
        <v>8.5090302987527094E-2</v>
      </c>
      <c r="Y172">
        <v>0.40971403052109401</v>
      </c>
      <c r="Z172">
        <v>0.96041909196740405</v>
      </c>
      <c r="AA172">
        <v>2.01864379146759E-4</v>
      </c>
    </row>
    <row r="173" spans="1:27" x14ac:dyDescent="0.55000000000000004">
      <c r="A173">
        <v>172</v>
      </c>
      <c r="B173">
        <v>24.583082650000001</v>
      </c>
      <c r="C173">
        <v>-12.303780529999999</v>
      </c>
      <c r="D173">
        <v>17.29287029</v>
      </c>
      <c r="E173">
        <v>33.897073630000001</v>
      </c>
      <c r="F173">
        <v>5.3608858609999999</v>
      </c>
      <c r="G173">
        <v>11.37897323</v>
      </c>
      <c r="H173">
        <v>24.583082650000001</v>
      </c>
      <c r="I173">
        <v>12.303780529999999</v>
      </c>
      <c r="J173">
        <v>17.29287029</v>
      </c>
      <c r="K173">
        <v>33.897073630000001</v>
      </c>
      <c r="L173">
        <v>5.3608858609999999</v>
      </c>
      <c r="M173">
        <v>11.37897323</v>
      </c>
      <c r="N173">
        <v>6.9825359000000004E-2</v>
      </c>
      <c r="O173">
        <v>29.737722399999999</v>
      </c>
      <c r="P173">
        <v>583.72596810083905</v>
      </c>
      <c r="Q173">
        <v>21.9281746162</v>
      </c>
      <c r="R173">
        <v>0.92145587624362502</v>
      </c>
      <c r="S173">
        <v>0.49940720957191698</v>
      </c>
      <c r="T173">
        <v>0.886550768767004</v>
      </c>
      <c r="U173">
        <v>0.41665999188693498</v>
      </c>
      <c r="V173">
        <v>0.26106528399198198</v>
      </c>
      <c r="W173">
        <v>0.217967336409263</v>
      </c>
      <c r="X173">
        <v>9.3520128541021999E-2</v>
      </c>
      <c r="Y173">
        <v>0.372764336673371</v>
      </c>
      <c r="Z173">
        <v>0.5</v>
      </c>
      <c r="AA173">
        <v>5.05460580146024E-4</v>
      </c>
    </row>
    <row r="174" spans="1:27" x14ac:dyDescent="0.55000000000000004">
      <c r="A174">
        <v>173</v>
      </c>
      <c r="B174">
        <v>23.187708929999999</v>
      </c>
      <c r="C174">
        <v>-10.10390246</v>
      </c>
      <c r="D174">
        <v>16.358993219999999</v>
      </c>
      <c r="E174">
        <v>31.88158967</v>
      </c>
      <c r="F174">
        <v>5.5046536049999997</v>
      </c>
      <c r="G174">
        <v>11.13024235</v>
      </c>
      <c r="H174">
        <v>23.187708929999999</v>
      </c>
      <c r="I174">
        <v>10.10390246</v>
      </c>
      <c r="J174">
        <v>16.358993219999999</v>
      </c>
      <c r="K174">
        <v>31.88158967</v>
      </c>
      <c r="L174">
        <v>5.5046536049999997</v>
      </c>
      <c r="M174">
        <v>11.13024235</v>
      </c>
      <c r="N174">
        <v>4.2316790999999999E-2</v>
      </c>
      <c r="O174">
        <v>24.872392649999998</v>
      </c>
      <c r="P174">
        <v>583.72596810083905</v>
      </c>
      <c r="Q174">
        <v>47.739989531799999</v>
      </c>
      <c r="R174">
        <v>0.86874193596248495</v>
      </c>
      <c r="S174">
        <v>0.40999189461904501</v>
      </c>
      <c r="T174">
        <v>0.83866103671532399</v>
      </c>
      <c r="U174">
        <v>0.35914290338185201</v>
      </c>
      <c r="V174">
        <v>0.268136006214237</v>
      </c>
      <c r="W174">
        <v>0.204274402974229</v>
      </c>
      <c r="X174">
        <v>5.4532968753941799E-2</v>
      </c>
      <c r="Y174">
        <v>0.30965757519274401</v>
      </c>
      <c r="Z174">
        <v>0.5</v>
      </c>
      <c r="AA174">
        <v>1.10206884169887E-3</v>
      </c>
    </row>
    <row r="175" spans="1:27" x14ac:dyDescent="0.55000000000000004">
      <c r="A175">
        <v>174</v>
      </c>
      <c r="B175">
        <v>24.283446120000001</v>
      </c>
      <c r="C175">
        <v>-11.513231709999999</v>
      </c>
      <c r="D175">
        <v>14.90020103</v>
      </c>
      <c r="E175">
        <v>33.277947580000003</v>
      </c>
      <c r="F175">
        <v>5.1394535469999996</v>
      </c>
      <c r="G175">
        <v>11.034431619999999</v>
      </c>
      <c r="H175">
        <v>24.283446120000001</v>
      </c>
      <c r="I175">
        <v>11.513231709999999</v>
      </c>
      <c r="J175">
        <v>14.90020103</v>
      </c>
      <c r="K175">
        <v>33.277947580000003</v>
      </c>
      <c r="L175">
        <v>5.1394535469999996</v>
      </c>
      <c r="M175">
        <v>11.034431619999999</v>
      </c>
      <c r="N175">
        <v>6.4674698000000003E-2</v>
      </c>
      <c r="O175">
        <v>27.793169020000001</v>
      </c>
      <c r="P175">
        <v>269.93108351483897</v>
      </c>
      <c r="Q175">
        <v>107.163762711</v>
      </c>
      <c r="R175">
        <v>0.91013631222856795</v>
      </c>
      <c r="S175">
        <v>0.46727489610877998</v>
      </c>
      <c r="T175">
        <v>0.76385336733097597</v>
      </c>
      <c r="U175">
        <v>0.39899161619137702</v>
      </c>
      <c r="V175">
        <v>0.25017489690122402</v>
      </c>
      <c r="W175">
        <v>0.19899990730946901</v>
      </c>
      <c r="X175">
        <v>8.6220234071194196E-2</v>
      </c>
      <c r="Y175">
        <v>0.34754210659985801</v>
      </c>
      <c r="Z175">
        <v>0.23121387283236999</v>
      </c>
      <c r="AA175">
        <v>2.47557605640953E-3</v>
      </c>
    </row>
    <row r="176" spans="1:27" x14ac:dyDescent="0.55000000000000004">
      <c r="A176">
        <v>175</v>
      </c>
      <c r="B176">
        <v>25.40145055</v>
      </c>
      <c r="C176">
        <v>-14.546295860000001</v>
      </c>
      <c r="D176">
        <v>2.0595840509999999</v>
      </c>
      <c r="E176">
        <v>33.560935129999997</v>
      </c>
      <c r="F176">
        <v>5.1313209559999997</v>
      </c>
      <c r="G176">
        <v>10.85763358</v>
      </c>
      <c r="H176">
        <v>25.40145055</v>
      </c>
      <c r="I176">
        <v>14.546295860000001</v>
      </c>
      <c r="J176">
        <v>2.0595840509999999</v>
      </c>
      <c r="K176">
        <v>33.560935129999997</v>
      </c>
      <c r="L176">
        <v>5.1313209559999997</v>
      </c>
      <c r="M176">
        <v>10.85763358</v>
      </c>
      <c r="N176">
        <v>6.9689661E-2</v>
      </c>
      <c r="O176">
        <v>31.027160640000002</v>
      </c>
      <c r="P176">
        <v>1167.4519362016799</v>
      </c>
      <c r="Q176">
        <v>26.722876373799998</v>
      </c>
      <c r="R176">
        <v>0.95237189249811105</v>
      </c>
      <c r="S176">
        <v>0.59055554058764104</v>
      </c>
      <c r="T176">
        <v>0.10537943510072099</v>
      </c>
      <c r="U176">
        <v>0.40706740358647298</v>
      </c>
      <c r="V176">
        <v>0.24977492337233401</v>
      </c>
      <c r="W176">
        <v>0.18926696303988499</v>
      </c>
      <c r="X176">
        <v>9.3327807384617698E-2</v>
      </c>
      <c r="Y176">
        <v>0.38948926091014702</v>
      </c>
      <c r="Z176">
        <v>1</v>
      </c>
      <c r="AA176">
        <v>6.16284196758014E-4</v>
      </c>
    </row>
    <row r="177" spans="1:27" x14ac:dyDescent="0.55000000000000004">
      <c r="A177">
        <v>176</v>
      </c>
      <c r="B177">
        <v>16.890816319999999</v>
      </c>
      <c r="C177">
        <v>-9.2442269780000004</v>
      </c>
      <c r="D177">
        <v>-1.339194631</v>
      </c>
      <c r="E177">
        <v>34.288868559999997</v>
      </c>
      <c r="F177">
        <v>6.3053973320000001</v>
      </c>
      <c r="G177">
        <v>11.365707199999999</v>
      </c>
      <c r="H177">
        <v>16.890816319999999</v>
      </c>
      <c r="I177">
        <v>9.2442269780000004</v>
      </c>
      <c r="J177">
        <v>1.339194631</v>
      </c>
      <c r="K177">
        <v>34.288868559999997</v>
      </c>
      <c r="L177">
        <v>6.3053973320000001</v>
      </c>
      <c r="M177">
        <v>11.365707199999999</v>
      </c>
      <c r="N177">
        <v>4.7602162000000003E-2</v>
      </c>
      <c r="O177">
        <v>25.146488189999999</v>
      </c>
      <c r="P177">
        <v>166.567812394231</v>
      </c>
      <c r="Q177">
        <v>135.82207025899999</v>
      </c>
      <c r="R177">
        <v>0.63086012964589699</v>
      </c>
      <c r="S177">
        <v>0.37504988804670297</v>
      </c>
      <c r="T177">
        <v>6.8437467678108196E-2</v>
      </c>
      <c r="U177">
        <v>0.42784088149553001</v>
      </c>
      <c r="V177">
        <v>0.307517833509447</v>
      </c>
      <c r="W177">
        <v>0.21723702553778099</v>
      </c>
      <c r="X177">
        <v>6.2023784114123397E-2</v>
      </c>
      <c r="Y177">
        <v>0.31321278784111301</v>
      </c>
      <c r="Z177">
        <v>0.14267637684182699</v>
      </c>
      <c r="AA177">
        <v>3.1379774838630301E-3</v>
      </c>
    </row>
    <row r="178" spans="1:27" x14ac:dyDescent="0.55000000000000004">
      <c r="A178">
        <v>177</v>
      </c>
      <c r="B178">
        <v>16.884941999999999</v>
      </c>
      <c r="C178">
        <v>-10.452292180000001</v>
      </c>
      <c r="D178">
        <v>-2.0721530640000001</v>
      </c>
      <c r="E178">
        <v>33.592162289999997</v>
      </c>
      <c r="F178">
        <v>5.9127589130000002</v>
      </c>
      <c r="G178">
        <v>11.07391986</v>
      </c>
      <c r="H178">
        <v>16.884941999999999</v>
      </c>
      <c r="I178">
        <v>10.452292180000001</v>
      </c>
      <c r="J178">
        <v>2.0721530640000001</v>
      </c>
      <c r="K178">
        <v>33.592162289999997</v>
      </c>
      <c r="L178">
        <v>5.9127589130000002</v>
      </c>
      <c r="M178">
        <v>11.07391986</v>
      </c>
      <c r="N178">
        <v>5.9503131000000001E-2</v>
      </c>
      <c r="O178">
        <v>30.495904920000001</v>
      </c>
      <c r="P178">
        <v>76.877451874260402</v>
      </c>
      <c r="Q178">
        <v>514.283439864</v>
      </c>
      <c r="R178">
        <v>0.63063821163982203</v>
      </c>
      <c r="S178">
        <v>0.42415239604180899</v>
      </c>
      <c r="T178">
        <v>0.10602398103086599</v>
      </c>
      <c r="U178">
        <v>0.40795855199605002</v>
      </c>
      <c r="V178">
        <v>0.28820726274237501</v>
      </c>
      <c r="W178">
        <v>0.201173782309576</v>
      </c>
      <c r="X178">
        <v>7.8890710085118596E-2</v>
      </c>
      <c r="Y178">
        <v>0.38259849918793098</v>
      </c>
      <c r="Z178">
        <v>6.5850635465458496E-2</v>
      </c>
      <c r="AA178">
        <v>1.18856451904249E-2</v>
      </c>
    </row>
    <row r="179" spans="1:27" x14ac:dyDescent="0.55000000000000004">
      <c r="A179">
        <v>178</v>
      </c>
      <c r="B179">
        <v>16.795909229999999</v>
      </c>
      <c r="C179">
        <v>-10.287640830000001</v>
      </c>
      <c r="D179">
        <v>-1.874073128</v>
      </c>
      <c r="E179">
        <v>34.066745529999999</v>
      </c>
      <c r="F179">
        <v>6.1614371160000001</v>
      </c>
      <c r="G179">
        <v>11.10348218</v>
      </c>
      <c r="H179">
        <v>16.795909229999999</v>
      </c>
      <c r="I179">
        <v>10.287640830000001</v>
      </c>
      <c r="J179">
        <v>1.874073128</v>
      </c>
      <c r="K179">
        <v>34.066745529999999</v>
      </c>
      <c r="L179">
        <v>6.1614371160000001</v>
      </c>
      <c r="M179">
        <v>11.10348218</v>
      </c>
      <c r="N179">
        <v>6.3799165000000005E-2</v>
      </c>
      <c r="O179">
        <v>32.064590449999997</v>
      </c>
      <c r="P179">
        <v>71.3862053118132</v>
      </c>
      <c r="Q179">
        <v>228.575662532</v>
      </c>
      <c r="R179">
        <v>0.62727476279914596</v>
      </c>
      <c r="S179">
        <v>0.41746004680735099</v>
      </c>
      <c r="T179">
        <v>9.5866332487408598E-2</v>
      </c>
      <c r="U179">
        <v>0.42150202183250002</v>
      </c>
      <c r="V179">
        <v>0.30043764521358202</v>
      </c>
      <c r="W179">
        <v>0.20280122350202101</v>
      </c>
      <c r="X179">
        <v>8.49793645003077E-2</v>
      </c>
      <c r="Y179">
        <v>0.402945457907393</v>
      </c>
      <c r="Z179">
        <v>6.1147018646497103E-2</v>
      </c>
      <c r="AA179">
        <v>5.28186235285499E-3</v>
      </c>
    </row>
    <row r="180" spans="1:27" x14ac:dyDescent="0.55000000000000004">
      <c r="A180">
        <v>179</v>
      </c>
      <c r="B180">
        <v>16.89209846</v>
      </c>
      <c r="C180">
        <v>-6.4695541690000002</v>
      </c>
      <c r="D180">
        <v>0.56255257000000003</v>
      </c>
      <c r="E180">
        <v>35.945017589999999</v>
      </c>
      <c r="F180">
        <v>6.8009781309999999</v>
      </c>
      <c r="G180">
        <v>11.37704973</v>
      </c>
      <c r="H180">
        <v>16.89209846</v>
      </c>
      <c r="I180">
        <v>6.4695541690000002</v>
      </c>
      <c r="J180">
        <v>0.56255257000000003</v>
      </c>
      <c r="K180">
        <v>35.945017589999999</v>
      </c>
      <c r="L180">
        <v>6.8009781309999999</v>
      </c>
      <c r="M180">
        <v>11.37704973</v>
      </c>
      <c r="N180">
        <v>7.1344986999999999E-2</v>
      </c>
      <c r="O180">
        <v>36.461460109999997</v>
      </c>
      <c r="P180">
        <v>181.919684504298</v>
      </c>
      <c r="Q180">
        <v>108.81671176899999</v>
      </c>
      <c r="R180">
        <v>0.63090856588231503</v>
      </c>
      <c r="S180">
        <v>0.262271708887026</v>
      </c>
      <c r="T180">
        <v>2.8610833749346198E-2</v>
      </c>
      <c r="U180">
        <v>0.47510341110460602</v>
      </c>
      <c r="V180">
        <v>0.33189127132601298</v>
      </c>
      <c r="W180">
        <v>0.21786144542595501</v>
      </c>
      <c r="X180">
        <v>9.5673856777726995E-2</v>
      </c>
      <c r="Y180">
        <v>0.459975961316751</v>
      </c>
      <c r="Z180">
        <v>0.155826273324944</v>
      </c>
      <c r="AA180">
        <v>2.5137819348862401E-3</v>
      </c>
    </row>
    <row r="181" spans="1:27" x14ac:dyDescent="0.55000000000000004">
      <c r="A181">
        <v>180</v>
      </c>
      <c r="B181">
        <v>18.601691089999999</v>
      </c>
      <c r="C181">
        <v>-0.67389128300000001</v>
      </c>
      <c r="D181">
        <v>4.6342187749999999</v>
      </c>
      <c r="E181">
        <v>34.820766689999999</v>
      </c>
      <c r="F181">
        <v>7.2508462409999996</v>
      </c>
      <c r="G181">
        <v>12.78186163</v>
      </c>
      <c r="H181">
        <v>18.601691089999999</v>
      </c>
      <c r="I181">
        <v>0.67389128300000001</v>
      </c>
      <c r="J181">
        <v>4.6342187749999999</v>
      </c>
      <c r="K181">
        <v>34.820766689999999</v>
      </c>
      <c r="L181">
        <v>7.2508462409999996</v>
      </c>
      <c r="M181">
        <v>12.78186163</v>
      </c>
      <c r="N181">
        <v>7.3895304999999994E-2</v>
      </c>
      <c r="O181">
        <v>31.142236709999999</v>
      </c>
      <c r="P181">
        <v>334.51500195417202</v>
      </c>
      <c r="Q181">
        <v>58.194372765700003</v>
      </c>
      <c r="R181">
        <v>0.69549295822911805</v>
      </c>
      <c r="S181">
        <v>2.6703642920370901E-2</v>
      </c>
      <c r="T181">
        <v>0.237408126053924</v>
      </c>
      <c r="U181">
        <v>0.44301998111927399</v>
      </c>
      <c r="V181">
        <v>0.354016487692076</v>
      </c>
      <c r="W181">
        <v>0.29519802637418102</v>
      </c>
      <c r="X181">
        <v>9.9288354463461403E-2</v>
      </c>
      <c r="Y181">
        <v>0.390981878774664</v>
      </c>
      <c r="Z181">
        <v>0.28653428169601702</v>
      </c>
      <c r="AA181">
        <v>1.34370901412296E-3</v>
      </c>
    </row>
    <row r="182" spans="1:27" x14ac:dyDescent="0.55000000000000004">
      <c r="A182">
        <v>181</v>
      </c>
      <c r="B182">
        <v>18.85262792</v>
      </c>
      <c r="C182">
        <v>2.2868671900000002</v>
      </c>
      <c r="D182">
        <v>7.0613020740000003</v>
      </c>
      <c r="E182">
        <v>36.341851910000003</v>
      </c>
      <c r="F182">
        <v>8.4374731070000006</v>
      </c>
      <c r="G182">
        <v>14.942422260000001</v>
      </c>
      <c r="H182">
        <v>18.85262792</v>
      </c>
      <c r="I182">
        <v>2.2868671900000002</v>
      </c>
      <c r="J182">
        <v>7.0613020740000003</v>
      </c>
      <c r="K182">
        <v>36.341851910000003</v>
      </c>
      <c r="L182">
        <v>8.4374731070000006</v>
      </c>
      <c r="M182">
        <v>14.942422260000001</v>
      </c>
      <c r="N182">
        <v>0.14694119999999999</v>
      </c>
      <c r="O182">
        <v>56.560813899999999</v>
      </c>
      <c r="P182">
        <v>37.168333550463601</v>
      </c>
      <c r="Q182">
        <v>303.15396275000001</v>
      </c>
      <c r="R182">
        <v>0.70497276201312398</v>
      </c>
      <c r="S182">
        <v>9.2263980423893902E-2</v>
      </c>
      <c r="T182">
        <v>0.36187029842123403</v>
      </c>
      <c r="U182">
        <v>0.48642811284289</v>
      </c>
      <c r="V182">
        <v>0.412376650531876</v>
      </c>
      <c r="W182">
        <v>0.414139481849853</v>
      </c>
      <c r="X182">
        <v>0.20281435335061801</v>
      </c>
      <c r="Y182">
        <v>0.72067876887882298</v>
      </c>
      <c r="Z182">
        <v>3.1837142410668602E-2</v>
      </c>
      <c r="AA182">
        <v>7.0056477661672402E-3</v>
      </c>
    </row>
    <row r="183" spans="1:27" x14ac:dyDescent="0.55000000000000004">
      <c r="A183">
        <v>182</v>
      </c>
      <c r="B183">
        <v>19.550866639999999</v>
      </c>
      <c r="C183">
        <v>1.562192332</v>
      </c>
      <c r="D183">
        <v>6.6083418639999998</v>
      </c>
      <c r="E183">
        <v>33.707500809999999</v>
      </c>
      <c r="F183">
        <v>7.4262674630000003</v>
      </c>
      <c r="G183">
        <v>13.48438374</v>
      </c>
      <c r="H183">
        <v>19.550866639999999</v>
      </c>
      <c r="I183">
        <v>1.562192332</v>
      </c>
      <c r="J183">
        <v>6.6083418639999998</v>
      </c>
      <c r="K183">
        <v>33.707500809999999</v>
      </c>
      <c r="L183">
        <v>7.4262674630000003</v>
      </c>
      <c r="M183">
        <v>13.48438374</v>
      </c>
      <c r="N183">
        <v>8.9384391999999993E-2</v>
      </c>
      <c r="O183">
        <v>37.219028469999998</v>
      </c>
      <c r="P183">
        <v>905.79711568110304</v>
      </c>
      <c r="Q183">
        <v>27.8200870358</v>
      </c>
      <c r="R183">
        <v>0.73135058012772902</v>
      </c>
      <c r="S183">
        <v>6.2809152199483506E-2</v>
      </c>
      <c r="T183">
        <v>0.338642248623445</v>
      </c>
      <c r="U183">
        <v>0.41125003731399101</v>
      </c>
      <c r="V183">
        <v>0.36264397740667098</v>
      </c>
      <c r="W183">
        <v>0.33387271159569198</v>
      </c>
      <c r="X183">
        <v>0.1212406243826</v>
      </c>
      <c r="Y183">
        <v>0.46980215774255202</v>
      </c>
      <c r="Z183">
        <v>0.77587529524181198</v>
      </c>
      <c r="AA183">
        <v>6.4164486774351097E-4</v>
      </c>
    </row>
    <row r="184" spans="1:27" x14ac:dyDescent="0.55000000000000004">
      <c r="A184">
        <v>183</v>
      </c>
      <c r="B184">
        <v>25.520024249999999</v>
      </c>
      <c r="C184">
        <v>-16.54608498</v>
      </c>
      <c r="D184">
        <v>16.108742490000001</v>
      </c>
      <c r="E184">
        <v>32.35292913</v>
      </c>
      <c r="F184">
        <v>5.2094578809999996</v>
      </c>
      <c r="G184">
        <v>11.50516966</v>
      </c>
      <c r="H184">
        <v>25.520024249999999</v>
      </c>
      <c r="I184">
        <v>16.54608498</v>
      </c>
      <c r="J184">
        <v>16.108742490000001</v>
      </c>
      <c r="K184">
        <v>32.35292913</v>
      </c>
      <c r="L184">
        <v>5.2094578809999996</v>
      </c>
      <c r="M184">
        <v>11.50516966</v>
      </c>
      <c r="N184">
        <v>6.2353938999999997E-2</v>
      </c>
      <c r="O184">
        <v>26.781169890000001</v>
      </c>
      <c r="P184">
        <v>1079.72433405936</v>
      </c>
      <c r="Q184">
        <v>9.8698277501499998</v>
      </c>
      <c r="R184">
        <v>0.95685132825867103</v>
      </c>
      <c r="S184">
        <v>0.67183812458291003</v>
      </c>
      <c r="T184">
        <v>0.825828041034814</v>
      </c>
      <c r="U184">
        <v>0.37259380350053001</v>
      </c>
      <c r="V184">
        <v>0.25361781939757999</v>
      </c>
      <c r="W184">
        <v>0.224914601323571</v>
      </c>
      <c r="X184">
        <v>8.2931084233939703E-2</v>
      </c>
      <c r="Y184">
        <v>0.33441576347470597</v>
      </c>
      <c r="Z184">
        <v>0.92485549132947997</v>
      </c>
      <c r="AA184">
        <v>2.2674676693766599E-4</v>
      </c>
    </row>
    <row r="185" spans="1:27" x14ac:dyDescent="0.55000000000000004">
      <c r="A185">
        <v>184</v>
      </c>
      <c r="B185">
        <v>26.087397630000002</v>
      </c>
      <c r="C185">
        <v>-19.793690680000001</v>
      </c>
      <c r="D185">
        <v>1.5700887509999999</v>
      </c>
      <c r="E185">
        <v>32.938256289999998</v>
      </c>
      <c r="F185">
        <v>5.3409851110000002</v>
      </c>
      <c r="G185">
        <v>11.35695978</v>
      </c>
      <c r="H185">
        <v>26.087397630000002</v>
      </c>
      <c r="I185">
        <v>19.793690680000001</v>
      </c>
      <c r="J185">
        <v>1.5700887509999999</v>
      </c>
      <c r="K185">
        <v>32.938256289999998</v>
      </c>
      <c r="L185">
        <v>5.3409851110000002</v>
      </c>
      <c r="M185">
        <v>11.35695978</v>
      </c>
      <c r="N185">
        <v>6.3919439999999994E-2</v>
      </c>
      <c r="O185">
        <v>25.348461149999999</v>
      </c>
      <c r="P185">
        <v>1079.72433405936</v>
      </c>
      <c r="Q185">
        <v>30.0184009255</v>
      </c>
      <c r="R185">
        <v>0.97828536133651101</v>
      </c>
      <c r="S185">
        <v>0.80383893429516895</v>
      </c>
      <c r="T185">
        <v>8.0277845704638501E-2</v>
      </c>
      <c r="U185">
        <v>0.38929763976730403</v>
      </c>
      <c r="V185">
        <v>0.26008653402102599</v>
      </c>
      <c r="W185">
        <v>0.21675546956938599</v>
      </c>
      <c r="X185">
        <v>8.5149827050135504E-2</v>
      </c>
      <c r="Y185">
        <v>0.31583251971278198</v>
      </c>
      <c r="Z185">
        <v>0.92485549132947997</v>
      </c>
      <c r="AA185">
        <v>6.9245618156897604E-4</v>
      </c>
    </row>
    <row r="186" spans="1:27" x14ac:dyDescent="0.55000000000000004">
      <c r="A186">
        <v>185</v>
      </c>
      <c r="B186">
        <v>21.888043450000001</v>
      </c>
      <c r="C186">
        <v>-9.1066128370000001</v>
      </c>
      <c r="D186">
        <v>-0.95400910299999997</v>
      </c>
      <c r="E186">
        <v>32.688538620000003</v>
      </c>
      <c r="F186">
        <v>6.2345408439999996</v>
      </c>
      <c r="G186">
        <v>12.606279929999999</v>
      </c>
      <c r="H186">
        <v>21.888043450000001</v>
      </c>
      <c r="I186">
        <v>9.1066128370000001</v>
      </c>
      <c r="J186">
        <v>0.95400910299999997</v>
      </c>
      <c r="K186">
        <v>32.688538620000003</v>
      </c>
      <c r="L186">
        <v>6.2345408439999996</v>
      </c>
      <c r="M186">
        <v>12.606279929999999</v>
      </c>
      <c r="N186">
        <v>9.6288227000000004E-2</v>
      </c>
      <c r="O186">
        <v>35.870182040000003</v>
      </c>
      <c r="P186">
        <v>1002.11914754884</v>
      </c>
      <c r="Q186">
        <v>1.0145006033699999</v>
      </c>
      <c r="R186">
        <v>0.81964362809254698</v>
      </c>
      <c r="S186">
        <v>0.36945648179056301</v>
      </c>
      <c r="T186">
        <v>4.8684941014074098E-2</v>
      </c>
      <c r="U186">
        <v>0.38217129512168702</v>
      </c>
      <c r="V186">
        <v>0.304033000748264</v>
      </c>
      <c r="W186">
        <v>0.285532043081273</v>
      </c>
      <c r="X186">
        <v>0.13102524560638201</v>
      </c>
      <c r="Y186">
        <v>0.45230666734295299</v>
      </c>
      <c r="Z186">
        <v>0.85838150289017301</v>
      </c>
      <c r="AA186" s="1">
        <v>2.2066803448190399E-5</v>
      </c>
    </row>
    <row r="187" spans="1:27" x14ac:dyDescent="0.55000000000000004">
      <c r="A187">
        <v>186</v>
      </c>
      <c r="B187">
        <v>26.293335240000001</v>
      </c>
      <c r="C187">
        <v>-19.923654490000001</v>
      </c>
      <c r="D187">
        <v>14.52755039</v>
      </c>
      <c r="E187">
        <v>31.92925185</v>
      </c>
      <c r="F187">
        <v>5.7750688019999998</v>
      </c>
      <c r="G187">
        <v>11.584063909999999</v>
      </c>
      <c r="H187">
        <v>26.293335240000001</v>
      </c>
      <c r="I187">
        <v>19.923654490000001</v>
      </c>
      <c r="J187">
        <v>14.52755039</v>
      </c>
      <c r="K187">
        <v>31.92925185</v>
      </c>
      <c r="L187">
        <v>5.7750688019999998</v>
      </c>
      <c r="M187">
        <v>11.584063909999999</v>
      </c>
      <c r="N187">
        <v>8.3570099999999994E-2</v>
      </c>
      <c r="O187">
        <v>33.472461699999997</v>
      </c>
      <c r="P187">
        <v>1079.72433405936</v>
      </c>
      <c r="Q187">
        <v>17.226969506100001</v>
      </c>
      <c r="R187">
        <v>0.98606520032844902</v>
      </c>
      <c r="S187">
        <v>0.80912138842846804</v>
      </c>
      <c r="T187">
        <v>0.74474363664823495</v>
      </c>
      <c r="U187">
        <v>0.36050306792784298</v>
      </c>
      <c r="V187">
        <v>0.281435448004624</v>
      </c>
      <c r="W187">
        <v>0.22925782446360399</v>
      </c>
      <c r="X187">
        <v>0.113000183395169</v>
      </c>
      <c r="Y187">
        <v>0.42120654189027901</v>
      </c>
      <c r="Z187">
        <v>0.92485549132947997</v>
      </c>
      <c r="AA187">
        <v>3.9679802320800102E-4</v>
      </c>
    </row>
    <row r="188" spans="1:27" x14ac:dyDescent="0.55000000000000004">
      <c r="A188">
        <v>187</v>
      </c>
      <c r="B188">
        <v>26.587950930000002</v>
      </c>
      <c r="C188">
        <v>-20.005086349999999</v>
      </c>
      <c r="D188">
        <v>8.8912682630000006</v>
      </c>
      <c r="E188">
        <v>33.700852959999999</v>
      </c>
      <c r="F188">
        <v>5.258511843</v>
      </c>
      <c r="G188">
        <v>11.55903825</v>
      </c>
      <c r="H188">
        <v>26.587950930000002</v>
      </c>
      <c r="I188">
        <v>20.005086349999999</v>
      </c>
      <c r="J188">
        <v>8.8912682630000006</v>
      </c>
      <c r="K188">
        <v>33.700852959999999</v>
      </c>
      <c r="L188">
        <v>5.258511843</v>
      </c>
      <c r="M188">
        <v>11.55903825</v>
      </c>
      <c r="N188">
        <v>3.7520475999999997E-2</v>
      </c>
      <c r="O188">
        <v>18.897912980000001</v>
      </c>
      <c r="P188">
        <v>1079.72433405936</v>
      </c>
      <c r="Q188">
        <v>10.4035025475</v>
      </c>
      <c r="R188">
        <v>0.99719508880631602</v>
      </c>
      <c r="S188">
        <v>0.81243123341869405</v>
      </c>
      <c r="T188">
        <v>0.45571197552210202</v>
      </c>
      <c r="U188">
        <v>0.41106032358547301</v>
      </c>
      <c r="V188">
        <v>0.25603036987345701</v>
      </c>
      <c r="W188">
        <v>0.227880131848406</v>
      </c>
      <c r="X188">
        <v>4.77352794196889E-2</v>
      </c>
      <c r="Y188">
        <v>0.23216435625819101</v>
      </c>
      <c r="Z188">
        <v>0.92485549132947997</v>
      </c>
      <c r="AA188">
        <v>2.3908200156268699E-4</v>
      </c>
    </row>
    <row r="189" spans="1:27" x14ac:dyDescent="0.55000000000000004">
      <c r="A189">
        <v>188</v>
      </c>
      <c r="B189">
        <v>26.662198830000001</v>
      </c>
      <c r="C189">
        <v>-19.418042</v>
      </c>
      <c r="D189">
        <v>-12.572671250000001</v>
      </c>
      <c r="E189">
        <v>33.518086060000002</v>
      </c>
      <c r="F189">
        <v>5.3136820829999998</v>
      </c>
      <c r="G189">
        <v>11.824068049999999</v>
      </c>
      <c r="H189">
        <v>26.662198830000001</v>
      </c>
      <c r="I189">
        <v>19.418042</v>
      </c>
      <c r="J189">
        <v>12.572671250000001</v>
      </c>
      <c r="K189">
        <v>33.518086060000002</v>
      </c>
      <c r="L189">
        <v>5.3136820829999998</v>
      </c>
      <c r="M189">
        <v>11.824068049999999</v>
      </c>
      <c r="N189">
        <v>5.2260718999999997E-2</v>
      </c>
      <c r="O189">
        <v>24.970724109999999</v>
      </c>
      <c r="P189">
        <v>539.86216702967795</v>
      </c>
      <c r="Q189">
        <v>29.725858004300001</v>
      </c>
      <c r="R189">
        <v>1</v>
      </c>
      <c r="S189">
        <v>0.78857047669659397</v>
      </c>
      <c r="T189">
        <v>0.64449635441437503</v>
      </c>
      <c r="U189">
        <v>0.40584459368053299</v>
      </c>
      <c r="V189">
        <v>0.25874372845530402</v>
      </c>
      <c r="W189">
        <v>0.24247034038906001</v>
      </c>
      <c r="X189">
        <v>6.8626232708910995E-2</v>
      </c>
      <c r="Y189">
        <v>0.31093300364489801</v>
      </c>
      <c r="Z189">
        <v>0.46242774566473999</v>
      </c>
      <c r="AA189">
        <v>6.8569441281240398E-4</v>
      </c>
    </row>
    <row r="190" spans="1:27" x14ac:dyDescent="0.55000000000000004">
      <c r="A190">
        <v>189</v>
      </c>
      <c r="B190">
        <v>26.633152580000001</v>
      </c>
      <c r="C190">
        <v>-18.91023787</v>
      </c>
      <c r="D190">
        <v>1.8685265419999999</v>
      </c>
      <c r="E190">
        <v>35.362680750000003</v>
      </c>
      <c r="F190">
        <v>4.8574233280000003</v>
      </c>
      <c r="G190">
        <v>11.48822509</v>
      </c>
      <c r="H190">
        <v>26.633152580000001</v>
      </c>
      <c r="I190">
        <v>18.91023787</v>
      </c>
      <c r="J190">
        <v>1.8685265419999999</v>
      </c>
      <c r="K190">
        <v>35.362680750000003</v>
      </c>
      <c r="L190">
        <v>4.8574233280000003</v>
      </c>
      <c r="M190">
        <v>11.48822509</v>
      </c>
      <c r="N190">
        <v>5.9443879999999998E-2</v>
      </c>
      <c r="O190">
        <v>25.534093859999999</v>
      </c>
      <c r="P190">
        <v>539.86216702967795</v>
      </c>
      <c r="Q190">
        <v>13.906919885800001</v>
      </c>
      <c r="R190">
        <v>0.99890270092811295</v>
      </c>
      <c r="S190">
        <v>0.76793048449088097</v>
      </c>
      <c r="T190">
        <v>9.5581900493225902E-2</v>
      </c>
      <c r="U190">
        <v>0.45848491141381698</v>
      </c>
      <c r="V190">
        <v>0.23630421018563699</v>
      </c>
      <c r="W190">
        <v>0.22398178241063399</v>
      </c>
      <c r="X190">
        <v>7.8806735223012195E-2</v>
      </c>
      <c r="Y190">
        <v>0.318240307006741</v>
      </c>
      <c r="Z190">
        <v>0.46242774566473999</v>
      </c>
      <c r="AA190">
        <v>3.20059171689303E-4</v>
      </c>
    </row>
    <row r="191" spans="1:27" x14ac:dyDescent="0.55000000000000004">
      <c r="A191">
        <v>190</v>
      </c>
      <c r="B191">
        <v>25.491143430000001</v>
      </c>
      <c r="C191">
        <v>-14.53889349</v>
      </c>
      <c r="D191">
        <v>2.6057838019999999</v>
      </c>
      <c r="E191">
        <v>32.247210010000003</v>
      </c>
      <c r="F191">
        <v>4.680549386</v>
      </c>
      <c r="G191">
        <v>10.63516188</v>
      </c>
      <c r="H191">
        <v>25.491143430000001</v>
      </c>
      <c r="I191">
        <v>14.53889349</v>
      </c>
      <c r="J191">
        <v>2.6057838019999999</v>
      </c>
      <c r="K191">
        <v>32.247210010000003</v>
      </c>
      <c r="L191">
        <v>4.680549386</v>
      </c>
      <c r="M191">
        <v>10.63516188</v>
      </c>
      <c r="N191">
        <v>7.1297563999999994E-2</v>
      </c>
      <c r="O191">
        <v>30.795291899999999</v>
      </c>
      <c r="P191">
        <v>1167.4519362016799</v>
      </c>
      <c r="Q191">
        <v>13.7006616428</v>
      </c>
      <c r="R191">
        <v>0.95576027874345604</v>
      </c>
      <c r="S191">
        <v>0.59025466698288398</v>
      </c>
      <c r="T191">
        <v>0.133388860069347</v>
      </c>
      <c r="U191">
        <v>0.36957683283621401</v>
      </c>
      <c r="V191">
        <v>0.22760527343222201</v>
      </c>
      <c r="W191">
        <v>0.17701962897634299</v>
      </c>
      <c r="X191">
        <v>9.5606645424574005E-2</v>
      </c>
      <c r="Y191">
        <v>0.38648175966729797</v>
      </c>
      <c r="Z191">
        <v>1</v>
      </c>
      <c r="AA191">
        <v>3.1529176683266799E-4</v>
      </c>
    </row>
    <row r="192" spans="1:27" x14ac:dyDescent="0.55000000000000004">
      <c r="A192">
        <v>191</v>
      </c>
      <c r="B192">
        <v>18.949864460000001</v>
      </c>
      <c r="C192">
        <v>-11.5331522</v>
      </c>
      <c r="D192">
        <v>-2.954721798</v>
      </c>
      <c r="E192">
        <v>31.641376569999998</v>
      </c>
      <c r="F192">
        <v>4.5958473910000004</v>
      </c>
      <c r="G192">
        <v>10.32207622</v>
      </c>
      <c r="H192">
        <v>18.949864460000001</v>
      </c>
      <c r="I192">
        <v>11.5331522</v>
      </c>
      <c r="J192">
        <v>2.954721798</v>
      </c>
      <c r="K192">
        <v>31.641376569999998</v>
      </c>
      <c r="L192">
        <v>4.5958473910000004</v>
      </c>
      <c r="M192">
        <v>10.32207622</v>
      </c>
      <c r="N192">
        <v>2.5467889E-2</v>
      </c>
      <c r="O192">
        <v>14.986968040000001</v>
      </c>
      <c r="P192">
        <v>988.87459636994799</v>
      </c>
      <c r="Q192">
        <v>1.71791984008</v>
      </c>
      <c r="R192">
        <v>0.70864613000711496</v>
      </c>
      <c r="S192">
        <v>0.46808457593224601</v>
      </c>
      <c r="T192">
        <v>0.151282593268182</v>
      </c>
      <c r="U192">
        <v>0.352287796416485</v>
      </c>
      <c r="V192">
        <v>0.22343949700941201</v>
      </c>
      <c r="W192">
        <v>0.15978388767295701</v>
      </c>
      <c r="X192">
        <v>3.0653469300867601E-2</v>
      </c>
      <c r="Y192">
        <v>0.18143663950015501</v>
      </c>
      <c r="Z192">
        <v>0.84703666652630305</v>
      </c>
      <c r="AA192" s="1">
        <v>3.8325471400390202E-5</v>
      </c>
    </row>
    <row r="193" spans="1:27" x14ac:dyDescent="0.55000000000000004">
      <c r="A193">
        <v>192</v>
      </c>
      <c r="B193">
        <v>19.029030290000001</v>
      </c>
      <c r="C193">
        <v>-11.293113480000001</v>
      </c>
      <c r="D193">
        <v>-2.2189384200000002</v>
      </c>
      <c r="E193">
        <v>31.568878080000001</v>
      </c>
      <c r="F193">
        <v>4.2065693990000002</v>
      </c>
      <c r="G193">
        <v>9.6549670200000008</v>
      </c>
      <c r="H193">
        <v>19.029030290000001</v>
      </c>
      <c r="I193">
        <v>11.293113480000001</v>
      </c>
      <c r="J193">
        <v>2.2189384200000002</v>
      </c>
      <c r="K193">
        <v>31.568878080000001</v>
      </c>
      <c r="L193">
        <v>4.2065693990000002</v>
      </c>
      <c r="M193">
        <v>9.6549670200000008</v>
      </c>
      <c r="N193">
        <v>6.3661255E-2</v>
      </c>
      <c r="O193">
        <v>28.12153816</v>
      </c>
      <c r="P193">
        <v>480.622984848025</v>
      </c>
      <c r="Q193">
        <v>49.216067360799997</v>
      </c>
      <c r="R193">
        <v>0.71163682904000702</v>
      </c>
      <c r="S193">
        <v>0.45832806349531602</v>
      </c>
      <c r="T193">
        <v>0.113551215175239</v>
      </c>
      <c r="U193">
        <v>0.35021886302451999</v>
      </c>
      <c r="V193">
        <v>0.20429419729135401</v>
      </c>
      <c r="W193">
        <v>0.12305872564442701</v>
      </c>
      <c r="X193">
        <v>8.4783908335296296E-2</v>
      </c>
      <c r="Y193">
        <v>0.35180128615404599</v>
      </c>
      <c r="Z193">
        <v>0.41168545782855798</v>
      </c>
      <c r="AA193">
        <v>1.1361865598971399E-3</v>
      </c>
    </row>
    <row r="194" spans="1:27" x14ac:dyDescent="0.55000000000000004">
      <c r="A194">
        <v>193</v>
      </c>
      <c r="B194">
        <v>19.05310927</v>
      </c>
      <c r="C194">
        <v>-8.0511301619999998</v>
      </c>
      <c r="D194">
        <v>-0.60420470599999998</v>
      </c>
      <c r="E194">
        <v>31.21898539</v>
      </c>
      <c r="F194">
        <v>4.344807791</v>
      </c>
      <c r="G194">
        <v>9.9268078479999993</v>
      </c>
      <c r="H194">
        <v>19.05310927</v>
      </c>
      <c r="I194">
        <v>8.0511301619999998</v>
      </c>
      <c r="J194">
        <v>0.60420470599999998</v>
      </c>
      <c r="K194">
        <v>31.21898539</v>
      </c>
      <c r="L194">
        <v>4.344807791</v>
      </c>
      <c r="M194">
        <v>9.9268078479999993</v>
      </c>
      <c r="N194">
        <v>7.7096238999999997E-2</v>
      </c>
      <c r="O194">
        <v>40.839740749999997</v>
      </c>
      <c r="P194">
        <v>92.759388790111899</v>
      </c>
      <c r="Q194">
        <v>202.00763945700001</v>
      </c>
      <c r="R194">
        <v>0.71254647632342505</v>
      </c>
      <c r="S194">
        <v>0.32655577874731401</v>
      </c>
      <c r="T194">
        <v>3.0746778293332201E-2</v>
      </c>
      <c r="U194">
        <v>0.34023376305973901</v>
      </c>
      <c r="V194">
        <v>0.211092977345127</v>
      </c>
      <c r="W194">
        <v>0.138023889450097</v>
      </c>
      <c r="X194">
        <v>0.103824952854403</v>
      </c>
      <c r="Y194">
        <v>0.51676535201400597</v>
      </c>
      <c r="Z194">
        <v>7.9454567604646698E-2</v>
      </c>
      <c r="AA194">
        <v>4.6677752725198599E-3</v>
      </c>
    </row>
    <row r="195" spans="1:27" x14ac:dyDescent="0.55000000000000004">
      <c r="A195">
        <v>194</v>
      </c>
      <c r="B195">
        <v>19.040615240000001</v>
      </c>
      <c r="C195">
        <v>-7.4386764919999999</v>
      </c>
      <c r="D195">
        <v>-0.22431910999999999</v>
      </c>
      <c r="E195">
        <v>31.275288969999998</v>
      </c>
      <c r="F195">
        <v>4.3794135230000002</v>
      </c>
      <c r="G195">
        <v>9.9192108129999994</v>
      </c>
      <c r="H195">
        <v>19.040615240000001</v>
      </c>
      <c r="I195">
        <v>7.4386764919999999</v>
      </c>
      <c r="J195">
        <v>0.22431910999999999</v>
      </c>
      <c r="K195">
        <v>31.275288969999998</v>
      </c>
      <c r="L195">
        <v>4.3794135230000002</v>
      </c>
      <c r="M195">
        <v>9.9192108129999994</v>
      </c>
      <c r="N195">
        <v>6.2523142000000004E-2</v>
      </c>
      <c r="O195">
        <v>34.017162319999997</v>
      </c>
      <c r="P195">
        <v>829.33558923662304</v>
      </c>
      <c r="Q195">
        <v>0.96866669817700002</v>
      </c>
      <c r="R195">
        <v>0.71207448122859796</v>
      </c>
      <c r="S195">
        <v>0.301662245535679</v>
      </c>
      <c r="T195">
        <v>1.1266035070101601E-2</v>
      </c>
      <c r="U195">
        <v>0.34184053248002899</v>
      </c>
      <c r="V195">
        <v>0.21279494130075299</v>
      </c>
      <c r="W195">
        <v>0.13760566355647899</v>
      </c>
      <c r="X195">
        <v>8.3170891133282895E-2</v>
      </c>
      <c r="Y195">
        <v>0.42827169345676602</v>
      </c>
      <c r="Z195">
        <v>0.71038092748801196</v>
      </c>
      <c r="AA195" s="1">
        <v>2.1007409268169099E-5</v>
      </c>
    </row>
    <row r="196" spans="1:27" x14ac:dyDescent="0.55000000000000004">
      <c r="A196">
        <v>195</v>
      </c>
      <c r="B196">
        <v>18.310073970000001</v>
      </c>
      <c r="C196">
        <v>-11.51206221</v>
      </c>
      <c r="D196">
        <v>-3.1760757750000002</v>
      </c>
      <c r="E196">
        <v>31.735301400000001</v>
      </c>
      <c r="F196">
        <v>4.0008283819999999</v>
      </c>
      <c r="G196">
        <v>9.5457693349999992</v>
      </c>
      <c r="H196">
        <v>18.310073970000001</v>
      </c>
      <c r="I196">
        <v>11.51206221</v>
      </c>
      <c r="J196">
        <v>3.1760757750000002</v>
      </c>
      <c r="K196">
        <v>31.735301400000001</v>
      </c>
      <c r="L196">
        <v>4.0008283819999999</v>
      </c>
      <c r="M196">
        <v>9.5457693349999992</v>
      </c>
      <c r="N196">
        <v>8.8788211000000006E-2</v>
      </c>
      <c r="O196">
        <v>39.514793400000002</v>
      </c>
      <c r="P196">
        <v>954.91440941661403</v>
      </c>
      <c r="Q196">
        <v>22.5843884425</v>
      </c>
      <c r="R196">
        <v>0.68447634867978602</v>
      </c>
      <c r="S196">
        <v>0.46722736110569801</v>
      </c>
      <c r="T196">
        <v>0.16263374749140799</v>
      </c>
      <c r="U196">
        <v>0.35496818627180099</v>
      </c>
      <c r="V196">
        <v>0.19417553269763799</v>
      </c>
      <c r="W196">
        <v>0.11704726204181901</v>
      </c>
      <c r="X196">
        <v>0.12039567295114</v>
      </c>
      <c r="Y196">
        <v>0.49957984955328599</v>
      </c>
      <c r="Z196">
        <v>0.81794751441626101</v>
      </c>
      <c r="AA196">
        <v>5.2062815326693504E-4</v>
      </c>
    </row>
    <row r="197" spans="1:27" x14ac:dyDescent="0.55000000000000004">
      <c r="A197">
        <v>196</v>
      </c>
      <c r="B197">
        <v>18.209935860000002</v>
      </c>
      <c r="C197">
        <v>-12.999342</v>
      </c>
      <c r="D197">
        <v>-4.148387445</v>
      </c>
      <c r="E197">
        <v>32.03096884</v>
      </c>
      <c r="F197">
        <v>4.726266571</v>
      </c>
      <c r="G197">
        <v>10.32298434</v>
      </c>
      <c r="H197">
        <v>18.209935860000002</v>
      </c>
      <c r="I197">
        <v>12.999342</v>
      </c>
      <c r="J197">
        <v>4.148387445</v>
      </c>
      <c r="K197">
        <v>32.03096884</v>
      </c>
      <c r="L197">
        <v>4.726266571</v>
      </c>
      <c r="M197">
        <v>10.32298434</v>
      </c>
      <c r="N197">
        <v>3.2058998999999998E-2</v>
      </c>
      <c r="O197">
        <v>20.242939</v>
      </c>
      <c r="P197">
        <v>293.554158410171</v>
      </c>
      <c r="Q197">
        <v>38.8605387502</v>
      </c>
      <c r="R197">
        <v>0.68069336618932696</v>
      </c>
      <c r="S197">
        <v>0.52767870732321398</v>
      </c>
      <c r="T197">
        <v>0.212494427063529</v>
      </c>
      <c r="U197">
        <v>0.36340582738036697</v>
      </c>
      <c r="V197">
        <v>0.22985371600302901</v>
      </c>
      <c r="W197">
        <v>0.15983388076875199</v>
      </c>
      <c r="X197">
        <v>3.9994873722363503E-2</v>
      </c>
      <c r="Y197">
        <v>0.24961029324311501</v>
      </c>
      <c r="Z197">
        <v>0.25144860298510702</v>
      </c>
      <c r="AA197">
        <v>8.9683129014829E-4</v>
      </c>
    </row>
    <row r="198" spans="1:27" x14ac:dyDescent="0.55000000000000004">
      <c r="A198">
        <v>197</v>
      </c>
      <c r="B198">
        <v>19.023728240000001</v>
      </c>
      <c r="C198">
        <v>-9.6082376679999992</v>
      </c>
      <c r="D198">
        <v>-1.380287695</v>
      </c>
      <c r="E198">
        <v>31.197127649999999</v>
      </c>
      <c r="F198">
        <v>4.6566279020000003</v>
      </c>
      <c r="G198">
        <v>9.785181884</v>
      </c>
      <c r="H198">
        <v>19.023728240000001</v>
      </c>
      <c r="I198">
        <v>9.6082376679999992</v>
      </c>
      <c r="J198">
        <v>1.380287695</v>
      </c>
      <c r="K198">
        <v>31.197127649999999</v>
      </c>
      <c r="L198">
        <v>4.6566279020000003</v>
      </c>
      <c r="M198">
        <v>9.785181884</v>
      </c>
      <c r="N198">
        <v>8.9408091999999995E-2</v>
      </c>
      <c r="O198">
        <v>40.307086939999998</v>
      </c>
      <c r="P198">
        <v>83.483449911100706</v>
      </c>
      <c r="Q198">
        <v>369.69575779799999</v>
      </c>
      <c r="R198">
        <v>0.711436530049807</v>
      </c>
      <c r="S198">
        <v>0.38984531281884099</v>
      </c>
      <c r="T198">
        <v>7.0544742701085794E-2</v>
      </c>
      <c r="U198">
        <v>0.33960999547287102</v>
      </c>
      <c r="V198">
        <v>0.22642877748255999</v>
      </c>
      <c r="W198">
        <v>0.13022721017278199</v>
      </c>
      <c r="X198">
        <v>0.121274213760534</v>
      </c>
      <c r="Y198">
        <v>0.50985645607752506</v>
      </c>
      <c r="Z198">
        <v>7.1509110844182003E-2</v>
      </c>
      <c r="AA198">
        <v>8.5436792759236296E-3</v>
      </c>
    </row>
    <row r="199" spans="1:27" x14ac:dyDescent="0.55000000000000004">
      <c r="A199">
        <v>198</v>
      </c>
      <c r="B199">
        <v>18.844053519999999</v>
      </c>
      <c r="C199">
        <v>-4.1597145920000003</v>
      </c>
      <c r="D199">
        <v>2.8599055930000001</v>
      </c>
      <c r="E199">
        <v>31.21132248</v>
      </c>
      <c r="F199">
        <v>4.7538128650000004</v>
      </c>
      <c r="G199">
        <v>11.135621349999999</v>
      </c>
      <c r="H199">
        <v>18.844053519999999</v>
      </c>
      <c r="I199">
        <v>4.1597145920000003</v>
      </c>
      <c r="J199">
        <v>2.8599055930000001</v>
      </c>
      <c r="K199">
        <v>31.21132248</v>
      </c>
      <c r="L199">
        <v>4.7538128650000004</v>
      </c>
      <c r="M199">
        <v>11.135621349999999</v>
      </c>
      <c r="N199">
        <v>0.114054106</v>
      </c>
      <c r="O199">
        <v>52.25880051</v>
      </c>
      <c r="P199">
        <v>208.70862477775199</v>
      </c>
      <c r="Q199">
        <v>111.511998042</v>
      </c>
      <c r="R199">
        <v>0.70464884132931804</v>
      </c>
      <c r="S199">
        <v>0.16838694496096801</v>
      </c>
      <c r="T199">
        <v>0.14642036589642901</v>
      </c>
      <c r="U199">
        <v>0.34001508194819302</v>
      </c>
      <c r="V199">
        <v>0.231208485770624</v>
      </c>
      <c r="W199">
        <v>0.20457052337933099</v>
      </c>
      <c r="X199">
        <v>0.156204352106252</v>
      </c>
      <c r="Y199">
        <v>0.66487861825404904</v>
      </c>
      <c r="Z199">
        <v>0.178772777110455</v>
      </c>
      <c r="AA199">
        <v>2.5760801523103099E-3</v>
      </c>
    </row>
    <row r="200" spans="1:27" x14ac:dyDescent="0.55000000000000004">
      <c r="A200">
        <v>199</v>
      </c>
      <c r="B200">
        <v>17.462629310000001</v>
      </c>
      <c r="C200">
        <v>-4.2234682760000002</v>
      </c>
      <c r="D200">
        <v>1.874399159</v>
      </c>
      <c r="E200">
        <v>35.841439260000001</v>
      </c>
      <c r="F200">
        <v>6.8447704910000002</v>
      </c>
      <c r="G200">
        <v>11.491148969999999</v>
      </c>
      <c r="H200">
        <v>17.462629310000001</v>
      </c>
      <c r="I200">
        <v>4.2234682760000002</v>
      </c>
      <c r="J200">
        <v>1.874399159</v>
      </c>
      <c r="K200">
        <v>35.841439260000001</v>
      </c>
      <c r="L200">
        <v>6.8447704910000002</v>
      </c>
      <c r="M200">
        <v>11.491148969999999</v>
      </c>
      <c r="N200">
        <v>0.12890653299999999</v>
      </c>
      <c r="O200">
        <v>55.44852066</v>
      </c>
      <c r="P200">
        <v>272.87952675644698</v>
      </c>
      <c r="Q200">
        <v>167.258401857</v>
      </c>
      <c r="R200">
        <v>0.65246188075730605</v>
      </c>
      <c r="S200">
        <v>0.17097825027556901</v>
      </c>
      <c r="T200">
        <v>9.5883051537198005E-2</v>
      </c>
      <c r="U200">
        <v>0.47214753346327798</v>
      </c>
      <c r="V200">
        <v>0.33404504799664803</v>
      </c>
      <c r="W200">
        <v>0.22414274551345501</v>
      </c>
      <c r="X200">
        <v>0.177254300786785</v>
      </c>
      <c r="Y200">
        <v>0.70625154034550597</v>
      </c>
      <c r="Z200">
        <v>0.23373940998741599</v>
      </c>
      <c r="AA200">
        <v>3.8645895103945802E-3</v>
      </c>
    </row>
    <row r="201" spans="1:27" x14ac:dyDescent="0.55000000000000004">
      <c r="A201">
        <v>200</v>
      </c>
      <c r="B201">
        <v>23.897350719999999</v>
      </c>
      <c r="C201">
        <v>-7.9322585830000003</v>
      </c>
      <c r="D201">
        <v>0.85738538600000003</v>
      </c>
      <c r="E201">
        <v>43.164354369999998</v>
      </c>
      <c r="F201">
        <v>5.6711533080000001</v>
      </c>
      <c r="G201">
        <v>10.572273020000001</v>
      </c>
      <c r="H201">
        <v>23.897350719999999</v>
      </c>
      <c r="I201">
        <v>7.9322585830000003</v>
      </c>
      <c r="J201">
        <v>0.85738538600000003</v>
      </c>
      <c r="K201">
        <v>43.164354369999998</v>
      </c>
      <c r="L201">
        <v>5.6711533080000001</v>
      </c>
      <c r="M201">
        <v>10.572273020000001</v>
      </c>
      <c r="N201">
        <v>6.7394882000000003E-2</v>
      </c>
      <c r="O201">
        <v>26.925352100000001</v>
      </c>
      <c r="P201">
        <v>328.67016126339701</v>
      </c>
      <c r="Q201">
        <v>19.3706591475</v>
      </c>
      <c r="R201">
        <v>0.89555053526666395</v>
      </c>
      <c r="S201">
        <v>0.32172417475062998</v>
      </c>
      <c r="T201">
        <v>4.3730023428435703E-2</v>
      </c>
      <c r="U201">
        <v>0.68112600456809502</v>
      </c>
      <c r="V201">
        <v>0.27632472168855698</v>
      </c>
      <c r="W201">
        <v>0.17355752176317699</v>
      </c>
      <c r="X201">
        <v>9.0075478308489998E-2</v>
      </c>
      <c r="Y201">
        <v>0.336285908522165</v>
      </c>
      <c r="Z201">
        <v>0.28152778805843598</v>
      </c>
      <c r="AA201">
        <v>4.4634676491587399E-4</v>
      </c>
    </row>
    <row r="202" spans="1:27" x14ac:dyDescent="0.55000000000000004">
      <c r="A202">
        <v>201</v>
      </c>
      <c r="B202">
        <v>23.05503779</v>
      </c>
      <c r="C202">
        <v>-7.9883089639999998</v>
      </c>
      <c r="D202">
        <v>0.96199216099999996</v>
      </c>
      <c r="E202">
        <v>46.248520880000001</v>
      </c>
      <c r="F202">
        <v>4.3363149959999996</v>
      </c>
      <c r="G202">
        <v>10.700887809999999</v>
      </c>
      <c r="H202">
        <v>23.05503779</v>
      </c>
      <c r="I202">
        <v>7.9883089639999998</v>
      </c>
      <c r="J202">
        <v>0.96199216099999996</v>
      </c>
      <c r="K202">
        <v>46.248520880000001</v>
      </c>
      <c r="L202">
        <v>4.3363149959999996</v>
      </c>
      <c r="M202">
        <v>10.700887809999999</v>
      </c>
      <c r="N202">
        <v>6.8701110999999995E-2</v>
      </c>
      <c r="O202">
        <v>18.090101239999999</v>
      </c>
      <c r="P202">
        <v>327.40535030746298</v>
      </c>
      <c r="Q202">
        <v>62.445336918199999</v>
      </c>
      <c r="R202">
        <v>0.86372993204500303</v>
      </c>
      <c r="S202">
        <v>0.32400237486485001</v>
      </c>
      <c r="T202">
        <v>4.9094316638398E-2</v>
      </c>
      <c r="U202">
        <v>0.76914073534277405</v>
      </c>
      <c r="V202">
        <v>0.21067528842086</v>
      </c>
      <c r="W202">
        <v>0.18063792029765299</v>
      </c>
      <c r="X202">
        <v>9.1926761833736298E-2</v>
      </c>
      <c r="Y202">
        <v>0.22168646772505901</v>
      </c>
      <c r="Z202">
        <v>0.28044439360191598</v>
      </c>
      <c r="AA202">
        <v>1.4419648067217801E-3</v>
      </c>
    </row>
    <row r="203" spans="1:27" x14ac:dyDescent="0.55000000000000004">
      <c r="A203">
        <v>202</v>
      </c>
      <c r="B203">
        <v>23.155844299999998</v>
      </c>
      <c r="C203">
        <v>-7.8236638149999997</v>
      </c>
      <c r="D203">
        <v>1.000919436</v>
      </c>
      <c r="E203">
        <v>48.528342930000001</v>
      </c>
      <c r="F203">
        <v>4.1522833280000002</v>
      </c>
      <c r="G203">
        <v>11.052098620000001</v>
      </c>
      <c r="H203">
        <v>23.155844299999998</v>
      </c>
      <c r="I203">
        <v>7.8236638149999997</v>
      </c>
      <c r="J203">
        <v>1.000919436</v>
      </c>
      <c r="K203">
        <v>48.528342930000001</v>
      </c>
      <c r="L203">
        <v>4.1522833280000002</v>
      </c>
      <c r="M203">
        <v>11.052098620000001</v>
      </c>
      <c r="N203">
        <v>6.9567828999999998E-2</v>
      </c>
      <c r="O203">
        <v>21.07349396</v>
      </c>
      <c r="P203">
        <v>654.81070061492596</v>
      </c>
      <c r="Q203">
        <v>1.09486960518</v>
      </c>
      <c r="R203">
        <v>0.86753816511685</v>
      </c>
      <c r="S203">
        <v>0.31731027767361902</v>
      </c>
      <c r="T203">
        <v>5.1090528805007897E-2</v>
      </c>
      <c r="U203">
        <v>0.83420140028882095</v>
      </c>
      <c r="V203">
        <v>0.20162432352204299</v>
      </c>
      <c r="W203">
        <v>0.19997249686086199</v>
      </c>
      <c r="X203">
        <v>9.31551381402142E-2</v>
      </c>
      <c r="Y203">
        <v>0.26038317739495898</v>
      </c>
      <c r="Z203">
        <v>0.56088878720383295</v>
      </c>
      <c r="AA203" s="1">
        <v>2.3924433785668999E-5</v>
      </c>
    </row>
    <row r="204" spans="1:27" x14ac:dyDescent="0.55000000000000004">
      <c r="A204">
        <v>203</v>
      </c>
      <c r="B204">
        <v>23.717323830000002</v>
      </c>
      <c r="C204">
        <v>-8.5314324799999994</v>
      </c>
      <c r="D204">
        <v>1.1340375579999999</v>
      </c>
      <c r="E204">
        <v>41.911978300000001</v>
      </c>
      <c r="F204">
        <v>4.6629824549999999</v>
      </c>
      <c r="G204">
        <v>9.9492142010000002</v>
      </c>
      <c r="H204">
        <v>23.717323830000002</v>
      </c>
      <c r="I204">
        <v>8.5314324799999994</v>
      </c>
      <c r="J204">
        <v>1.1340375579999999</v>
      </c>
      <c r="K204">
        <v>41.911978300000001</v>
      </c>
      <c r="L204">
        <v>4.6629824549999999</v>
      </c>
      <c r="M204">
        <v>9.9492142010000002</v>
      </c>
      <c r="N204">
        <v>5.2730869999999999E-2</v>
      </c>
      <c r="O204">
        <v>23.781909939999998</v>
      </c>
      <c r="P204">
        <v>654.81070061492596</v>
      </c>
      <c r="Q204">
        <v>10.8296244221</v>
      </c>
      <c r="R204">
        <v>0.88874954239110704</v>
      </c>
      <c r="S204">
        <v>0.346077943917388</v>
      </c>
      <c r="T204">
        <v>5.7916899639664898E-2</v>
      </c>
      <c r="U204">
        <v>0.64538618887646404</v>
      </c>
      <c r="V204">
        <v>0.22674130432522599</v>
      </c>
      <c r="W204">
        <v>0.13925738607162999</v>
      </c>
      <c r="X204">
        <v>6.9292565182526397E-2</v>
      </c>
      <c r="Y204">
        <v>0.295513244630418</v>
      </c>
      <c r="Z204">
        <v>0.56088878720383295</v>
      </c>
      <c r="AA204">
        <v>2.48931283050487E-4</v>
      </c>
    </row>
    <row r="205" spans="1:27" x14ac:dyDescent="0.55000000000000004">
      <c r="A205">
        <v>204</v>
      </c>
      <c r="B205">
        <v>23.64809588</v>
      </c>
      <c r="C205">
        <v>-8.4297358609999993</v>
      </c>
      <c r="D205">
        <v>1.2653118619999999</v>
      </c>
      <c r="E205">
        <v>40.998592930000001</v>
      </c>
      <c r="F205">
        <v>6.1879187360000003</v>
      </c>
      <c r="G205">
        <v>11.338765</v>
      </c>
      <c r="H205">
        <v>23.64809588</v>
      </c>
      <c r="I205">
        <v>8.4297358609999993</v>
      </c>
      <c r="J205">
        <v>1.2653118619999999</v>
      </c>
      <c r="K205">
        <v>40.998592930000001</v>
      </c>
      <c r="L205">
        <v>6.1879187360000003</v>
      </c>
      <c r="M205">
        <v>11.338765</v>
      </c>
      <c r="N205">
        <v>6.4110920000000002E-2</v>
      </c>
      <c r="O205">
        <v>35.678760529999998</v>
      </c>
      <c r="P205">
        <v>60.9146453928944</v>
      </c>
      <c r="Q205">
        <v>356.22763631499998</v>
      </c>
      <c r="R205">
        <v>0.88613427311250403</v>
      </c>
      <c r="S205">
        <v>0.34194442609131798</v>
      </c>
      <c r="T205">
        <v>6.4648718468700794E-2</v>
      </c>
      <c r="U205">
        <v>0.61932035644704697</v>
      </c>
      <c r="V205">
        <v>0.30174005265078302</v>
      </c>
      <c r="W205">
        <v>0.21575382509562699</v>
      </c>
      <c r="X205">
        <v>8.5421206547462603E-2</v>
      </c>
      <c r="Y205">
        <v>0.44982379522645799</v>
      </c>
      <c r="Z205">
        <v>5.2177433180744998E-2</v>
      </c>
      <c r="AA205">
        <v>8.23238026147507E-3</v>
      </c>
    </row>
    <row r="206" spans="1:27" x14ac:dyDescent="0.55000000000000004">
      <c r="A206">
        <v>205</v>
      </c>
      <c r="B206">
        <v>22.263676369999999</v>
      </c>
      <c r="C206">
        <v>-6.0460582369999996</v>
      </c>
      <c r="D206">
        <v>2.1831174990000002</v>
      </c>
      <c r="E206">
        <v>48.180644829999999</v>
      </c>
      <c r="F206">
        <v>4.1380289990000003</v>
      </c>
      <c r="G206">
        <v>10.88251801</v>
      </c>
      <c r="H206">
        <v>22.263676369999999</v>
      </c>
      <c r="I206">
        <v>6.0460582369999996</v>
      </c>
      <c r="J206">
        <v>2.1831174990000002</v>
      </c>
      <c r="K206">
        <v>48.180644829999999</v>
      </c>
      <c r="L206">
        <v>4.1380289990000003</v>
      </c>
      <c r="M206">
        <v>10.88251801</v>
      </c>
      <c r="N206">
        <v>5.8373779000000001E-2</v>
      </c>
      <c r="O206">
        <v>14.834643359999999</v>
      </c>
      <c r="P206">
        <v>56.900066900714997</v>
      </c>
      <c r="Q206">
        <v>252.19544879399999</v>
      </c>
      <c r="R206">
        <v>0.83383415714487197</v>
      </c>
      <c r="S206">
        <v>0.245058472091116</v>
      </c>
      <c r="T206">
        <v>0.111714298557793</v>
      </c>
      <c r="U206">
        <v>0.82427892867026697</v>
      </c>
      <c r="V206">
        <v>0.200923273355855</v>
      </c>
      <c r="W206">
        <v>0.19063688077409999</v>
      </c>
      <c r="X206">
        <v>7.7290109614753896E-2</v>
      </c>
      <c r="Y206">
        <v>0.17946088086871301</v>
      </c>
      <c r="Z206">
        <v>4.8738680485502603E-2</v>
      </c>
      <c r="AA206">
        <v>5.8278045760616496E-3</v>
      </c>
    </row>
    <row r="207" spans="1:27" x14ac:dyDescent="0.55000000000000004">
      <c r="A207">
        <v>206</v>
      </c>
      <c r="B207">
        <v>21.46424764</v>
      </c>
      <c r="C207">
        <v>-5.0577577820000004</v>
      </c>
      <c r="D207">
        <v>2.7518296929999999</v>
      </c>
      <c r="E207">
        <v>44.170964869999999</v>
      </c>
      <c r="F207">
        <v>4.010266777</v>
      </c>
      <c r="G207">
        <v>10.375049069999999</v>
      </c>
      <c r="H207">
        <v>21.46424764</v>
      </c>
      <c r="I207">
        <v>5.0577577820000004</v>
      </c>
      <c r="J207">
        <v>2.7518296929999999</v>
      </c>
      <c r="K207">
        <v>44.170964869999999</v>
      </c>
      <c r="L207">
        <v>4.010266777</v>
      </c>
      <c r="M207">
        <v>10.375049069999999</v>
      </c>
      <c r="N207">
        <v>5.7651202999999998E-2</v>
      </c>
      <c r="O207">
        <v>22.03848648</v>
      </c>
      <c r="P207">
        <v>139.58092335127799</v>
      </c>
      <c r="Q207">
        <v>79.141910262400003</v>
      </c>
      <c r="R207">
        <v>0.80363361822957102</v>
      </c>
      <c r="S207">
        <v>0.20488842918874201</v>
      </c>
      <c r="T207">
        <v>0.14087817404001601</v>
      </c>
      <c r="U207">
        <v>0.70985225908943905</v>
      </c>
      <c r="V207">
        <v>0.19463972770697799</v>
      </c>
      <c r="W207">
        <v>0.16270010663585399</v>
      </c>
      <c r="X207">
        <v>7.6266021920683102E-2</v>
      </c>
      <c r="Y207">
        <v>0.27289981160464</v>
      </c>
      <c r="Z207">
        <v>0.119560316808764</v>
      </c>
      <c r="AA207">
        <v>1.82788550347807E-3</v>
      </c>
    </row>
    <row r="208" spans="1:27" x14ac:dyDescent="0.55000000000000004">
      <c r="A208">
        <v>207</v>
      </c>
      <c r="B208">
        <v>14.85925164</v>
      </c>
      <c r="C208">
        <v>-3.4781288250000002</v>
      </c>
      <c r="D208">
        <v>1.5889280509999999</v>
      </c>
      <c r="E208">
        <v>30.470671379999999</v>
      </c>
      <c r="F208">
        <v>10.1263992</v>
      </c>
      <c r="G208">
        <v>16.489840789999999</v>
      </c>
      <c r="H208">
        <v>14.85925164</v>
      </c>
      <c r="I208">
        <v>3.4781288250000002</v>
      </c>
      <c r="J208">
        <v>1.5889280509999999</v>
      </c>
      <c r="K208">
        <v>30.470671379999999</v>
      </c>
      <c r="L208">
        <v>10.1263992</v>
      </c>
      <c r="M208">
        <v>16.489840789999999</v>
      </c>
      <c r="N208">
        <v>0.102475367</v>
      </c>
      <c r="O208">
        <v>27.10857773</v>
      </c>
      <c r="P208">
        <v>126.191522796199</v>
      </c>
      <c r="Q208">
        <v>3.6337329846999999</v>
      </c>
      <c r="R208">
        <v>0.55411238982262301</v>
      </c>
      <c r="S208">
        <v>0.140683497731413</v>
      </c>
      <c r="T208">
        <v>8.1243935416040497E-2</v>
      </c>
      <c r="U208">
        <v>0.31887867217488602</v>
      </c>
      <c r="V208">
        <v>0.49544067397180003</v>
      </c>
      <c r="W208">
        <v>0.49932672891554902</v>
      </c>
      <c r="X208">
        <v>0.13979411412054901</v>
      </c>
      <c r="Y208">
        <v>0.33866247428927498</v>
      </c>
      <c r="Z208">
        <v>0.10809140734886701</v>
      </c>
      <c r="AA208" s="1">
        <v>8.26071289827491E-5</v>
      </c>
    </row>
    <row r="209" spans="1:27" x14ac:dyDescent="0.55000000000000004">
      <c r="A209">
        <v>208</v>
      </c>
      <c r="B209">
        <v>14.97352397</v>
      </c>
      <c r="C209">
        <v>-3.4896698160000001</v>
      </c>
      <c r="D209">
        <v>1.6502693260000001</v>
      </c>
      <c r="E209">
        <v>30.610974330000001</v>
      </c>
      <c r="F209">
        <v>10.087557990000001</v>
      </c>
      <c r="G209">
        <v>16.43739223</v>
      </c>
      <c r="H209">
        <v>14.97352397</v>
      </c>
      <c r="I209">
        <v>3.4896698160000001</v>
      </c>
      <c r="J209">
        <v>1.6502693260000001</v>
      </c>
      <c r="K209">
        <v>30.610974330000001</v>
      </c>
      <c r="L209">
        <v>10.087557990000001</v>
      </c>
      <c r="M209">
        <v>16.43739223</v>
      </c>
      <c r="N209">
        <v>0.102475367</v>
      </c>
      <c r="O209">
        <v>27.10857773</v>
      </c>
      <c r="P209">
        <v>126.191522796199</v>
      </c>
      <c r="Q209">
        <v>3.1681558008100001</v>
      </c>
      <c r="R209">
        <v>0.55842932993197703</v>
      </c>
      <c r="S209">
        <v>0.141152587977462</v>
      </c>
      <c r="T209">
        <v>8.4389549884825402E-2</v>
      </c>
      <c r="U209">
        <v>0.322882582576969</v>
      </c>
      <c r="V209">
        <v>0.49353040259210601</v>
      </c>
      <c r="W209">
        <v>0.49643937274632899</v>
      </c>
      <c r="X209">
        <v>0.13979411412054901</v>
      </c>
      <c r="Y209">
        <v>0.33866247428927498</v>
      </c>
      <c r="Z209">
        <v>0.10809140734886701</v>
      </c>
      <c r="AA209" s="1">
        <v>7.1845886690894402E-5</v>
      </c>
    </row>
    <row r="210" spans="1:27" x14ac:dyDescent="0.55000000000000004">
      <c r="A210">
        <v>209</v>
      </c>
      <c r="B210">
        <v>20.960911729999999</v>
      </c>
      <c r="C210">
        <v>-1.289577846</v>
      </c>
      <c r="D210">
        <v>4.6696556290000002</v>
      </c>
      <c r="E210">
        <v>47.856064140000001</v>
      </c>
      <c r="F210">
        <v>2.5070464659999998</v>
      </c>
      <c r="G210">
        <v>8.947426213</v>
      </c>
      <c r="H210">
        <v>20.960911729999999</v>
      </c>
      <c r="I210">
        <v>1.289577846</v>
      </c>
      <c r="J210">
        <v>4.6696556290000002</v>
      </c>
      <c r="K210">
        <v>47.856064140000001</v>
      </c>
      <c r="L210">
        <v>2.5070464659999998</v>
      </c>
      <c r="M210">
        <v>8.947426213</v>
      </c>
      <c r="N210">
        <v>7.2668120000000003E-2</v>
      </c>
      <c r="O210">
        <v>22.52210045</v>
      </c>
      <c r="P210">
        <v>48.062816325488498</v>
      </c>
      <c r="Q210">
        <v>138.12279664499999</v>
      </c>
      <c r="R210">
        <v>0.78461877029256599</v>
      </c>
      <c r="S210">
        <v>5.1728578935527403E-2</v>
      </c>
      <c r="T210">
        <v>0.23922534750343899</v>
      </c>
      <c r="U210">
        <v>0.81501617260557901</v>
      </c>
      <c r="V210">
        <v>0.120709004707441</v>
      </c>
      <c r="W210">
        <v>8.4107755130347503E-2</v>
      </c>
      <c r="X210">
        <v>9.7549097891352396E-2</v>
      </c>
      <c r="Y210">
        <v>0.279172626197215</v>
      </c>
      <c r="Z210">
        <v>4.1168989347742699E-2</v>
      </c>
      <c r="AA210">
        <v>3.1911559362093099E-3</v>
      </c>
    </row>
    <row r="211" spans="1:27" x14ac:dyDescent="0.55000000000000004">
      <c r="A211">
        <v>210</v>
      </c>
      <c r="B211">
        <v>20.969426049999999</v>
      </c>
      <c r="C211">
        <v>-1.493278565</v>
      </c>
      <c r="D211">
        <v>4.5578587280000002</v>
      </c>
      <c r="E211">
        <v>48.915286799999997</v>
      </c>
      <c r="F211">
        <v>2.6951394259999999</v>
      </c>
      <c r="G211">
        <v>9.0836959640000003</v>
      </c>
      <c r="H211">
        <v>20.969426049999999</v>
      </c>
      <c r="I211">
        <v>1.493278565</v>
      </c>
      <c r="J211">
        <v>4.5578587280000002</v>
      </c>
      <c r="K211">
        <v>48.915286799999997</v>
      </c>
      <c r="L211">
        <v>2.6951394259999999</v>
      </c>
      <c r="M211">
        <v>9.0836959640000003</v>
      </c>
      <c r="N211">
        <v>5.7178169000000001E-2</v>
      </c>
      <c r="O211">
        <v>22.928958890000001</v>
      </c>
      <c r="P211">
        <v>192.25126530195399</v>
      </c>
      <c r="Q211">
        <v>19.147077472700001</v>
      </c>
      <c r="R211">
        <v>0.78494042129514796</v>
      </c>
      <c r="S211">
        <v>6.0008112330535698E-2</v>
      </c>
      <c r="T211">
        <v>0.23349234066015301</v>
      </c>
      <c r="U211">
        <v>0.84524385225519005</v>
      </c>
      <c r="V211">
        <v>0.12995971029075801</v>
      </c>
      <c r="W211">
        <v>9.1609568454256607E-2</v>
      </c>
      <c r="X211">
        <v>7.5595603448055895E-2</v>
      </c>
      <c r="Y211">
        <v>0.28444986738101402</v>
      </c>
      <c r="Z211">
        <v>0.16467595739097099</v>
      </c>
      <c r="AA211">
        <v>4.41178950302541E-4</v>
      </c>
    </row>
    <row r="212" spans="1:27" x14ac:dyDescent="0.55000000000000004">
      <c r="A212">
        <v>211</v>
      </c>
      <c r="B212">
        <v>21.094284210000001</v>
      </c>
      <c r="C212">
        <v>-4.070279835</v>
      </c>
      <c r="D212">
        <v>2.8542440569999998</v>
      </c>
      <c r="E212">
        <v>54.3381714</v>
      </c>
      <c r="F212">
        <v>2.8381529059999999</v>
      </c>
      <c r="G212">
        <v>9.5924158810000009</v>
      </c>
      <c r="H212">
        <v>21.094284210000001</v>
      </c>
      <c r="I212">
        <v>4.070279835</v>
      </c>
      <c r="J212">
        <v>2.8542440569999998</v>
      </c>
      <c r="K212">
        <v>54.3381714</v>
      </c>
      <c r="L212">
        <v>2.8381529059999999</v>
      </c>
      <c r="M212">
        <v>9.5924158810000009</v>
      </c>
      <c r="N212">
        <v>5.3489249000000003E-2</v>
      </c>
      <c r="O212">
        <v>19.46169853</v>
      </c>
      <c r="P212">
        <v>336.588977683157</v>
      </c>
      <c r="Q212">
        <v>8.2401146707099997</v>
      </c>
      <c r="R212">
        <v>0.789657269187233</v>
      </c>
      <c r="S212">
        <v>0.16475181759916399</v>
      </c>
      <c r="T212">
        <v>0.14613003920274401</v>
      </c>
      <c r="U212">
        <v>1</v>
      </c>
      <c r="V212">
        <v>0.13699333663129501</v>
      </c>
      <c r="W212">
        <v>0.119615210377595</v>
      </c>
      <c r="X212">
        <v>7.0367395513649594E-2</v>
      </c>
      <c r="Y212">
        <v>0.239477052839563</v>
      </c>
      <c r="Z212">
        <v>0.28831077943838401</v>
      </c>
      <c r="AA212">
        <v>1.8907795944257601E-4</v>
      </c>
    </row>
    <row r="213" spans="1:27" x14ac:dyDescent="0.55000000000000004">
      <c r="A213">
        <v>212</v>
      </c>
      <c r="B213">
        <v>21.0768871</v>
      </c>
      <c r="C213">
        <v>-0.32515763600000003</v>
      </c>
      <c r="D213">
        <v>5.5341602520000004</v>
      </c>
      <c r="E213">
        <v>47.587362550000002</v>
      </c>
      <c r="F213">
        <v>3.048896923</v>
      </c>
      <c r="G213">
        <v>9.0727947249999996</v>
      </c>
      <c r="H213">
        <v>21.0768871</v>
      </c>
      <c r="I213">
        <v>0.32515763600000003</v>
      </c>
      <c r="J213">
        <v>5.5341602520000004</v>
      </c>
      <c r="K213">
        <v>47.587362550000002</v>
      </c>
      <c r="L213">
        <v>3.048896923</v>
      </c>
      <c r="M213">
        <v>9.0727947249999996</v>
      </c>
      <c r="N213">
        <v>6.4621285000000001E-2</v>
      </c>
      <c r="O213">
        <v>29.686164860000002</v>
      </c>
      <c r="P213">
        <v>364.501234369077</v>
      </c>
      <c r="Q213">
        <v>24.416759023299999</v>
      </c>
      <c r="R213">
        <v>0.78900004725130302</v>
      </c>
      <c r="S213">
        <v>1.25291623860163E-2</v>
      </c>
      <c r="T213">
        <v>0.28355762214951102</v>
      </c>
      <c r="U213">
        <v>0.80734807231790096</v>
      </c>
      <c r="V213">
        <v>0.147358056579945</v>
      </c>
      <c r="W213">
        <v>9.1009442165207094E-2</v>
      </c>
      <c r="X213">
        <v>8.61445332507913E-2</v>
      </c>
      <c r="Y213">
        <v>0.372095598983124</v>
      </c>
      <c r="Z213">
        <v>0.31221947822107998</v>
      </c>
      <c r="AA213">
        <v>5.6298113891735402E-4</v>
      </c>
    </row>
    <row r="214" spans="1:27" x14ac:dyDescent="0.55000000000000004">
      <c r="A214">
        <v>213</v>
      </c>
      <c r="B214">
        <v>21.048782970000001</v>
      </c>
      <c r="C214">
        <v>-0.34096480600000001</v>
      </c>
      <c r="D214">
        <v>5.5543887749999996</v>
      </c>
      <c r="E214">
        <v>48.081185599999998</v>
      </c>
      <c r="F214">
        <v>2.8123043380000001</v>
      </c>
      <c r="G214">
        <v>8.9392394819999996</v>
      </c>
      <c r="H214">
        <v>21.048782970000001</v>
      </c>
      <c r="I214">
        <v>0.34096480600000001</v>
      </c>
      <c r="J214">
        <v>5.5543887749999996</v>
      </c>
      <c r="K214">
        <v>48.081185599999998</v>
      </c>
      <c r="L214">
        <v>2.8123043380000001</v>
      </c>
      <c r="M214">
        <v>8.9392394819999996</v>
      </c>
      <c r="N214">
        <v>5.3076208E-2</v>
      </c>
      <c r="O214">
        <v>24.232114790000001</v>
      </c>
      <c r="P214">
        <v>377.63641398598099</v>
      </c>
      <c r="Q214">
        <v>19.991725625400001</v>
      </c>
      <c r="R214">
        <v>0.78793833925921497</v>
      </c>
      <c r="S214">
        <v>1.3171653941952299E-2</v>
      </c>
      <c r="T214">
        <v>0.28459495198380202</v>
      </c>
      <c r="U214">
        <v>0.82144060028458399</v>
      </c>
      <c r="V214">
        <v>0.13572206368031201</v>
      </c>
      <c r="W214">
        <v>8.3657065764260199E-2</v>
      </c>
      <c r="X214">
        <v>6.9782003519940003E-2</v>
      </c>
      <c r="Y214">
        <v>0.30135271935181202</v>
      </c>
      <c r="Z214">
        <v>0.323470630589407</v>
      </c>
      <c r="AA214">
        <v>4.6070195043460802E-4</v>
      </c>
    </row>
    <row r="215" spans="1:27" x14ac:dyDescent="0.55000000000000004">
      <c r="A215">
        <v>214</v>
      </c>
      <c r="B215">
        <v>20.904051769999999</v>
      </c>
      <c r="C215">
        <v>-1.735844588</v>
      </c>
      <c r="D215">
        <v>4.5105839889999997</v>
      </c>
      <c r="E215">
        <v>48.042751090000003</v>
      </c>
      <c r="F215">
        <v>2.9755785060000002</v>
      </c>
      <c r="G215">
        <v>9.3512774279999995</v>
      </c>
      <c r="H215">
        <v>20.904051769999999</v>
      </c>
      <c r="I215">
        <v>1.735844588</v>
      </c>
      <c r="J215">
        <v>4.5105839889999997</v>
      </c>
      <c r="K215">
        <v>48.042751090000003</v>
      </c>
      <c r="L215">
        <v>2.9755785060000002</v>
      </c>
      <c r="M215">
        <v>9.3512774279999995</v>
      </c>
      <c r="N215">
        <v>5.4395974E-2</v>
      </c>
      <c r="O215">
        <v>28.473796839999999</v>
      </c>
      <c r="P215">
        <v>204.49086449043199</v>
      </c>
      <c r="Q215">
        <v>53.133005797899997</v>
      </c>
      <c r="R215">
        <v>0.78247073461376004</v>
      </c>
      <c r="S215">
        <v>6.98673484578409E-2</v>
      </c>
      <c r="T215">
        <v>0.23106806592823001</v>
      </c>
      <c r="U215">
        <v>0.82034377135555603</v>
      </c>
      <c r="V215">
        <v>0.143752142304887</v>
      </c>
      <c r="W215">
        <v>0.106340249160251</v>
      </c>
      <c r="X215">
        <v>7.1652472674261503E-2</v>
      </c>
      <c r="Y215">
        <v>0.35637032990657702</v>
      </c>
      <c r="Z215">
        <v>0.17515998573418501</v>
      </c>
      <c r="AA215">
        <v>1.22672176012265E-3</v>
      </c>
    </row>
    <row r="216" spans="1:27" x14ac:dyDescent="0.55000000000000004">
      <c r="A216">
        <v>215</v>
      </c>
      <c r="B216">
        <v>21.632302459999998</v>
      </c>
      <c r="C216">
        <v>-1.2279626859999999</v>
      </c>
      <c r="D216">
        <v>5.4972698910000002</v>
      </c>
      <c r="E216">
        <v>47.32724339</v>
      </c>
      <c r="F216">
        <v>1.960719868</v>
      </c>
      <c r="G216">
        <v>8.1903090269999996</v>
      </c>
      <c r="H216">
        <v>21.632302459999998</v>
      </c>
      <c r="I216">
        <v>1.2279626859999999</v>
      </c>
      <c r="J216">
        <v>5.4972698910000002</v>
      </c>
      <c r="K216">
        <v>47.32724339</v>
      </c>
      <c r="L216">
        <v>1.960719868</v>
      </c>
      <c r="M216">
        <v>8.1903090269999996</v>
      </c>
      <c r="N216">
        <v>4.7209690999999998E-2</v>
      </c>
      <c r="O216">
        <v>20.955795290000001</v>
      </c>
      <c r="P216">
        <v>172.84702268607401</v>
      </c>
      <c r="Q216">
        <v>7.2073911099899997</v>
      </c>
      <c r="R216">
        <v>0.80998233443259504</v>
      </c>
      <c r="S216">
        <v>4.9224195164261603E-2</v>
      </c>
      <c r="T216">
        <v>0.28166586405807398</v>
      </c>
      <c r="U216">
        <v>0.79992489404185696</v>
      </c>
      <c r="V216">
        <v>9.3839809228604201E-2</v>
      </c>
      <c r="W216">
        <v>4.2427545457876699E-2</v>
      </c>
      <c r="X216">
        <v>6.1467545432822498E-2</v>
      </c>
      <c r="Y216">
        <v>0.25885654255704799</v>
      </c>
      <c r="Z216">
        <v>0.148054936846851</v>
      </c>
      <c r="AA216">
        <v>1.6520782825496099E-4</v>
      </c>
    </row>
    <row r="217" spans="1:27" x14ac:dyDescent="0.55000000000000004">
      <c r="A217">
        <v>216</v>
      </c>
      <c r="B217">
        <v>21.616362580000001</v>
      </c>
      <c r="C217">
        <v>-1.3137773450000001</v>
      </c>
      <c r="D217">
        <v>5.3277176239999999</v>
      </c>
      <c r="E217">
        <v>44.854469989999998</v>
      </c>
      <c r="F217">
        <v>1.923429311</v>
      </c>
      <c r="G217">
        <v>8.0323697070000009</v>
      </c>
      <c r="H217">
        <v>21.616362580000001</v>
      </c>
      <c r="I217">
        <v>1.3137773450000001</v>
      </c>
      <c r="J217">
        <v>5.3277176239999999</v>
      </c>
      <c r="K217">
        <v>44.854469989999998</v>
      </c>
      <c r="L217">
        <v>1.923429311</v>
      </c>
      <c r="M217">
        <v>8.0323697070000009</v>
      </c>
      <c r="N217">
        <v>5.3031649E-2</v>
      </c>
      <c r="O217">
        <v>21.728563309999998</v>
      </c>
      <c r="P217">
        <v>172.84702268607401</v>
      </c>
      <c r="Q217">
        <v>15.1216245329</v>
      </c>
      <c r="R217">
        <v>0.80938016322185402</v>
      </c>
      <c r="S217">
        <v>5.2712181551642701E-2</v>
      </c>
      <c r="T217">
        <v>0.27297113014048802</v>
      </c>
      <c r="U217">
        <v>0.72935785936259501</v>
      </c>
      <c r="V217">
        <v>9.2005801385647706E-2</v>
      </c>
      <c r="W217">
        <v>3.37327963558171E-2</v>
      </c>
      <c r="X217">
        <v>6.97188512376056E-2</v>
      </c>
      <c r="Y217">
        <v>0.26887988930307199</v>
      </c>
      <c r="Z217">
        <v>0.148054936846851</v>
      </c>
      <c r="AA217">
        <v>3.4813557120542098E-4</v>
      </c>
    </row>
    <row r="218" spans="1:27" x14ac:dyDescent="0.55000000000000004">
      <c r="A218">
        <v>217</v>
      </c>
      <c r="B218">
        <v>21.0423978</v>
      </c>
      <c r="C218">
        <v>-3.2024882020000001</v>
      </c>
      <c r="D218">
        <v>3.4203094780000001</v>
      </c>
      <c r="E218">
        <v>47.995548980000002</v>
      </c>
      <c r="F218">
        <v>2.7884419290000002</v>
      </c>
      <c r="G218">
        <v>8.6452766449999991</v>
      </c>
      <c r="H218">
        <v>21.0423978</v>
      </c>
      <c r="I218">
        <v>3.2024882020000001</v>
      </c>
      <c r="J218">
        <v>3.4203094780000001</v>
      </c>
      <c r="K218">
        <v>47.995548980000002</v>
      </c>
      <c r="L218">
        <v>2.7884419290000002</v>
      </c>
      <c r="M218">
        <v>8.6452766449999991</v>
      </c>
      <c r="N218">
        <v>6.6632821999999994E-2</v>
      </c>
      <c r="O218">
        <v>27.689617160000001</v>
      </c>
      <c r="P218">
        <v>65.047420590886702</v>
      </c>
      <c r="Q218">
        <v>22.6460497598</v>
      </c>
      <c r="R218">
        <v>0.78769712254053903</v>
      </c>
      <c r="S218">
        <v>0.12947992538099201</v>
      </c>
      <c r="T218">
        <v>0.175158186703369</v>
      </c>
      <c r="U218">
        <v>0.818996736106267</v>
      </c>
      <c r="V218">
        <v>0.13454847313142801</v>
      </c>
      <c r="W218">
        <v>6.7474058815486002E-2</v>
      </c>
      <c r="X218">
        <v>8.8995430994237096E-2</v>
      </c>
      <c r="Y218">
        <v>0.346198965874423</v>
      </c>
      <c r="Z218">
        <v>5.57174291924337E-2</v>
      </c>
      <c r="AA218">
        <v>5.2205337855387095E-4</v>
      </c>
    </row>
    <row r="219" spans="1:27" x14ac:dyDescent="0.55000000000000004">
      <c r="A219">
        <v>218</v>
      </c>
      <c r="B219">
        <v>11.75190265</v>
      </c>
      <c r="C219">
        <v>-11.392007830000001</v>
      </c>
      <c r="D219">
        <v>-4.538304245</v>
      </c>
      <c r="E219">
        <v>30.56722001</v>
      </c>
      <c r="F219">
        <v>10.482945040000001</v>
      </c>
      <c r="G219">
        <v>16.692444380000001</v>
      </c>
      <c r="H219">
        <v>11.75190265</v>
      </c>
      <c r="I219">
        <v>11.392007830000001</v>
      </c>
      <c r="J219">
        <v>4.538304245</v>
      </c>
      <c r="K219">
        <v>30.56722001</v>
      </c>
      <c r="L219">
        <v>10.482945040000001</v>
      </c>
      <c r="M219">
        <v>16.692444380000001</v>
      </c>
      <c r="N219">
        <v>0.45968183899999998</v>
      </c>
      <c r="O219">
        <v>70.770935059999999</v>
      </c>
      <c r="P219">
        <v>2.45333979591283</v>
      </c>
      <c r="Q219">
        <v>6775.5870694900004</v>
      </c>
      <c r="R219">
        <v>0.43672404665422598</v>
      </c>
      <c r="S219">
        <v>0.46234768147910299</v>
      </c>
      <c r="T219">
        <v>0.23248957596942199</v>
      </c>
      <c r="U219">
        <v>0.32163393900258902</v>
      </c>
      <c r="V219">
        <v>0.51297615532525598</v>
      </c>
      <c r="W219">
        <v>0.51048029968074204</v>
      </c>
      <c r="X219">
        <v>0.64605332037378604</v>
      </c>
      <c r="Y219">
        <v>0.90499407179430102</v>
      </c>
      <c r="Z219">
        <v>2.10144822226669E-3</v>
      </c>
      <c r="AA219">
        <v>0.15660795494432</v>
      </c>
    </row>
    <row r="220" spans="1:27" x14ac:dyDescent="0.55000000000000004">
      <c r="A220">
        <v>219</v>
      </c>
      <c r="B220">
        <v>23.141672549999999</v>
      </c>
      <c r="C220">
        <v>-5.5791664079999999</v>
      </c>
      <c r="D220">
        <v>2.148129382</v>
      </c>
      <c r="E220">
        <v>38.715052239999999</v>
      </c>
      <c r="F220">
        <v>5.0704738730000001</v>
      </c>
      <c r="G220">
        <v>9.1977333439999995</v>
      </c>
      <c r="H220">
        <v>23.141672549999999</v>
      </c>
      <c r="I220">
        <v>5.5791664079999999</v>
      </c>
      <c r="J220">
        <v>2.148129382</v>
      </c>
      <c r="K220">
        <v>38.715052239999999</v>
      </c>
      <c r="L220">
        <v>5.0704738730000001</v>
      </c>
      <c r="M220">
        <v>9.1977333439999995</v>
      </c>
      <c r="N220">
        <v>4.9276486000000001E-2</v>
      </c>
      <c r="O220">
        <v>27.33492661</v>
      </c>
      <c r="P220">
        <v>93.905760360970504</v>
      </c>
      <c r="Q220">
        <v>108.91697153600001</v>
      </c>
      <c r="R220">
        <v>0.86700278970274303</v>
      </c>
      <c r="S220">
        <v>0.22608138399324801</v>
      </c>
      <c r="T220">
        <v>0.109920088589534</v>
      </c>
      <c r="U220">
        <v>0.55415357041532398</v>
      </c>
      <c r="V220">
        <v>0.24678236878423801</v>
      </c>
      <c r="W220">
        <v>9.7887463074521106E-2</v>
      </c>
      <c r="X220">
        <v>6.4396758865965895E-2</v>
      </c>
      <c r="Y220">
        <v>0.34159837905124202</v>
      </c>
      <c r="Z220">
        <v>8.0436510873838907E-2</v>
      </c>
      <c r="AA220">
        <v>2.51609931572479E-3</v>
      </c>
    </row>
    <row r="221" spans="1:27" x14ac:dyDescent="0.55000000000000004">
      <c r="A221">
        <v>220</v>
      </c>
      <c r="B221">
        <v>22.554821310000001</v>
      </c>
      <c r="C221">
        <v>-4.6223877040000003</v>
      </c>
      <c r="D221">
        <v>3.189240646</v>
      </c>
      <c r="E221">
        <v>35.117350729999998</v>
      </c>
      <c r="F221">
        <v>6.5012682939999999</v>
      </c>
      <c r="G221">
        <v>10.711056920000001</v>
      </c>
      <c r="H221">
        <v>22.554821310000001</v>
      </c>
      <c r="I221">
        <v>4.6223877040000003</v>
      </c>
      <c r="J221">
        <v>3.189240646</v>
      </c>
      <c r="K221">
        <v>35.117350729999998</v>
      </c>
      <c r="L221">
        <v>6.5012682939999999</v>
      </c>
      <c r="M221">
        <v>10.711056920000001</v>
      </c>
      <c r="N221">
        <v>2.7552541E-2</v>
      </c>
      <c r="O221">
        <v>17.791481019999999</v>
      </c>
      <c r="P221">
        <v>128.610063103068</v>
      </c>
      <c r="Q221">
        <v>85.682763120000004</v>
      </c>
      <c r="R221">
        <v>0.84483292884333605</v>
      </c>
      <c r="S221">
        <v>0.18719256086935601</v>
      </c>
      <c r="T221">
        <v>0.163308849348963</v>
      </c>
      <c r="U221">
        <v>0.45148377979811599</v>
      </c>
      <c r="V221">
        <v>0.31715107338074799</v>
      </c>
      <c r="W221">
        <v>0.181197742006656</v>
      </c>
      <c r="X221">
        <v>3.3607990983874E-2</v>
      </c>
      <c r="Y221">
        <v>0.217813152664177</v>
      </c>
      <c r="Z221">
        <v>0.110163047501127</v>
      </c>
      <c r="AA221">
        <v>1.9790692487980199E-3</v>
      </c>
    </row>
    <row r="222" spans="1:27" x14ac:dyDescent="0.55000000000000004">
      <c r="A222">
        <v>221</v>
      </c>
      <c r="B222">
        <v>22.944090710000001</v>
      </c>
      <c r="C222">
        <v>-4.8455243120000002</v>
      </c>
      <c r="D222">
        <v>2.7815299570000001</v>
      </c>
      <c r="E222">
        <v>34.954595500000003</v>
      </c>
      <c r="F222">
        <v>5.1354572569999997</v>
      </c>
      <c r="G222">
        <v>8.3650298270000008</v>
      </c>
      <c r="H222">
        <v>22.944090710000001</v>
      </c>
      <c r="I222">
        <v>4.8455243120000002</v>
      </c>
      <c r="J222">
        <v>2.7815299570000001</v>
      </c>
      <c r="K222">
        <v>34.954595500000003</v>
      </c>
      <c r="L222">
        <v>5.1354572569999997</v>
      </c>
      <c r="M222">
        <v>8.3650298270000008</v>
      </c>
      <c r="N222">
        <v>2.5066448000000002E-2</v>
      </c>
      <c r="O222">
        <v>15.642930979999999</v>
      </c>
      <c r="P222">
        <v>328.67016126339701</v>
      </c>
      <c r="Q222">
        <v>25.906067987499998</v>
      </c>
      <c r="R222">
        <v>0.85953861206694904</v>
      </c>
      <c r="S222">
        <v>0.19626207720024699</v>
      </c>
      <c r="T222">
        <v>0.142401219985265</v>
      </c>
      <c r="U222">
        <v>0.446839135060494</v>
      </c>
      <c r="V222">
        <v>0.249978353116621</v>
      </c>
      <c r="W222">
        <v>5.2046135172655501E-2</v>
      </c>
      <c r="X222">
        <v>3.0084517677792001E-2</v>
      </c>
      <c r="Y222">
        <v>0.189944941901387</v>
      </c>
      <c r="Z222">
        <v>0.28152778805843598</v>
      </c>
      <c r="AA222">
        <v>5.9740467848447699E-4</v>
      </c>
    </row>
    <row r="223" spans="1:27" x14ac:dyDescent="0.55000000000000004">
      <c r="A223">
        <v>222</v>
      </c>
      <c r="B223">
        <v>22.608968610000002</v>
      </c>
      <c r="C223">
        <v>-5.3891927040000001</v>
      </c>
      <c r="D223">
        <v>2.4896425369999999</v>
      </c>
      <c r="E223">
        <v>33.406913680000002</v>
      </c>
      <c r="F223">
        <v>5.6533787269999998</v>
      </c>
      <c r="G223">
        <v>9.459838134</v>
      </c>
      <c r="H223">
        <v>22.608968610000002</v>
      </c>
      <c r="I223">
        <v>5.3891927040000001</v>
      </c>
      <c r="J223">
        <v>2.4896425369999999</v>
      </c>
      <c r="K223">
        <v>33.406913680000002</v>
      </c>
      <c r="L223">
        <v>5.6533787269999998</v>
      </c>
      <c r="M223">
        <v>9.459838134</v>
      </c>
      <c r="N223">
        <v>1.3717702E-2</v>
      </c>
      <c r="O223">
        <v>9.1064729690000004</v>
      </c>
      <c r="P223">
        <v>792.86363805981102</v>
      </c>
      <c r="Q223">
        <v>7.4993756730500003</v>
      </c>
      <c r="R223">
        <v>0.84687848660157194</v>
      </c>
      <c r="S223">
        <v>0.21835979305256301</v>
      </c>
      <c r="T223">
        <v>0.12743307184018199</v>
      </c>
      <c r="U223">
        <v>0.40267200002725501</v>
      </c>
      <c r="V223">
        <v>0.27545054003020197</v>
      </c>
      <c r="W223">
        <v>0.112316646304499</v>
      </c>
      <c r="X223">
        <v>1.40002426371942E-2</v>
      </c>
      <c r="Y223">
        <v>0.105162467161969</v>
      </c>
      <c r="Z223">
        <v>0.679140282759224</v>
      </c>
      <c r="AA223">
        <v>1.7195669125189E-4</v>
      </c>
    </row>
    <row r="224" spans="1:27" x14ac:dyDescent="0.55000000000000004">
      <c r="A224">
        <v>223</v>
      </c>
      <c r="B224">
        <v>22.705526800000001</v>
      </c>
      <c r="C224">
        <v>-5.5917849610000001</v>
      </c>
      <c r="D224">
        <v>2.465279658</v>
      </c>
      <c r="E224">
        <v>32.854803009999998</v>
      </c>
      <c r="F224">
        <v>5.2220102199999996</v>
      </c>
      <c r="G224">
        <v>8.8150516729999993</v>
      </c>
      <c r="H224">
        <v>22.705526800000001</v>
      </c>
      <c r="I224">
        <v>5.5917849610000001</v>
      </c>
      <c r="J224">
        <v>2.465279658</v>
      </c>
      <c r="K224">
        <v>32.854803009999998</v>
      </c>
      <c r="L224">
        <v>5.2220102199999996</v>
      </c>
      <c r="M224">
        <v>8.8150516729999993</v>
      </c>
      <c r="N224">
        <v>6.2336600000000002E-3</v>
      </c>
      <c r="O224">
        <v>5.2802214620000001</v>
      </c>
      <c r="P224">
        <v>792.86363805981102</v>
      </c>
      <c r="Q224">
        <v>4.0956556547999998</v>
      </c>
      <c r="R224">
        <v>0.85052622812655598</v>
      </c>
      <c r="S224">
        <v>0.226594272369259</v>
      </c>
      <c r="T224">
        <v>0.126183729946267</v>
      </c>
      <c r="U224">
        <v>0.38691608288713902</v>
      </c>
      <c r="V224">
        <v>0.25423516303697502</v>
      </c>
      <c r="W224">
        <v>7.6820377846460397E-2</v>
      </c>
      <c r="X224">
        <v>3.3933095061341001E-3</v>
      </c>
      <c r="Y224">
        <v>5.5533284018289997E-2</v>
      </c>
      <c r="Z224">
        <v>0.679140282759224</v>
      </c>
      <c r="AA224" s="1">
        <v>9.3283901696381604E-5</v>
      </c>
    </row>
    <row r="225" spans="1:27" x14ac:dyDescent="0.55000000000000004">
      <c r="A225">
        <v>224</v>
      </c>
      <c r="B225">
        <v>23.133677330000001</v>
      </c>
      <c r="C225">
        <v>-4.5196236089999999</v>
      </c>
      <c r="D225">
        <v>3.1805251019999998</v>
      </c>
      <c r="E225">
        <v>32.870156029999997</v>
      </c>
      <c r="F225">
        <v>4.666132578</v>
      </c>
      <c r="G225">
        <v>8.5316971899999992</v>
      </c>
      <c r="H225">
        <v>23.133677330000001</v>
      </c>
      <c r="I225">
        <v>4.5196236089999999</v>
      </c>
      <c r="J225">
        <v>3.1805251019999998</v>
      </c>
      <c r="K225">
        <v>32.870156029999997</v>
      </c>
      <c r="L225">
        <v>4.666132578</v>
      </c>
      <c r="M225">
        <v>8.5316971899999992</v>
      </c>
      <c r="N225">
        <v>6.8140730000000004E-3</v>
      </c>
      <c r="O225">
        <v>5.5616035459999997</v>
      </c>
      <c r="P225">
        <v>338.769008989192</v>
      </c>
      <c r="Q225">
        <v>7.3085938291200003</v>
      </c>
      <c r="R225">
        <v>0.86670074907837502</v>
      </c>
      <c r="S225">
        <v>0.18301565486461899</v>
      </c>
      <c r="T225">
        <v>0.16286191143791101</v>
      </c>
      <c r="U225">
        <v>0.38735422133313302</v>
      </c>
      <c r="V225">
        <v>0.22689623229501399</v>
      </c>
      <c r="W225">
        <v>6.1221373516007198E-2</v>
      </c>
      <c r="X225">
        <v>4.2159133717187703E-3</v>
      </c>
      <c r="Y225">
        <v>5.9183008286189699E-2</v>
      </c>
      <c r="Z225">
        <v>0.29017812081530497</v>
      </c>
      <c r="AA225">
        <v>1.6754700426881299E-4</v>
      </c>
    </row>
    <row r="226" spans="1:27" x14ac:dyDescent="0.55000000000000004">
      <c r="A226">
        <v>225</v>
      </c>
      <c r="B226">
        <v>22.738916880000001</v>
      </c>
      <c r="C226">
        <v>-6.320731468</v>
      </c>
      <c r="D226">
        <v>12.07155904</v>
      </c>
      <c r="E226">
        <v>33.671473630000001</v>
      </c>
      <c r="F226">
        <v>5.3727517149999997</v>
      </c>
      <c r="G226">
        <v>9.4260990489999994</v>
      </c>
      <c r="H226">
        <v>22.738916880000001</v>
      </c>
      <c r="I226">
        <v>6.320731468</v>
      </c>
      <c r="J226">
        <v>12.07155904</v>
      </c>
      <c r="K226">
        <v>33.671473630000001</v>
      </c>
      <c r="L226">
        <v>5.3727517149999997</v>
      </c>
      <c r="M226">
        <v>9.4260990489999994</v>
      </c>
      <c r="N226">
        <v>1.1236533999999999E-2</v>
      </c>
      <c r="O226">
        <v>7.6703329089999999</v>
      </c>
      <c r="P226">
        <v>792.86363805981102</v>
      </c>
      <c r="Q226">
        <v>7.9918479669</v>
      </c>
      <c r="R226">
        <v>0.85178762688867504</v>
      </c>
      <c r="S226">
        <v>0.25622272423486703</v>
      </c>
      <c r="T226">
        <v>0.61879904345595804</v>
      </c>
      <c r="U226">
        <v>0.41022190782163398</v>
      </c>
      <c r="V226">
        <v>0.26164886522675401</v>
      </c>
      <c r="W226">
        <v>0.11045926918644999</v>
      </c>
      <c r="X226">
        <v>1.0483749402265E-2</v>
      </c>
      <c r="Y226">
        <v>8.6534716757344504E-2</v>
      </c>
      <c r="Z226">
        <v>0.679140282759224</v>
      </c>
      <c r="AA226">
        <v>1.83339580833948E-4</v>
      </c>
    </row>
    <row r="227" spans="1:27" x14ac:dyDescent="0.55000000000000004">
      <c r="A227">
        <v>226</v>
      </c>
      <c r="B227">
        <v>22.790647280000002</v>
      </c>
      <c r="C227">
        <v>-6.1032121720000001</v>
      </c>
      <c r="D227">
        <v>2.341822944</v>
      </c>
      <c r="E227">
        <v>32.806194849999997</v>
      </c>
      <c r="F227">
        <v>5.8265313580000004</v>
      </c>
      <c r="G227">
        <v>9.4262289179999996</v>
      </c>
      <c r="H227">
        <v>22.790647280000002</v>
      </c>
      <c r="I227">
        <v>6.1032121720000001</v>
      </c>
      <c r="J227">
        <v>2.341822944</v>
      </c>
      <c r="K227">
        <v>32.806194849999997</v>
      </c>
      <c r="L227">
        <v>5.8265313580000004</v>
      </c>
      <c r="M227">
        <v>9.4262289179999996</v>
      </c>
      <c r="N227">
        <v>1.3673996000000001E-2</v>
      </c>
      <c r="O227">
        <v>7.8710680010000003</v>
      </c>
      <c r="P227">
        <v>271.20113178321998</v>
      </c>
      <c r="Q227">
        <v>36.368642644399998</v>
      </c>
      <c r="R227">
        <v>0.85374187984416305</v>
      </c>
      <c r="S227">
        <v>0.24738152679515299</v>
      </c>
      <c r="T227">
        <v>0.119852801451105</v>
      </c>
      <c r="U227">
        <v>0.38552892233598901</v>
      </c>
      <c r="V227">
        <v>0.283966456895765</v>
      </c>
      <c r="W227">
        <v>0.110466418630751</v>
      </c>
      <c r="X227">
        <v>1.39382992890107E-2</v>
      </c>
      <c r="Y227">
        <v>8.9138392607195305E-2</v>
      </c>
      <c r="Z227">
        <v>0.23230175339430001</v>
      </c>
      <c r="AA227">
        <v>8.3923418554666398E-4</v>
      </c>
    </row>
    <row r="228" spans="1:27" x14ac:dyDescent="0.55000000000000004">
      <c r="A228">
        <v>227</v>
      </c>
      <c r="B228">
        <v>23.72313793</v>
      </c>
      <c r="C228">
        <v>-1.203969396</v>
      </c>
      <c r="D228">
        <v>5.8065349089999998</v>
      </c>
      <c r="E228">
        <v>38.240121760000001</v>
      </c>
      <c r="F228">
        <v>7.0560466890000004</v>
      </c>
      <c r="G228">
        <v>14.02487839</v>
      </c>
      <c r="H228">
        <v>23.72313793</v>
      </c>
      <c r="I228">
        <v>1.203969396</v>
      </c>
      <c r="J228">
        <v>5.8065349089999998</v>
      </c>
      <c r="K228">
        <v>38.240121760000001</v>
      </c>
      <c r="L228">
        <v>7.0560466890000004</v>
      </c>
      <c r="M228">
        <v>14.02487839</v>
      </c>
      <c r="N228">
        <v>2.0969918000000001E-2</v>
      </c>
      <c r="O228">
        <v>11.841883660000001</v>
      </c>
      <c r="P228">
        <v>347.63054164940002</v>
      </c>
      <c r="Q228">
        <v>5.90878182334</v>
      </c>
      <c r="R228">
        <v>0.88896918542708703</v>
      </c>
      <c r="S228">
        <v>4.8248974032071498E-2</v>
      </c>
      <c r="T228">
        <v>0.29752514502851102</v>
      </c>
      <c r="U228">
        <v>0.54060019118033298</v>
      </c>
      <c r="V228">
        <v>0.34443594143817102</v>
      </c>
      <c r="W228">
        <v>0.36362759070214601</v>
      </c>
      <c r="X228">
        <v>2.42786149611341E-2</v>
      </c>
      <c r="Y228">
        <v>0.14064267485570101</v>
      </c>
      <c r="Z228">
        <v>0.29776861116905701</v>
      </c>
      <c r="AA228">
        <v>1.3519207649639699E-4</v>
      </c>
    </row>
    <row r="229" spans="1:27" x14ac:dyDescent="0.55000000000000004">
      <c r="A229">
        <v>228</v>
      </c>
      <c r="B229">
        <v>13.050723400000001</v>
      </c>
      <c r="C229">
        <v>-7.5433046389999996</v>
      </c>
      <c r="D229">
        <v>-3.103892911</v>
      </c>
      <c r="E229">
        <v>26.449164870000001</v>
      </c>
      <c r="F229">
        <v>7.8186562650000004</v>
      </c>
      <c r="G229">
        <v>12.65231707</v>
      </c>
      <c r="H229">
        <v>13.050723400000001</v>
      </c>
      <c r="I229">
        <v>7.5433046389999996</v>
      </c>
      <c r="J229">
        <v>3.103892911</v>
      </c>
      <c r="K229">
        <v>26.449164870000001</v>
      </c>
      <c r="L229">
        <v>7.8186562650000004</v>
      </c>
      <c r="M229">
        <v>12.65231707</v>
      </c>
      <c r="N229">
        <v>0.15177684999999999</v>
      </c>
      <c r="O229">
        <v>38.083465580000002</v>
      </c>
      <c r="P229">
        <v>0</v>
      </c>
      <c r="Q229">
        <v>40.774635798799999</v>
      </c>
      <c r="R229">
        <v>0.48579044260971699</v>
      </c>
      <c r="S229">
        <v>0.30591491701075801</v>
      </c>
      <c r="T229">
        <v>0.15893217034947901</v>
      </c>
      <c r="U229">
        <v>0.204114501161866</v>
      </c>
      <c r="V229">
        <v>0.38194227161976901</v>
      </c>
      <c r="W229">
        <v>0.28806644288542899</v>
      </c>
      <c r="X229">
        <v>0.209667791131327</v>
      </c>
      <c r="Y229">
        <v>0.481014517298607</v>
      </c>
      <c r="Z229">
        <v>0</v>
      </c>
      <c r="AA229">
        <v>9.4107328228804099E-4</v>
      </c>
    </row>
    <row r="230" spans="1:27" x14ac:dyDescent="0.55000000000000004">
      <c r="A230">
        <v>229</v>
      </c>
      <c r="B230">
        <v>21.422579809999998</v>
      </c>
      <c r="C230">
        <v>4.088375514</v>
      </c>
      <c r="D230">
        <v>8.327257865</v>
      </c>
      <c r="E230">
        <v>41.563032059999998</v>
      </c>
      <c r="F230">
        <v>3.480297808</v>
      </c>
      <c r="G230">
        <v>9.3284644480000001</v>
      </c>
      <c r="H230">
        <v>21.422579809999998</v>
      </c>
      <c r="I230">
        <v>4.088375514</v>
      </c>
      <c r="J230">
        <v>8.327257865</v>
      </c>
      <c r="K230">
        <v>41.563032059999998</v>
      </c>
      <c r="L230">
        <v>3.480297808</v>
      </c>
      <c r="M230">
        <v>9.3284644480000001</v>
      </c>
      <c r="N230">
        <v>7.7407597999999994E-2</v>
      </c>
      <c r="O230">
        <v>25.66674995</v>
      </c>
      <c r="P230">
        <v>180.41133851958199</v>
      </c>
      <c r="Q230">
        <v>27.488284193799998</v>
      </c>
      <c r="R230">
        <v>0.80205950552357497</v>
      </c>
      <c r="S230">
        <v>0.165487326925402</v>
      </c>
      <c r="T230">
        <v>0.42678921073617399</v>
      </c>
      <c r="U230">
        <v>0.63542809832951896</v>
      </c>
      <c r="V230">
        <v>0.16857502597378701</v>
      </c>
      <c r="W230">
        <v>0.105084367234393</v>
      </c>
      <c r="X230">
        <v>0.104266233661319</v>
      </c>
      <c r="Y230">
        <v>0.31996095014107001</v>
      </c>
      <c r="Z230">
        <v>0.15453427496685901</v>
      </c>
      <c r="AA230">
        <v>6.33975654346809E-4</v>
      </c>
    </row>
    <row r="231" spans="1:27" x14ac:dyDescent="0.55000000000000004">
      <c r="A231">
        <v>230</v>
      </c>
      <c r="B231">
        <v>21.359492509999999</v>
      </c>
      <c r="C231">
        <v>4.0511208209999996</v>
      </c>
      <c r="D231">
        <v>8.2940759889999995</v>
      </c>
      <c r="E231">
        <v>41.496480699999999</v>
      </c>
      <c r="F231">
        <v>3.433807963</v>
      </c>
      <c r="G231">
        <v>9.2027416090000003</v>
      </c>
      <c r="H231">
        <v>21.359492509999999</v>
      </c>
      <c r="I231">
        <v>4.0511208209999996</v>
      </c>
      <c r="J231">
        <v>8.2940759889999995</v>
      </c>
      <c r="K231">
        <v>41.496480699999999</v>
      </c>
      <c r="L231">
        <v>3.433807963</v>
      </c>
      <c r="M231">
        <v>9.2027416090000003</v>
      </c>
      <c r="N231">
        <v>6.2181230999999997E-2</v>
      </c>
      <c r="O231">
        <v>22.704387659999998</v>
      </c>
      <c r="P231">
        <v>360.82267703916398</v>
      </c>
      <c r="Q231">
        <v>11.3936206837</v>
      </c>
      <c r="R231">
        <v>0.79967621557262303</v>
      </c>
      <c r="S231">
        <v>0.163973088407598</v>
      </c>
      <c r="T231">
        <v>0.425087625804217</v>
      </c>
      <c r="U231">
        <v>0.63352888179432298</v>
      </c>
      <c r="V231">
        <v>0.16628858277724801</v>
      </c>
      <c r="W231">
        <v>9.8163174072970594E-2</v>
      </c>
      <c r="X231">
        <v>8.2686309791572904E-2</v>
      </c>
      <c r="Y231">
        <v>0.28153701999445802</v>
      </c>
      <c r="Z231">
        <v>0.30906854993371802</v>
      </c>
      <c r="AA231">
        <v>2.61967360918538E-4</v>
      </c>
    </row>
    <row r="232" spans="1:27" x14ac:dyDescent="0.55000000000000004">
      <c r="A232">
        <v>231</v>
      </c>
      <c r="B232">
        <v>21.54430713</v>
      </c>
      <c r="C232">
        <v>4.3923272740000003</v>
      </c>
      <c r="D232">
        <v>8.5411567969999993</v>
      </c>
      <c r="E232">
        <v>40.527101969999997</v>
      </c>
      <c r="F232">
        <v>3.3386091649999998</v>
      </c>
      <c r="G232">
        <v>9.1982293599999991</v>
      </c>
      <c r="H232">
        <v>21.54430713</v>
      </c>
      <c r="I232">
        <v>4.3923272740000003</v>
      </c>
      <c r="J232">
        <v>8.5411567969999993</v>
      </c>
      <c r="K232">
        <v>40.527101969999997</v>
      </c>
      <c r="L232">
        <v>3.3386091649999998</v>
      </c>
      <c r="M232">
        <v>9.1982293599999991</v>
      </c>
      <c r="N232">
        <v>6.7888669999999998E-2</v>
      </c>
      <c r="O232">
        <v>24.859382629999999</v>
      </c>
      <c r="P232">
        <v>360.82267703916398</v>
      </c>
      <c r="Q232">
        <v>33.869374247899998</v>
      </c>
      <c r="R232">
        <v>0.80665807763733299</v>
      </c>
      <c r="S232">
        <v>0.17784162179360799</v>
      </c>
      <c r="T232">
        <v>0.43775806613340601</v>
      </c>
      <c r="U232">
        <v>0.605865132880958</v>
      </c>
      <c r="V232">
        <v>0.16160655718637101</v>
      </c>
      <c r="W232">
        <v>9.7914769350568101E-2</v>
      </c>
      <c r="X232">
        <v>9.0775310871818699E-2</v>
      </c>
      <c r="Y232">
        <v>0.30948882604907102</v>
      </c>
      <c r="Z232">
        <v>0.30906854993371802</v>
      </c>
      <c r="AA232">
        <v>7.8146667953961195E-4</v>
      </c>
    </row>
    <row r="233" spans="1:27" x14ac:dyDescent="0.55000000000000004">
      <c r="A233">
        <v>232</v>
      </c>
      <c r="B233">
        <v>23.007535319999999</v>
      </c>
      <c r="C233">
        <v>4.2557066240000001</v>
      </c>
      <c r="D233">
        <v>8.8379456580000006</v>
      </c>
      <c r="E233">
        <v>41.392352080000002</v>
      </c>
      <c r="F233">
        <v>3.4104438460000002</v>
      </c>
      <c r="G233">
        <v>10.039195640000001</v>
      </c>
      <c r="H233">
        <v>23.007535319999999</v>
      </c>
      <c r="I233">
        <v>4.2557066240000001</v>
      </c>
      <c r="J233">
        <v>8.8379456580000006</v>
      </c>
      <c r="K233">
        <v>41.392352080000002</v>
      </c>
      <c r="L233">
        <v>3.4104438460000002</v>
      </c>
      <c r="M233">
        <v>10.039195640000001</v>
      </c>
      <c r="N233">
        <v>6.5310567999999999E-2</v>
      </c>
      <c r="O233">
        <v>23.843748089999998</v>
      </c>
      <c r="P233">
        <v>225.06761043037</v>
      </c>
      <c r="Q233">
        <v>40.356672663399998</v>
      </c>
      <c r="R233">
        <v>0.86193540035009097</v>
      </c>
      <c r="S233">
        <v>0.17228859655306999</v>
      </c>
      <c r="T233">
        <v>0.45297756288067398</v>
      </c>
      <c r="U233">
        <v>0.63055730019342004</v>
      </c>
      <c r="V233">
        <v>0.16513949900728001</v>
      </c>
      <c r="W233">
        <v>0.14421097227136401</v>
      </c>
      <c r="X233">
        <v>8.7121435663869207E-2</v>
      </c>
      <c r="Y233">
        <v>0.29631532908984298</v>
      </c>
      <c r="Z233">
        <v>0.19278533312697199</v>
      </c>
      <c r="AA233">
        <v>9.3141257999261801E-4</v>
      </c>
    </row>
    <row r="234" spans="1:27" x14ac:dyDescent="0.55000000000000004">
      <c r="A234">
        <v>233</v>
      </c>
      <c r="B234">
        <v>23.649658209999998</v>
      </c>
      <c r="C234">
        <v>4.2315955619999999</v>
      </c>
      <c r="D234">
        <v>9.025113996</v>
      </c>
      <c r="E234">
        <v>39.327637729999999</v>
      </c>
      <c r="F234">
        <v>3.607525834</v>
      </c>
      <c r="G234">
        <v>10.19706955</v>
      </c>
      <c r="H234">
        <v>23.649658209999998</v>
      </c>
      <c r="I234">
        <v>4.2315955619999999</v>
      </c>
      <c r="J234">
        <v>9.025113996</v>
      </c>
      <c r="K234">
        <v>39.327637729999999</v>
      </c>
      <c r="L234">
        <v>3.607525834</v>
      </c>
      <c r="M234">
        <v>10.19706955</v>
      </c>
      <c r="N234">
        <v>6.5940536999999994E-2</v>
      </c>
      <c r="O234">
        <v>19.44362259</v>
      </c>
      <c r="P234">
        <v>450.49070344307501</v>
      </c>
      <c r="Q234">
        <v>0.83393308268999999</v>
      </c>
      <c r="R234">
        <v>0.88619329426872795</v>
      </c>
      <c r="S234">
        <v>0.17130858850990699</v>
      </c>
      <c r="T234">
        <v>0.46257565865079397</v>
      </c>
      <c r="U234">
        <v>0.57163529418218595</v>
      </c>
      <c r="V234">
        <v>0.17483229902894401</v>
      </c>
      <c r="W234">
        <v>0.152902120474428</v>
      </c>
      <c r="X234">
        <v>8.8014273926621006E-2</v>
      </c>
      <c r="Y234">
        <v>0.23924259513726301</v>
      </c>
      <c r="Z234">
        <v>0.38587516065865002</v>
      </c>
      <c r="AA234" s="1">
        <v>1.7893207947135802E-5</v>
      </c>
    </row>
    <row r="235" spans="1:27" x14ac:dyDescent="0.55000000000000004">
      <c r="A235">
        <v>234</v>
      </c>
      <c r="B235">
        <v>23.94412998</v>
      </c>
      <c r="C235">
        <v>2.9852857849999999</v>
      </c>
      <c r="D235">
        <v>8.275359796</v>
      </c>
      <c r="E235">
        <v>39.27818473</v>
      </c>
      <c r="F235">
        <v>4.2808851570000002</v>
      </c>
      <c r="G235">
        <v>10.80648452</v>
      </c>
      <c r="H235">
        <v>23.94412998</v>
      </c>
      <c r="I235">
        <v>2.9852857849999999</v>
      </c>
      <c r="J235">
        <v>8.275359796</v>
      </c>
      <c r="K235">
        <v>39.27818473</v>
      </c>
      <c r="L235">
        <v>4.2808851570000002</v>
      </c>
      <c r="M235">
        <v>10.80648452</v>
      </c>
      <c r="N235">
        <v>6.8340792999999997E-2</v>
      </c>
      <c r="O235">
        <v>28.208139419999998</v>
      </c>
      <c r="P235">
        <v>39.643181902990598</v>
      </c>
      <c r="Q235">
        <v>539.75823760200001</v>
      </c>
      <c r="R235">
        <v>0.89731774578718004</v>
      </c>
      <c r="S235">
        <v>0.12065160767128399</v>
      </c>
      <c r="T235">
        <v>0.424127849087783</v>
      </c>
      <c r="U235">
        <v>0.57022402391941396</v>
      </c>
      <c r="V235">
        <v>0.20794916235468699</v>
      </c>
      <c r="W235">
        <v>0.186451145905139</v>
      </c>
      <c r="X235">
        <v>9.1416092741831503E-2</v>
      </c>
      <c r="Y235">
        <v>0.35292456563140101</v>
      </c>
      <c r="Z235">
        <v>3.3957014137961199E-2</v>
      </c>
      <c r="AA235">
        <v>1.2474463715645799E-2</v>
      </c>
    </row>
    <row r="236" spans="1:27" x14ac:dyDescent="0.55000000000000004">
      <c r="A236">
        <v>235</v>
      </c>
      <c r="B236">
        <v>24.02389848</v>
      </c>
      <c r="C236">
        <v>2.357364719</v>
      </c>
      <c r="D236">
        <v>7.8928179509999996</v>
      </c>
      <c r="E236">
        <v>38.606116020000002</v>
      </c>
      <c r="F236">
        <v>4.7218015910000002</v>
      </c>
      <c r="G236">
        <v>11.41093064</v>
      </c>
      <c r="H236">
        <v>24.02389848</v>
      </c>
      <c r="I236">
        <v>2.357364719</v>
      </c>
      <c r="J236">
        <v>7.8928179509999996</v>
      </c>
      <c r="K236">
        <v>38.606116020000002</v>
      </c>
      <c r="L236">
        <v>4.7218015910000002</v>
      </c>
      <c r="M236">
        <v>11.41093064</v>
      </c>
      <c r="N236">
        <v>7.2519376999999996E-2</v>
      </c>
      <c r="O236">
        <v>22.682937620000001</v>
      </c>
      <c r="P236">
        <v>569.52237674476203</v>
      </c>
      <c r="Q236">
        <v>24.6825192487</v>
      </c>
      <c r="R236">
        <v>0.90033121227651303</v>
      </c>
      <c r="S236">
        <v>9.5129393214219204E-2</v>
      </c>
      <c r="T236">
        <v>0.40451089194843998</v>
      </c>
      <c r="U236">
        <v>0.55104479141658202</v>
      </c>
      <c r="V236">
        <v>0.229634121312109</v>
      </c>
      <c r="W236">
        <v>0.21972663018045099</v>
      </c>
      <c r="X236">
        <v>9.7338288404351506E-2</v>
      </c>
      <c r="Y236">
        <v>0.28125879783325097</v>
      </c>
      <c r="Z236">
        <v>0.48783368212802902</v>
      </c>
      <c r="AA236">
        <v>5.6912385869836203E-4</v>
      </c>
    </row>
    <row r="237" spans="1:27" x14ac:dyDescent="0.55000000000000004">
      <c r="A237">
        <v>236</v>
      </c>
      <c r="B237">
        <v>23.40536775</v>
      </c>
      <c r="C237">
        <v>4.578257067</v>
      </c>
      <c r="D237">
        <v>9.2182913899999992</v>
      </c>
      <c r="E237">
        <v>39.086149079999998</v>
      </c>
      <c r="F237">
        <v>3.5587449869999999</v>
      </c>
      <c r="G237">
        <v>9.7228954689999991</v>
      </c>
      <c r="H237">
        <v>23.40536775</v>
      </c>
      <c r="I237">
        <v>4.578257067</v>
      </c>
      <c r="J237">
        <v>9.2182913899999992</v>
      </c>
      <c r="K237">
        <v>39.086149079999998</v>
      </c>
      <c r="L237">
        <v>3.5587449869999999</v>
      </c>
      <c r="M237">
        <v>9.7228954689999991</v>
      </c>
      <c r="N237">
        <v>8.6490419999999991E-3</v>
      </c>
      <c r="O237">
        <v>6.0178585050000004</v>
      </c>
      <c r="P237">
        <v>450.49070344307501</v>
      </c>
      <c r="Q237">
        <v>1.1791801414300001</v>
      </c>
      <c r="R237">
        <v>0.87696457472562805</v>
      </c>
      <c r="S237">
        <v>0.185398845635663</v>
      </c>
      <c r="T237">
        <v>0.472481902132178</v>
      </c>
      <c r="U237">
        <v>0.56474378607262798</v>
      </c>
      <c r="V237">
        <v>0.172433180775385</v>
      </c>
      <c r="W237">
        <v>0.12679826827983301</v>
      </c>
      <c r="X237">
        <v>6.8165659977420003E-3</v>
      </c>
      <c r="Y237">
        <v>6.5100957192318107E-2</v>
      </c>
      <c r="Z237">
        <v>0.38587516065865002</v>
      </c>
      <c r="AA237" s="1">
        <v>2.58731678296397E-5</v>
      </c>
    </row>
    <row r="238" spans="1:27" x14ac:dyDescent="0.55000000000000004">
      <c r="A238">
        <v>237</v>
      </c>
      <c r="B238">
        <v>23.241393219999999</v>
      </c>
      <c r="C238">
        <v>5.0928106370000004</v>
      </c>
      <c r="D238">
        <v>9.5526133360000003</v>
      </c>
      <c r="E238">
        <v>41.611627140000003</v>
      </c>
      <c r="F238">
        <v>3.405247385</v>
      </c>
      <c r="G238">
        <v>9.7685041459999997</v>
      </c>
      <c r="H238">
        <v>23.241393219999999</v>
      </c>
      <c r="I238">
        <v>5.0928106370000004</v>
      </c>
      <c r="J238">
        <v>9.5526133360000003</v>
      </c>
      <c r="K238">
        <v>41.611627140000003</v>
      </c>
      <c r="L238">
        <v>3.405247385</v>
      </c>
      <c r="M238">
        <v>9.7685041459999997</v>
      </c>
      <c r="N238">
        <v>4.6649002000000002E-2</v>
      </c>
      <c r="O238">
        <v>13.98109436</v>
      </c>
      <c r="P238">
        <v>450.49070344307501</v>
      </c>
      <c r="Q238">
        <v>2.5538485149799999</v>
      </c>
      <c r="R238">
        <v>0.87077000229090495</v>
      </c>
      <c r="S238">
        <v>0.20631317272910699</v>
      </c>
      <c r="T238">
        <v>0.489626116212663</v>
      </c>
      <c r="U238">
        <v>0.63681488560877497</v>
      </c>
      <c r="V238">
        <v>0.164883928938171</v>
      </c>
      <c r="W238">
        <v>0.129309080681659</v>
      </c>
      <c r="X238">
        <v>6.06728958664089E-2</v>
      </c>
      <c r="Y238">
        <v>0.16838974778569199</v>
      </c>
      <c r="Z238">
        <v>0.38587516065865002</v>
      </c>
      <c r="AA238" s="1">
        <v>5.7646931559042101E-5</v>
      </c>
    </row>
    <row r="239" spans="1:27" x14ac:dyDescent="0.55000000000000004">
      <c r="A239">
        <v>238</v>
      </c>
      <c r="B239">
        <v>22.703112480000001</v>
      </c>
      <c r="C239">
        <v>5.655933128</v>
      </c>
      <c r="D239">
        <v>9.9188474600000003</v>
      </c>
      <c r="E239">
        <v>42.042166129999998</v>
      </c>
      <c r="F239">
        <v>3.3023268720000001</v>
      </c>
      <c r="G239">
        <v>9.4108265029999991</v>
      </c>
      <c r="H239">
        <v>22.703112480000001</v>
      </c>
      <c r="I239">
        <v>5.655933128</v>
      </c>
      <c r="J239">
        <v>9.9188474600000003</v>
      </c>
      <c r="K239">
        <v>42.042166129999998</v>
      </c>
      <c r="L239">
        <v>3.3023268720000001</v>
      </c>
      <c r="M239">
        <v>9.4108265029999991</v>
      </c>
      <c r="N239">
        <v>6.4874813000000003E-2</v>
      </c>
      <c r="O239">
        <v>22.173315049999999</v>
      </c>
      <c r="P239">
        <v>450.49070344307501</v>
      </c>
      <c r="Q239">
        <v>3.0684235198700001</v>
      </c>
      <c r="R239">
        <v>0.85043502079014399</v>
      </c>
      <c r="S239">
        <v>0.22920161167327599</v>
      </c>
      <c r="T239">
        <v>0.50840680441024599</v>
      </c>
      <c r="U239">
        <v>0.64910143796254205</v>
      </c>
      <c r="V239">
        <v>0.15982213734189299</v>
      </c>
      <c r="W239">
        <v>0.10961849720123699</v>
      </c>
      <c r="X239">
        <v>8.6503851723730305E-2</v>
      </c>
      <c r="Y239">
        <v>0.27464863333820599</v>
      </c>
      <c r="Z239">
        <v>0.38587516065865002</v>
      </c>
      <c r="AA239" s="1">
        <v>6.9540698041941607E-5</v>
      </c>
    </row>
    <row r="240" spans="1:27" x14ac:dyDescent="0.55000000000000004">
      <c r="A240">
        <v>239</v>
      </c>
      <c r="B240">
        <v>22.653709280000001</v>
      </c>
      <c r="C240">
        <v>5.7674858450000004</v>
      </c>
      <c r="D240">
        <v>9.9727930400000009</v>
      </c>
      <c r="E240">
        <v>40.229835950000002</v>
      </c>
      <c r="F240">
        <v>3.3987659429999999</v>
      </c>
      <c r="G240">
        <v>9.3351201419999992</v>
      </c>
      <c r="H240">
        <v>22.653709280000001</v>
      </c>
      <c r="I240">
        <v>5.7674858450000004</v>
      </c>
      <c r="J240">
        <v>9.9727930400000009</v>
      </c>
      <c r="K240">
        <v>40.229835950000002</v>
      </c>
      <c r="L240">
        <v>3.3987659429999999</v>
      </c>
      <c r="M240">
        <v>9.3351201419999992</v>
      </c>
      <c r="N240">
        <v>5.7261421999999999E-2</v>
      </c>
      <c r="O240">
        <v>18.743434910000001</v>
      </c>
      <c r="P240">
        <v>450.49070344307501</v>
      </c>
      <c r="Q240">
        <v>16.069202800300001</v>
      </c>
      <c r="R240">
        <v>0.84856868398218399</v>
      </c>
      <c r="S240">
        <v>0.233735736296102</v>
      </c>
      <c r="T240">
        <v>0.51117316355382403</v>
      </c>
      <c r="U240">
        <v>0.59738187212511695</v>
      </c>
      <c r="V240">
        <v>0.16456516149627701</v>
      </c>
      <c r="W240">
        <v>0.105450771176299</v>
      </c>
      <c r="X240">
        <v>7.5713595704641395E-2</v>
      </c>
      <c r="Y240">
        <v>0.23016066663828799</v>
      </c>
      <c r="Z240">
        <v>0.38587516065865002</v>
      </c>
      <c r="AA240">
        <v>3.7003767396910902E-4</v>
      </c>
    </row>
    <row r="241" spans="1:27" x14ac:dyDescent="0.55000000000000004">
      <c r="A241">
        <v>240</v>
      </c>
      <c r="B241">
        <v>23.164675859999999</v>
      </c>
      <c r="C241">
        <v>-4.787430241</v>
      </c>
      <c r="D241">
        <v>2.6499796290000002</v>
      </c>
      <c r="E241">
        <v>37.894261360000002</v>
      </c>
      <c r="F241">
        <v>4.6691966889999996</v>
      </c>
      <c r="G241">
        <v>9.3529447189999999</v>
      </c>
      <c r="H241">
        <v>23.164675859999999</v>
      </c>
      <c r="I241">
        <v>4.787430241</v>
      </c>
      <c r="J241">
        <v>2.6499796290000002</v>
      </c>
      <c r="K241">
        <v>37.894261360000002</v>
      </c>
      <c r="L241">
        <v>4.6691966889999996</v>
      </c>
      <c r="M241">
        <v>9.3529447189999999</v>
      </c>
      <c r="N241">
        <v>5.970284E-2</v>
      </c>
      <c r="O241">
        <v>22.24517822</v>
      </c>
      <c r="P241">
        <v>657.34032252679401</v>
      </c>
      <c r="Q241">
        <v>21.789406249999999</v>
      </c>
      <c r="R241">
        <v>0.86787180070117897</v>
      </c>
      <c r="S241">
        <v>0.193900810125405</v>
      </c>
      <c r="T241">
        <v>0.13565524649302499</v>
      </c>
      <c r="U241">
        <v>0.53073016312156196</v>
      </c>
      <c r="V241">
        <v>0.22704693006028701</v>
      </c>
      <c r="W241">
        <v>0.106432035530643</v>
      </c>
      <c r="X241">
        <v>7.91737523246826E-2</v>
      </c>
      <c r="Y241">
        <v>0.27558074938407801</v>
      </c>
      <c r="Z241">
        <v>0.56305557611687196</v>
      </c>
      <c r="AA241">
        <v>5.0225312053933603E-4</v>
      </c>
    </row>
    <row r="242" spans="1:27" x14ac:dyDescent="0.55000000000000004">
      <c r="A242">
        <v>241</v>
      </c>
      <c r="B242">
        <v>23.31212631</v>
      </c>
      <c r="C242">
        <v>-5.0775590590000004</v>
      </c>
      <c r="D242">
        <v>2.5861612539999999</v>
      </c>
      <c r="E242">
        <v>35.497548909999999</v>
      </c>
      <c r="F242">
        <v>3.915657597</v>
      </c>
      <c r="G242">
        <v>8.5709606170000008</v>
      </c>
      <c r="H242">
        <v>23.31212631</v>
      </c>
      <c r="I242">
        <v>5.0775590590000004</v>
      </c>
      <c r="J242">
        <v>2.5861612539999999</v>
      </c>
      <c r="K242">
        <v>35.497548909999999</v>
      </c>
      <c r="L242">
        <v>3.915657597</v>
      </c>
      <c r="M242">
        <v>8.5709606170000008</v>
      </c>
      <c r="N242">
        <v>4.7171223999999998E-2</v>
      </c>
      <c r="O242">
        <v>25.981512070000001</v>
      </c>
      <c r="P242">
        <v>657.34032252679401</v>
      </c>
      <c r="Q242">
        <v>17.2247968862</v>
      </c>
      <c r="R242">
        <v>0.87344213222191802</v>
      </c>
      <c r="S242">
        <v>0.20569326353095799</v>
      </c>
      <c r="T242">
        <v>0.13238260496781501</v>
      </c>
      <c r="U242">
        <v>0.46233372591653199</v>
      </c>
      <c r="V242">
        <v>0.18998670045035401</v>
      </c>
      <c r="W242">
        <v>6.3382872290676198E-2</v>
      </c>
      <c r="X242">
        <v>6.1413027179617601E-2</v>
      </c>
      <c r="Y242">
        <v>0.324043637040139</v>
      </c>
      <c r="Z242">
        <v>0.56305557611687196</v>
      </c>
      <c r="AA242">
        <v>3.9674780577905299E-4</v>
      </c>
    </row>
    <row r="243" spans="1:27" x14ac:dyDescent="0.55000000000000004">
      <c r="A243">
        <v>242</v>
      </c>
      <c r="B243">
        <v>23.950841610000001</v>
      </c>
      <c r="C243">
        <v>-0.17370947</v>
      </c>
      <c r="D243">
        <v>6.2129062609999997</v>
      </c>
      <c r="E243">
        <v>40.883355219999999</v>
      </c>
      <c r="F243">
        <v>5.4835870299999998</v>
      </c>
      <c r="G243">
        <v>12.780658320000001</v>
      </c>
      <c r="H243">
        <v>23.950841610000001</v>
      </c>
      <c r="I243">
        <v>0.17370947</v>
      </c>
      <c r="J243">
        <v>6.2129062609999997</v>
      </c>
      <c r="K243">
        <v>40.883355219999999</v>
      </c>
      <c r="L243">
        <v>5.4835870299999998</v>
      </c>
      <c r="M243">
        <v>12.780658320000001</v>
      </c>
      <c r="N243">
        <v>6.2338915000000002E-2</v>
      </c>
      <c r="O243">
        <v>26.142658229999999</v>
      </c>
      <c r="P243">
        <v>569.52237674476203</v>
      </c>
      <c r="Q243">
        <v>1.4870507531399999</v>
      </c>
      <c r="R243">
        <v>0.89757129539753699</v>
      </c>
      <c r="S243">
        <v>6.3734641922865596E-3</v>
      </c>
      <c r="T243">
        <v>0.31836409245095798</v>
      </c>
      <c r="U243">
        <v>0.61603174800523497</v>
      </c>
      <c r="V243">
        <v>0.26709991914870401</v>
      </c>
      <c r="W243">
        <v>0.29513178271464102</v>
      </c>
      <c r="X243">
        <v>8.2909791119421997E-2</v>
      </c>
      <c r="Y243">
        <v>0.32613381649460299</v>
      </c>
      <c r="Z243">
        <v>0.48783368212802902</v>
      </c>
      <c r="AA243" s="1">
        <v>3.2989217244843797E-5</v>
      </c>
    </row>
    <row r="244" spans="1:27" x14ac:dyDescent="0.55000000000000004">
      <c r="A244">
        <v>243</v>
      </c>
      <c r="B244">
        <v>23.104436</v>
      </c>
      <c r="C244">
        <v>4.4596914219999997</v>
      </c>
      <c r="D244">
        <v>9.1555762870000006</v>
      </c>
      <c r="E244">
        <v>41.227468389999999</v>
      </c>
      <c r="F244">
        <v>3.7147525799999999</v>
      </c>
      <c r="G244">
        <v>10.26559091</v>
      </c>
      <c r="H244">
        <v>23.104436</v>
      </c>
      <c r="I244">
        <v>4.4596914219999997</v>
      </c>
      <c r="J244">
        <v>9.1555762870000006</v>
      </c>
      <c r="K244">
        <v>41.227468389999999</v>
      </c>
      <c r="L244">
        <v>3.7147525799999999</v>
      </c>
      <c r="M244">
        <v>10.26559091</v>
      </c>
      <c r="N244">
        <v>4.6205296999999999E-2</v>
      </c>
      <c r="O244">
        <v>17.528438569999999</v>
      </c>
      <c r="P244">
        <v>462.27465644866999</v>
      </c>
      <c r="Q244">
        <v>6.2889372244199997</v>
      </c>
      <c r="R244">
        <v>0.86559608034248903</v>
      </c>
      <c r="S244">
        <v>0.180579676503137</v>
      </c>
      <c r="T244">
        <v>0.469265837004609</v>
      </c>
      <c r="U244">
        <v>0.6258519143015</v>
      </c>
      <c r="V244">
        <v>0.18010587789071</v>
      </c>
      <c r="W244">
        <v>0.15667430357191001</v>
      </c>
      <c r="X244">
        <v>6.00440446032924E-2</v>
      </c>
      <c r="Y244">
        <v>0.21440130639590901</v>
      </c>
      <c r="Z244">
        <v>0.39596889783119199</v>
      </c>
      <c r="AA244">
        <v>1.4397889965082699E-4</v>
      </c>
    </row>
    <row r="245" spans="1:27" x14ac:dyDescent="0.55000000000000004">
      <c r="A245">
        <v>244</v>
      </c>
      <c r="B245">
        <v>23.35338381</v>
      </c>
      <c r="C245">
        <v>4.5132632340000001</v>
      </c>
      <c r="D245">
        <v>9.2675926690000008</v>
      </c>
      <c r="E245">
        <v>38.236017160000003</v>
      </c>
      <c r="F245">
        <v>3.5469487220000002</v>
      </c>
      <c r="G245">
        <v>10.02898716</v>
      </c>
      <c r="H245">
        <v>23.35338381</v>
      </c>
      <c r="I245">
        <v>4.5132632340000001</v>
      </c>
      <c r="J245">
        <v>9.2675926690000008</v>
      </c>
      <c r="K245">
        <v>38.236017160000003</v>
      </c>
      <c r="L245">
        <v>3.5469487220000002</v>
      </c>
      <c r="M245">
        <v>10.02898716</v>
      </c>
      <c r="N245">
        <v>6.1975222000000003E-2</v>
      </c>
      <c r="O245">
        <v>22.10388756</v>
      </c>
      <c r="P245">
        <v>462.27465644866999</v>
      </c>
      <c r="Q245">
        <v>2.9315981408399998</v>
      </c>
      <c r="R245">
        <v>0.87500074362471103</v>
      </c>
      <c r="S245">
        <v>0.18275713374856301</v>
      </c>
      <c r="T245">
        <v>0.47501009895482299</v>
      </c>
      <c r="U245">
        <v>0.54048305571998601</v>
      </c>
      <c r="V245">
        <v>0.17185302203633501</v>
      </c>
      <c r="W245">
        <v>0.14364898319661401</v>
      </c>
      <c r="X245">
        <v>8.2394338730026703E-2</v>
      </c>
      <c r="Y245">
        <v>0.27374810978137398</v>
      </c>
      <c r="Z245">
        <v>0.39596889783119199</v>
      </c>
      <c r="AA245" s="1">
        <v>6.6378148186911398E-5</v>
      </c>
    </row>
    <row r="246" spans="1:27" x14ac:dyDescent="0.55000000000000004">
      <c r="A246">
        <v>245</v>
      </c>
      <c r="B246">
        <v>24.13723933</v>
      </c>
      <c r="C246">
        <v>1.513738912</v>
      </c>
      <c r="D246">
        <v>7.4814234380000002</v>
      </c>
      <c r="E246">
        <v>37.284651969999999</v>
      </c>
      <c r="F246">
        <v>5.2454032149999996</v>
      </c>
      <c r="G246">
        <v>12.31067994</v>
      </c>
      <c r="H246">
        <v>24.13723933</v>
      </c>
      <c r="I246">
        <v>1.513738912</v>
      </c>
      <c r="J246">
        <v>7.4814234380000002</v>
      </c>
      <c r="K246">
        <v>37.284651969999999</v>
      </c>
      <c r="L246">
        <v>5.2454032149999996</v>
      </c>
      <c r="M246">
        <v>12.31067994</v>
      </c>
      <c r="N246">
        <v>6.9115512000000004E-2</v>
      </c>
      <c r="O246">
        <v>27.567010880000002</v>
      </c>
      <c r="P246">
        <v>284.76118837238101</v>
      </c>
      <c r="Q246">
        <v>11.8114009529</v>
      </c>
      <c r="R246">
        <v>0.90461296326026597</v>
      </c>
      <c r="S246">
        <v>6.0839734953624998E-2</v>
      </c>
      <c r="T246">
        <v>0.38341435405496599</v>
      </c>
      <c r="U246">
        <v>0.51333337012591795</v>
      </c>
      <c r="V246">
        <v>0.25538566707209098</v>
      </c>
      <c r="W246">
        <v>0.26925890889517401</v>
      </c>
      <c r="X246">
        <v>9.2514081319175295E-2</v>
      </c>
      <c r="Y246">
        <v>0.344608675870342</v>
      </c>
      <c r="Z246">
        <v>0.24391684106401401</v>
      </c>
      <c r="AA246">
        <v>2.7162383648732301E-4</v>
      </c>
    </row>
    <row r="247" spans="1:27" x14ac:dyDescent="0.55000000000000004">
      <c r="A247">
        <v>246</v>
      </c>
      <c r="B247">
        <v>24.035630059999999</v>
      </c>
      <c r="C247">
        <v>2.4522895660000001</v>
      </c>
      <c r="D247">
        <v>8.2128675369999993</v>
      </c>
      <c r="E247">
        <v>37.759675979999997</v>
      </c>
      <c r="F247">
        <v>5.9296321599999997</v>
      </c>
      <c r="G247">
        <v>13.160138440000001</v>
      </c>
      <c r="H247">
        <v>24.035630059999999</v>
      </c>
      <c r="I247">
        <v>2.4522895660000001</v>
      </c>
      <c r="J247">
        <v>8.2128675369999993</v>
      </c>
      <c r="K247">
        <v>37.759675979999997</v>
      </c>
      <c r="L247">
        <v>5.9296321599999997</v>
      </c>
      <c r="M247">
        <v>13.160138440000001</v>
      </c>
      <c r="N247">
        <v>4.5715038E-2</v>
      </c>
      <c r="O247">
        <v>21.7065506</v>
      </c>
      <c r="P247">
        <v>569.52237674476203</v>
      </c>
      <c r="Q247">
        <v>5.8706122089299999</v>
      </c>
      <c r="R247">
        <v>0.90077440380195095</v>
      </c>
      <c r="S247">
        <v>9.8987668455518402E-2</v>
      </c>
      <c r="T247">
        <v>0.42092321152363998</v>
      </c>
      <c r="U247">
        <v>0.52688941848326099</v>
      </c>
      <c r="V247">
        <v>0.28903711538668297</v>
      </c>
      <c r="W247">
        <v>0.31602261871810999</v>
      </c>
      <c r="X247">
        <v>5.93492135975471E-2</v>
      </c>
      <c r="Y247">
        <v>0.26859436891475402</v>
      </c>
      <c r="Z247">
        <v>0.48783368212802902</v>
      </c>
      <c r="AA247">
        <v>1.3430983294352201E-4</v>
      </c>
    </row>
    <row r="248" spans="1:27" x14ac:dyDescent="0.55000000000000004">
      <c r="A248">
        <v>247</v>
      </c>
      <c r="B248">
        <v>22.859679490000001</v>
      </c>
      <c r="C248">
        <v>5.6403488680000002</v>
      </c>
      <c r="D248">
        <v>9.9925111359999992</v>
      </c>
      <c r="E248">
        <v>37.633627400000002</v>
      </c>
      <c r="F248">
        <v>3.0495739579999999</v>
      </c>
      <c r="G248">
        <v>9.1928288939999998</v>
      </c>
      <c r="H248">
        <v>22.859679490000001</v>
      </c>
      <c r="I248">
        <v>5.6403488680000002</v>
      </c>
      <c r="J248">
        <v>9.9925111359999992</v>
      </c>
      <c r="K248">
        <v>37.633627400000002</v>
      </c>
      <c r="L248">
        <v>3.0495739579999999</v>
      </c>
      <c r="M248">
        <v>9.1928288939999998</v>
      </c>
      <c r="N248">
        <v>5.8425090999999998E-2</v>
      </c>
      <c r="O248">
        <v>26.11934853</v>
      </c>
      <c r="P248">
        <v>462.27465644866999</v>
      </c>
      <c r="Q248">
        <v>7.9202639501799998</v>
      </c>
      <c r="R248">
        <v>0.85634975452551698</v>
      </c>
      <c r="S248">
        <v>0.22856818042305699</v>
      </c>
      <c r="T248">
        <v>0.51218431840958001</v>
      </c>
      <c r="U248">
        <v>0.52329229368560304</v>
      </c>
      <c r="V248">
        <v>0.147391354218807</v>
      </c>
      <c r="W248">
        <v>9.7617467216405504E-2</v>
      </c>
      <c r="X248">
        <v>7.7362832743889304E-2</v>
      </c>
      <c r="Y248">
        <v>0.32583147323039002</v>
      </c>
      <c r="Z248">
        <v>0.39596889783119199</v>
      </c>
      <c r="AA248">
        <v>1.81685004590087E-4</v>
      </c>
    </row>
    <row r="249" spans="1:27" x14ac:dyDescent="0.55000000000000004">
      <c r="A249">
        <v>248</v>
      </c>
      <c r="B249">
        <v>22.860831770000001</v>
      </c>
      <c r="C249">
        <v>4.8371518269999996</v>
      </c>
      <c r="D249">
        <v>9.4556313339999996</v>
      </c>
      <c r="E249">
        <v>37.715718610000003</v>
      </c>
      <c r="F249">
        <v>3.1243390259999999</v>
      </c>
      <c r="G249">
        <v>9.4710919350000005</v>
      </c>
      <c r="H249">
        <v>22.860831770000001</v>
      </c>
      <c r="I249">
        <v>4.8371518269999996</v>
      </c>
      <c r="J249">
        <v>9.4556313339999996</v>
      </c>
      <c r="K249">
        <v>37.715718610000003</v>
      </c>
      <c r="L249">
        <v>3.1243390259999999</v>
      </c>
      <c r="M249">
        <v>9.4710919350000005</v>
      </c>
      <c r="N249">
        <v>7.0181534000000004E-2</v>
      </c>
      <c r="O249">
        <v>23.794059749999999</v>
      </c>
      <c r="P249">
        <v>231.13732822433499</v>
      </c>
      <c r="Q249">
        <v>20.439938629499999</v>
      </c>
      <c r="R249">
        <v>0.85639328495627998</v>
      </c>
      <c r="S249">
        <v>0.19592177271091099</v>
      </c>
      <c r="T249">
        <v>0.48465282557429701</v>
      </c>
      <c r="U249">
        <v>0.52563498034784695</v>
      </c>
      <c r="V249">
        <v>0.15106841704978499</v>
      </c>
      <c r="W249">
        <v>0.112936181554742</v>
      </c>
      <c r="X249">
        <v>9.4024925869518494E-2</v>
      </c>
      <c r="Y249">
        <v>0.295670836243136</v>
      </c>
      <c r="Z249">
        <v>0.197984448915596</v>
      </c>
      <c r="AA249">
        <v>4.7106184113024E-4</v>
      </c>
    </row>
    <row r="250" spans="1:27" x14ac:dyDescent="0.55000000000000004">
      <c r="A250">
        <v>249</v>
      </c>
      <c r="B250">
        <v>22.802814089999998</v>
      </c>
      <c r="C250">
        <v>5.4744838180000004</v>
      </c>
      <c r="D250">
        <v>9.9011713649999997</v>
      </c>
      <c r="E250">
        <v>37.544883800000001</v>
      </c>
      <c r="F250">
        <v>3.2518011649999998</v>
      </c>
      <c r="G250">
        <v>9.4667886600000006</v>
      </c>
      <c r="H250">
        <v>22.802814089999998</v>
      </c>
      <c r="I250">
        <v>5.4744838180000004</v>
      </c>
      <c r="J250">
        <v>9.9011713649999997</v>
      </c>
      <c r="K250">
        <v>37.544883800000001</v>
      </c>
      <c r="L250">
        <v>3.2518011649999998</v>
      </c>
      <c r="M250">
        <v>9.4667886600000006</v>
      </c>
      <c r="N250">
        <v>7.7385387999999999E-2</v>
      </c>
      <c r="O250">
        <v>24.4710331</v>
      </c>
      <c r="P250">
        <v>369.81972515893602</v>
      </c>
      <c r="Q250">
        <v>19.824913370899999</v>
      </c>
      <c r="R250">
        <v>0.85420151333629402</v>
      </c>
      <c r="S250">
        <v>0.221826499650985</v>
      </c>
      <c r="T250">
        <v>0.50750036449383396</v>
      </c>
      <c r="U250">
        <v>0.52075976373410704</v>
      </c>
      <c r="V250">
        <v>0.157337204147977</v>
      </c>
      <c r="W250">
        <v>0.11269928110182</v>
      </c>
      <c r="X250">
        <v>0.104234756020648</v>
      </c>
      <c r="Y250">
        <v>0.30445165849412298</v>
      </c>
      <c r="Z250">
        <v>0.31677511826495403</v>
      </c>
      <c r="AA250">
        <v>4.56846290943466E-4</v>
      </c>
    </row>
    <row r="251" spans="1:27" x14ac:dyDescent="0.55000000000000004">
      <c r="A251">
        <v>250</v>
      </c>
      <c r="B251">
        <v>22.69079511</v>
      </c>
      <c r="C251">
        <v>6.4671112160000002</v>
      </c>
      <c r="D251">
        <v>10.586529840000001</v>
      </c>
      <c r="E251">
        <v>42.141972899999999</v>
      </c>
      <c r="F251">
        <v>3.1918362560000002</v>
      </c>
      <c r="G251">
        <v>9.7963061820000004</v>
      </c>
      <c r="H251">
        <v>22.69079511</v>
      </c>
      <c r="I251">
        <v>6.4671112160000002</v>
      </c>
      <c r="J251">
        <v>10.586529840000001</v>
      </c>
      <c r="K251">
        <v>42.141972899999999</v>
      </c>
      <c r="L251">
        <v>3.1918362560000002</v>
      </c>
      <c r="M251">
        <v>9.7963061820000004</v>
      </c>
      <c r="N251">
        <v>6.6472835999999993E-2</v>
      </c>
      <c r="O251">
        <v>28.178707119999999</v>
      </c>
      <c r="P251">
        <v>369.81972515893602</v>
      </c>
      <c r="Q251">
        <v>1.6148131765</v>
      </c>
      <c r="R251">
        <v>0.84996969949500001</v>
      </c>
      <c r="S251">
        <v>0.26217241365112698</v>
      </c>
      <c r="T251">
        <v>0.54264592570468795</v>
      </c>
      <c r="U251">
        <v>0.65194968430804801</v>
      </c>
      <c r="V251">
        <v>0.15438803625520001</v>
      </c>
      <c r="W251">
        <v>0.130839616127465</v>
      </c>
      <c r="X251">
        <v>8.8768687103181199E-2</v>
      </c>
      <c r="Y251">
        <v>0.35254280792301002</v>
      </c>
      <c r="Z251">
        <v>0.31677511826495403</v>
      </c>
      <c r="AA251" s="1">
        <v>3.5942288059190998E-5</v>
      </c>
    </row>
    <row r="252" spans="1:27" x14ac:dyDescent="0.55000000000000004">
      <c r="A252">
        <v>251</v>
      </c>
      <c r="B252">
        <v>22.46224239</v>
      </c>
      <c r="C252">
        <v>6.3381243649999996</v>
      </c>
      <c r="D252">
        <v>10.43211299</v>
      </c>
      <c r="E252">
        <v>39.840715830000001</v>
      </c>
      <c r="F252">
        <v>2.8415498160000001</v>
      </c>
      <c r="G252">
        <v>9.2213650059999992</v>
      </c>
      <c r="H252">
        <v>22.46224239</v>
      </c>
      <c r="I252">
        <v>6.3381243649999996</v>
      </c>
      <c r="J252">
        <v>10.43211299</v>
      </c>
      <c r="K252">
        <v>39.840715830000001</v>
      </c>
      <c r="L252">
        <v>2.8415498160000001</v>
      </c>
      <c r="M252">
        <v>9.2213650059999992</v>
      </c>
      <c r="N252">
        <v>8.0131753999999999E-2</v>
      </c>
      <c r="O252">
        <v>25.768064500000001</v>
      </c>
      <c r="P252">
        <v>184.90986257946801</v>
      </c>
      <c r="Q252">
        <v>84.765686200600001</v>
      </c>
      <c r="R252">
        <v>0.84133551478843105</v>
      </c>
      <c r="S252">
        <v>0.25692966858074001</v>
      </c>
      <c r="T252">
        <v>0.53472734433212599</v>
      </c>
      <c r="U252">
        <v>0.58627731519222603</v>
      </c>
      <c r="V252">
        <v>0.13716040197123699</v>
      </c>
      <c r="W252">
        <v>9.9188414426943497E-2</v>
      </c>
      <c r="X252">
        <v>0.108127107308283</v>
      </c>
      <c r="Y252">
        <v>0.32127507137640199</v>
      </c>
      <c r="Z252">
        <v>0.15838755913247701</v>
      </c>
      <c r="AA252">
        <v>1.95787214706834E-3</v>
      </c>
    </row>
    <row r="253" spans="1:27" x14ac:dyDescent="0.55000000000000004">
      <c r="A253">
        <v>252</v>
      </c>
      <c r="B253">
        <v>22.276790170000002</v>
      </c>
      <c r="C253">
        <v>8.6238917760000007</v>
      </c>
      <c r="D253">
        <v>12.05051471</v>
      </c>
      <c r="E253">
        <v>37.730621079999999</v>
      </c>
      <c r="F253">
        <v>2.49917787</v>
      </c>
      <c r="G253">
        <v>8.1742225479999995</v>
      </c>
      <c r="H253">
        <v>22.276790170000002</v>
      </c>
      <c r="I253">
        <v>8.6238917760000007</v>
      </c>
      <c r="J253">
        <v>12.05051471</v>
      </c>
      <c r="K253">
        <v>37.730621079999999</v>
      </c>
      <c r="L253">
        <v>2.49917787</v>
      </c>
      <c r="M253">
        <v>8.1742225479999995</v>
      </c>
      <c r="N253">
        <v>7.3608950000000006E-2</v>
      </c>
      <c r="O253">
        <v>21.95679092</v>
      </c>
      <c r="P253">
        <v>184.90986257946801</v>
      </c>
      <c r="Q253">
        <v>16.709723199500001</v>
      </c>
      <c r="R253">
        <v>0.834329565693958</v>
      </c>
      <c r="S253">
        <v>0.34983600541402399</v>
      </c>
      <c r="T253">
        <v>0.61771987858803101</v>
      </c>
      <c r="U253">
        <v>0.52606026117515503</v>
      </c>
      <c r="V253">
        <v>0.120322014865025</v>
      </c>
      <c r="W253">
        <v>4.1541965484247899E-2</v>
      </c>
      <c r="X253">
        <v>9.8882511158901606E-2</v>
      </c>
      <c r="Y253">
        <v>0.27184016251940701</v>
      </c>
      <c r="Z253">
        <v>0.15838755913247701</v>
      </c>
      <c r="AA253">
        <v>3.84842512881265E-4</v>
      </c>
    </row>
    <row r="254" spans="1:27" x14ac:dyDescent="0.55000000000000004">
      <c r="A254">
        <v>253</v>
      </c>
      <c r="B254" t="s">
        <v>27</v>
      </c>
      <c r="C254" t="s">
        <v>27</v>
      </c>
      <c r="D254" t="s">
        <v>27</v>
      </c>
      <c r="E254" t="s">
        <v>27</v>
      </c>
      <c r="F254" t="s">
        <v>27</v>
      </c>
      <c r="G254" t="s">
        <v>27</v>
      </c>
      <c r="H254" t="s">
        <v>27</v>
      </c>
      <c r="I254" t="s">
        <v>27</v>
      </c>
      <c r="J254" t="s">
        <v>27</v>
      </c>
      <c r="K254" t="s">
        <v>27</v>
      </c>
      <c r="L254" t="s">
        <v>27</v>
      </c>
      <c r="M254" t="s">
        <v>27</v>
      </c>
      <c r="N254">
        <v>6.6998220999999997E-2</v>
      </c>
      <c r="O254">
        <v>22.582824710000001</v>
      </c>
      <c r="P254">
        <v>369.81972515893602</v>
      </c>
      <c r="Q254">
        <v>5.3933726560900004</v>
      </c>
      <c r="R254" t="s">
        <v>27</v>
      </c>
      <c r="S254" t="s">
        <v>27</v>
      </c>
      <c r="T254" t="s">
        <v>27</v>
      </c>
      <c r="U254" t="s">
        <v>27</v>
      </c>
      <c r="V254" t="s">
        <v>27</v>
      </c>
      <c r="W254" t="s">
        <v>27</v>
      </c>
      <c r="X254">
        <v>8.9513301251934199E-2</v>
      </c>
      <c r="Y254">
        <v>0.27996026271700297</v>
      </c>
      <c r="Z254">
        <v>0.31677511826495403</v>
      </c>
      <c r="AA254">
        <v>1.2327902937952901E-4</v>
      </c>
    </row>
    <row r="255" spans="1:27" x14ac:dyDescent="0.55000000000000004">
      <c r="A255">
        <v>254</v>
      </c>
      <c r="B255">
        <v>21.777638329999998</v>
      </c>
      <c r="C255">
        <v>7.5027753349999999</v>
      </c>
      <c r="D255">
        <v>11.05917206</v>
      </c>
      <c r="E255">
        <v>39.28727516</v>
      </c>
      <c r="F255">
        <v>3.0534691829999998</v>
      </c>
      <c r="G255">
        <v>8.8272350910000004</v>
      </c>
      <c r="H255">
        <v>21.777638329999998</v>
      </c>
      <c r="I255">
        <v>7.5027753349999999</v>
      </c>
      <c r="J255">
        <v>11.05917206</v>
      </c>
      <c r="K255">
        <v>39.28727516</v>
      </c>
      <c r="L255">
        <v>3.0534691829999998</v>
      </c>
      <c r="M255">
        <v>8.8272350910000004</v>
      </c>
      <c r="N255">
        <v>7.6485506999999994E-2</v>
      </c>
      <c r="O255">
        <v>21.999382019999999</v>
      </c>
      <c r="P255">
        <v>41.912902184679403</v>
      </c>
      <c r="Q255">
        <v>158.31346146499999</v>
      </c>
      <c r="R255">
        <v>0.81547278208979102</v>
      </c>
      <c r="S255">
        <v>0.30426758003722298</v>
      </c>
      <c r="T255">
        <v>0.56688327984821696</v>
      </c>
      <c r="U255">
        <v>0.57048344303523701</v>
      </c>
      <c r="V255">
        <v>0.147582927468841</v>
      </c>
      <c r="W255">
        <v>7.74910896281467E-2</v>
      </c>
      <c r="X255">
        <v>0.10295937867871</v>
      </c>
      <c r="Y255">
        <v>0.27239259915309999</v>
      </c>
      <c r="Z255">
        <v>3.5901180070028099E-2</v>
      </c>
      <c r="AA255">
        <v>3.6578382472844599E-3</v>
      </c>
    </row>
    <row r="256" spans="1:27" x14ac:dyDescent="0.55000000000000004">
      <c r="A256">
        <v>255</v>
      </c>
      <c r="B256">
        <v>21.72957336</v>
      </c>
      <c r="C256">
        <v>6.9187588419999999</v>
      </c>
      <c r="D256">
        <v>10.592925210000001</v>
      </c>
      <c r="E256">
        <v>46.374119810000003</v>
      </c>
      <c r="F256">
        <v>3.6441584040000001</v>
      </c>
      <c r="G256">
        <v>10.510343539999999</v>
      </c>
      <c r="H256">
        <v>21.72957336</v>
      </c>
      <c r="I256">
        <v>6.9187588419999999</v>
      </c>
      <c r="J256">
        <v>10.592925210000001</v>
      </c>
      <c r="K256">
        <v>46.374119810000003</v>
      </c>
      <c r="L256">
        <v>3.6441584040000001</v>
      </c>
      <c r="M256">
        <v>10.510343539999999</v>
      </c>
      <c r="N256">
        <v>5.9681131999999998E-2</v>
      </c>
      <c r="O256">
        <v>18.540542599999998</v>
      </c>
      <c r="P256">
        <v>251.477413108077</v>
      </c>
      <c r="Q256">
        <v>8.3155129151399994</v>
      </c>
      <c r="R256">
        <v>0.81365700046664702</v>
      </c>
      <c r="S256">
        <v>0.280529892311981</v>
      </c>
      <c r="T256">
        <v>0.54297388381128497</v>
      </c>
      <c r="U256">
        <v>0.77272502820559297</v>
      </c>
      <c r="V256">
        <v>0.17663394604343199</v>
      </c>
      <c r="W256">
        <v>0.170148229570321</v>
      </c>
      <c r="X256">
        <v>7.9142986155223694E-2</v>
      </c>
      <c r="Y256">
        <v>0.227529010148114</v>
      </c>
      <c r="Z256">
        <v>0.21540708042016901</v>
      </c>
      <c r="AA256">
        <v>1.9082069685490499E-4</v>
      </c>
    </row>
    <row r="257" spans="1:27" x14ac:dyDescent="0.55000000000000004">
      <c r="A257">
        <v>256</v>
      </c>
      <c r="B257">
        <v>21.697703069999999</v>
      </c>
      <c r="C257">
        <v>6.7788754869999996</v>
      </c>
      <c r="D257">
        <v>10.45563334</v>
      </c>
      <c r="E257">
        <v>40.025008839999998</v>
      </c>
      <c r="F257">
        <v>3.8704699040000001</v>
      </c>
      <c r="G257">
        <v>10.16605148</v>
      </c>
      <c r="H257">
        <v>21.697703069999999</v>
      </c>
      <c r="I257">
        <v>6.7788754869999996</v>
      </c>
      <c r="J257">
        <v>10.45563334</v>
      </c>
      <c r="K257">
        <v>40.025008839999998</v>
      </c>
      <c r="L257">
        <v>3.8704699040000001</v>
      </c>
      <c r="M257">
        <v>10.16605148</v>
      </c>
      <c r="N257">
        <v>0.110627428</v>
      </c>
      <c r="O257">
        <v>34.175460819999998</v>
      </c>
      <c r="P257">
        <v>10.0859925043346</v>
      </c>
      <c r="Q257">
        <v>575.116034152</v>
      </c>
      <c r="R257">
        <v>0.81245301579951201</v>
      </c>
      <c r="S257">
        <v>0.27484425254195999</v>
      </c>
      <c r="T257">
        <v>0.53593348087348303</v>
      </c>
      <c r="U257">
        <v>0.59153659662408598</v>
      </c>
      <c r="V257">
        <v>0.187764299123201</v>
      </c>
      <c r="W257">
        <v>0.151194538497501</v>
      </c>
      <c r="X257">
        <v>0.151347812764587</v>
      </c>
      <c r="Y257">
        <v>0.430324936750757</v>
      </c>
      <c r="Z257">
        <v>8.6393214072260204E-3</v>
      </c>
      <c r="AA257">
        <v>1.32917155672111E-2</v>
      </c>
    </row>
    <row r="258" spans="1:27" x14ac:dyDescent="0.55000000000000004">
      <c r="A258">
        <v>257</v>
      </c>
      <c r="B258">
        <v>21.39231405</v>
      </c>
      <c r="C258">
        <v>8.089236519</v>
      </c>
      <c r="D258">
        <v>11.39967233</v>
      </c>
      <c r="E258">
        <v>44.590125489999998</v>
      </c>
      <c r="F258">
        <v>3.3636657099999998</v>
      </c>
      <c r="G258">
        <v>9.5664970119999992</v>
      </c>
      <c r="H258">
        <v>21.39231405</v>
      </c>
      <c r="I258">
        <v>8.089236519</v>
      </c>
      <c r="J258">
        <v>11.39967233</v>
      </c>
      <c r="K258">
        <v>44.590125489999998</v>
      </c>
      <c r="L258">
        <v>3.3636657099999998</v>
      </c>
      <c r="M258">
        <v>9.5664970119999992</v>
      </c>
      <c r="N258">
        <v>8.5336462000000002E-2</v>
      </c>
      <c r="O258">
        <v>23.673339840000001</v>
      </c>
      <c r="P258">
        <v>251.477413108077</v>
      </c>
      <c r="Q258">
        <v>21.047673838400002</v>
      </c>
      <c r="R258">
        <v>0.80091613622950297</v>
      </c>
      <c r="S258">
        <v>0.32810463364037701</v>
      </c>
      <c r="T258">
        <v>0.58434432179651596</v>
      </c>
      <c r="U258">
        <v>0.721814099995573</v>
      </c>
      <c r="V258">
        <v>0.162838877209035</v>
      </c>
      <c r="W258">
        <v>0.11818834553504599</v>
      </c>
      <c r="X258">
        <v>0.115503601149806</v>
      </c>
      <c r="Y258">
        <v>0.29410501378961501</v>
      </c>
      <c r="Z258">
        <v>0.21540708042016901</v>
      </c>
      <c r="AA258">
        <v>4.8510889081085498E-4</v>
      </c>
    </row>
    <row r="259" spans="1:27" x14ac:dyDescent="0.55000000000000004">
      <c r="A259">
        <v>258</v>
      </c>
      <c r="B259">
        <v>21.367986160000001</v>
      </c>
      <c r="C259">
        <v>7.9450248720000003</v>
      </c>
      <c r="D259">
        <v>11.28141961</v>
      </c>
      <c r="E259">
        <v>38.00728762</v>
      </c>
      <c r="F259">
        <v>3.1782992079999999</v>
      </c>
      <c r="G259">
        <v>8.7774015760000008</v>
      </c>
      <c r="H259">
        <v>21.367986160000001</v>
      </c>
      <c r="I259">
        <v>7.9450248720000003</v>
      </c>
      <c r="J259">
        <v>11.28141961</v>
      </c>
      <c r="K259">
        <v>38.00728762</v>
      </c>
      <c r="L259">
        <v>3.1782992079999999</v>
      </c>
      <c r="M259">
        <v>8.7774015760000008</v>
      </c>
      <c r="N259">
        <v>8.5336462000000002E-2</v>
      </c>
      <c r="O259">
        <v>24.514526369999999</v>
      </c>
      <c r="P259">
        <v>41.912902184679403</v>
      </c>
      <c r="Q259">
        <v>139.975195039</v>
      </c>
      <c r="R259">
        <v>0.799997085711176</v>
      </c>
      <c r="S259">
        <v>0.32224306794170299</v>
      </c>
      <c r="T259">
        <v>0.57828025698851904</v>
      </c>
      <c r="U259">
        <v>0.53395566207309797</v>
      </c>
      <c r="V259">
        <v>0.15372226308902101</v>
      </c>
      <c r="W259">
        <v>7.4747694824378305E-2</v>
      </c>
      <c r="X259">
        <v>0.115503601149806</v>
      </c>
      <c r="Y259">
        <v>0.30501579690959302</v>
      </c>
      <c r="Z259">
        <v>3.5901180070028099E-2</v>
      </c>
      <c r="AA259">
        <v>3.2339718400564901E-3</v>
      </c>
    </row>
    <row r="260" spans="1:27" x14ac:dyDescent="0.55000000000000004">
      <c r="A260">
        <v>259</v>
      </c>
      <c r="B260">
        <v>22.804405330000002</v>
      </c>
      <c r="C260">
        <v>2.8357581039999999</v>
      </c>
      <c r="D260">
        <v>7.9908491599999998</v>
      </c>
      <c r="E260">
        <v>37.356227459999999</v>
      </c>
      <c r="F260">
        <v>3.6941646549999998</v>
      </c>
      <c r="G260">
        <v>10.24654593</v>
      </c>
      <c r="H260">
        <v>22.804405330000002</v>
      </c>
      <c r="I260">
        <v>2.8357581039999999</v>
      </c>
      <c r="J260">
        <v>7.9908491599999998</v>
      </c>
      <c r="K260">
        <v>37.356227459999999</v>
      </c>
      <c r="L260">
        <v>3.6941646549999998</v>
      </c>
      <c r="M260">
        <v>10.24654593</v>
      </c>
      <c r="N260">
        <v>6.1290736999999998E-2</v>
      </c>
      <c r="O260">
        <v>19.313703539999999</v>
      </c>
      <c r="P260">
        <v>462.27465644866999</v>
      </c>
      <c r="Q260">
        <v>20.6800785617</v>
      </c>
      <c r="R260">
        <v>0.85426162664438599</v>
      </c>
      <c r="S260">
        <v>0.11457396869978</v>
      </c>
      <c r="T260">
        <v>0.40953798650138001</v>
      </c>
      <c r="U260">
        <v>0.51537596330692503</v>
      </c>
      <c r="V260">
        <v>0.17909333157985199</v>
      </c>
      <c r="W260">
        <v>0.15562585456786401</v>
      </c>
      <c r="X260">
        <v>8.1424236394388602E-2</v>
      </c>
      <c r="Y260">
        <v>0.23755745334391601</v>
      </c>
      <c r="Z260">
        <v>0.39596889783119199</v>
      </c>
      <c r="AA260">
        <v>4.7661237943789903E-4</v>
      </c>
    </row>
    <row r="261" spans="1:27" x14ac:dyDescent="0.55000000000000004">
      <c r="A261">
        <v>260</v>
      </c>
      <c r="B261">
        <v>22.664254010000001</v>
      </c>
      <c r="C261">
        <v>2.8373084519999998</v>
      </c>
      <c r="D261">
        <v>7.9727056530000002</v>
      </c>
      <c r="E261">
        <v>39.846278949999999</v>
      </c>
      <c r="F261">
        <v>3.7951951840000002</v>
      </c>
      <c r="G261">
        <v>10.175942149999999</v>
      </c>
      <c r="H261">
        <v>22.664254010000001</v>
      </c>
      <c r="I261">
        <v>2.8373084519999998</v>
      </c>
      <c r="J261">
        <v>7.9727056530000002</v>
      </c>
      <c r="K261">
        <v>39.846278949999999</v>
      </c>
      <c r="L261">
        <v>3.7951951840000002</v>
      </c>
      <c r="M261">
        <v>10.175942149999999</v>
      </c>
      <c r="N261">
        <v>6.9271765999999999E-2</v>
      </c>
      <c r="O261">
        <v>20.590017320000001</v>
      </c>
      <c r="P261">
        <v>170.11707357311101</v>
      </c>
      <c r="Q261">
        <v>36.858632727900002</v>
      </c>
      <c r="R261">
        <v>0.84896703910349203</v>
      </c>
      <c r="S261">
        <v>0.114636983489826</v>
      </c>
      <c r="T261">
        <v>0.40860757743939502</v>
      </c>
      <c r="U261">
        <v>0.58643607332265801</v>
      </c>
      <c r="V261">
        <v>0.18406217081076101</v>
      </c>
      <c r="W261">
        <v>0.15173903175035999</v>
      </c>
      <c r="X261">
        <v>9.2735535946161796E-2</v>
      </c>
      <c r="Y261">
        <v>0.254112144069431</v>
      </c>
      <c r="Z261">
        <v>0.145716554401879</v>
      </c>
      <c r="AA261">
        <v>8.5055970189841696E-4</v>
      </c>
    </row>
    <row r="262" spans="1:27" x14ac:dyDescent="0.55000000000000004">
      <c r="A262">
        <v>261</v>
      </c>
      <c r="B262">
        <v>22.66667928</v>
      </c>
      <c r="C262">
        <v>2.8146882670000002</v>
      </c>
      <c r="D262">
        <v>7.9278276129999998</v>
      </c>
      <c r="E262">
        <v>37.914893970000001</v>
      </c>
      <c r="F262">
        <v>3.4530292309999999</v>
      </c>
      <c r="G262">
        <v>9.6270855560000008</v>
      </c>
      <c r="H262">
        <v>22.66667928</v>
      </c>
      <c r="I262">
        <v>2.8146882670000002</v>
      </c>
      <c r="J262">
        <v>7.9278276129999998</v>
      </c>
      <c r="K262">
        <v>37.914893970000001</v>
      </c>
      <c r="L262">
        <v>3.4530292309999999</v>
      </c>
      <c r="M262">
        <v>9.6270855560000008</v>
      </c>
      <c r="N262">
        <v>7.3546283000000004E-2</v>
      </c>
      <c r="O262">
        <v>25.22439194</v>
      </c>
      <c r="P262">
        <v>340.23414714622101</v>
      </c>
      <c r="Q262">
        <v>15.518492546399999</v>
      </c>
      <c r="R262">
        <v>0.84905866010517295</v>
      </c>
      <c r="S262">
        <v>0.113717573003558</v>
      </c>
      <c r="T262">
        <v>0.40630620675620099</v>
      </c>
      <c r="U262">
        <v>0.53131896843036797</v>
      </c>
      <c r="V262">
        <v>0.16723391476206001</v>
      </c>
      <c r="W262">
        <v>0.121523817591904</v>
      </c>
      <c r="X262">
        <v>9.8793694891098099E-2</v>
      </c>
      <c r="Y262">
        <v>0.31422325447386201</v>
      </c>
      <c r="Z262">
        <v>0.291433108803758</v>
      </c>
      <c r="AA262">
        <v>3.5730868578005999E-4</v>
      </c>
    </row>
    <row r="263" spans="1:27" x14ac:dyDescent="0.55000000000000004">
      <c r="A263">
        <v>262</v>
      </c>
      <c r="B263">
        <v>22.54161332</v>
      </c>
      <c r="C263">
        <v>3.37951186</v>
      </c>
      <c r="D263">
        <v>8.2577800499999992</v>
      </c>
      <c r="E263">
        <v>37.933704489999997</v>
      </c>
      <c r="F263">
        <v>3.052625259</v>
      </c>
      <c r="G263">
        <v>9.1724505490000006</v>
      </c>
      <c r="H263">
        <v>22.54161332</v>
      </c>
      <c r="I263">
        <v>3.37951186</v>
      </c>
      <c r="J263">
        <v>8.2577800499999992</v>
      </c>
      <c r="K263">
        <v>37.933704489999997</v>
      </c>
      <c r="L263">
        <v>3.052625259</v>
      </c>
      <c r="M263">
        <v>9.1724505490000006</v>
      </c>
      <c r="N263">
        <v>6.9982222999999996E-2</v>
      </c>
      <c r="O263">
        <v>22.50436401</v>
      </c>
      <c r="P263">
        <v>340.23414714622101</v>
      </c>
      <c r="Q263">
        <v>7.1097998782499996</v>
      </c>
      <c r="R263">
        <v>0.84433396201737698</v>
      </c>
      <c r="S263">
        <v>0.13667515422118801</v>
      </c>
      <c r="T263">
        <v>0.42322635000131698</v>
      </c>
      <c r="U263">
        <v>0.53185577565143105</v>
      </c>
      <c r="V263">
        <v>0.14754142196827</v>
      </c>
      <c r="W263">
        <v>9.6495614868996299E-2</v>
      </c>
      <c r="X263">
        <v>9.3742447704739995E-2</v>
      </c>
      <c r="Y263">
        <v>0.27894257204958101</v>
      </c>
      <c r="Z263">
        <v>0.291433108803758</v>
      </c>
      <c r="AA263">
        <v>1.6295212731717E-4</v>
      </c>
    </row>
    <row r="264" spans="1:27" x14ac:dyDescent="0.55000000000000004">
      <c r="A264">
        <v>263</v>
      </c>
      <c r="B264">
        <v>23.04058427</v>
      </c>
      <c r="C264">
        <v>1.714147259</v>
      </c>
      <c r="D264">
        <v>7.191507541</v>
      </c>
      <c r="E264">
        <v>37.811524079999998</v>
      </c>
      <c r="F264">
        <v>3.9763339539999998</v>
      </c>
      <c r="G264">
        <v>10.007096580000001</v>
      </c>
      <c r="H264">
        <v>23.04058427</v>
      </c>
      <c r="I264">
        <v>1.714147259</v>
      </c>
      <c r="J264">
        <v>7.191507541</v>
      </c>
      <c r="K264">
        <v>37.811524079999998</v>
      </c>
      <c r="L264">
        <v>3.9763339539999998</v>
      </c>
      <c r="M264">
        <v>10.007096580000001</v>
      </c>
      <c r="N264">
        <v>5.719221E-2</v>
      </c>
      <c r="O264">
        <v>26.892543790000001</v>
      </c>
      <c r="P264">
        <v>340.23414714622101</v>
      </c>
      <c r="Q264">
        <v>2.8112217041099998</v>
      </c>
      <c r="R264">
        <v>0.86318391202240097</v>
      </c>
      <c r="S264">
        <v>6.8985447986797496E-2</v>
      </c>
      <c r="T264">
        <v>0.36854730669845198</v>
      </c>
      <c r="U264">
        <v>0.528369039167775</v>
      </c>
      <c r="V264">
        <v>0.192970858467088</v>
      </c>
      <c r="W264">
        <v>0.142443880497688</v>
      </c>
      <c r="X264">
        <v>7.5615503382889707E-2</v>
      </c>
      <c r="Y264">
        <v>0.335860361580819</v>
      </c>
      <c r="Z264">
        <v>0.291433108803758</v>
      </c>
      <c r="AA264" s="1">
        <v>6.3595795342516595E-5</v>
      </c>
    </row>
    <row r="265" spans="1:27" x14ac:dyDescent="0.55000000000000004">
      <c r="A265">
        <v>264</v>
      </c>
      <c r="B265">
        <v>22.896605489999999</v>
      </c>
      <c r="C265">
        <v>0.46508590599999999</v>
      </c>
      <c r="D265">
        <v>6.3065671109999997</v>
      </c>
      <c r="E265">
        <v>38.600378810000002</v>
      </c>
      <c r="F265">
        <v>4.5817951289999996</v>
      </c>
      <c r="G265">
        <v>11.619257019999999</v>
      </c>
      <c r="H265">
        <v>22.896605489999999</v>
      </c>
      <c r="I265">
        <v>0.46508590599999999</v>
      </c>
      <c r="J265">
        <v>6.3065671109999997</v>
      </c>
      <c r="K265">
        <v>38.600378810000002</v>
      </c>
      <c r="L265">
        <v>4.5817951289999996</v>
      </c>
      <c r="M265">
        <v>11.619257019999999</v>
      </c>
      <c r="N265">
        <v>3.8209975E-2</v>
      </c>
      <c r="O265">
        <v>15.989591600000001</v>
      </c>
      <c r="P265">
        <v>458.57645919708102</v>
      </c>
      <c r="Q265">
        <v>19.502571312099999</v>
      </c>
      <c r="R265">
        <v>0.85774473203650403</v>
      </c>
      <c r="S265">
        <v>1.8216627752158401E-2</v>
      </c>
      <c r="T265">
        <v>0.323167072580059</v>
      </c>
      <c r="U265">
        <v>0.55088106517420499</v>
      </c>
      <c r="V265">
        <v>0.22274838481392301</v>
      </c>
      <c r="W265">
        <v>0.231195247402814</v>
      </c>
      <c r="X265">
        <v>4.87124879638062E-2</v>
      </c>
      <c r="Y265">
        <v>0.19444137486383201</v>
      </c>
      <c r="Z265">
        <v>0.39280114664854299</v>
      </c>
      <c r="AA265">
        <v>4.4939575188006201E-4</v>
      </c>
    </row>
    <row r="266" spans="1:27" x14ac:dyDescent="0.55000000000000004">
      <c r="A266">
        <v>265</v>
      </c>
      <c r="B266">
        <v>23.4707182</v>
      </c>
      <c r="C266">
        <v>-1.128543099</v>
      </c>
      <c r="D266">
        <v>5.1432185480000001</v>
      </c>
      <c r="E266">
        <v>37.294006860000003</v>
      </c>
      <c r="F266">
        <v>4.8996591379999996</v>
      </c>
      <c r="G266">
        <v>11.237807180000001</v>
      </c>
      <c r="H266">
        <v>23.4707182</v>
      </c>
      <c r="I266">
        <v>1.128543099</v>
      </c>
      <c r="J266">
        <v>5.1432185480000001</v>
      </c>
      <c r="K266">
        <v>37.294006860000003</v>
      </c>
      <c r="L266">
        <v>4.8996591379999996</v>
      </c>
      <c r="M266">
        <v>11.237807180000001</v>
      </c>
      <c r="N266">
        <v>5.7034697000000002E-2</v>
      </c>
      <c r="O266">
        <v>28.18327713</v>
      </c>
      <c r="P266">
        <v>340.23414714622101</v>
      </c>
      <c r="Q266">
        <v>17.647437597300001</v>
      </c>
      <c r="R266">
        <v>0.87943336116561199</v>
      </c>
      <c r="S266">
        <v>4.51832286191979E-2</v>
      </c>
      <c r="T266">
        <v>0.26350991560031001</v>
      </c>
      <c r="U266">
        <v>0.51360033629720203</v>
      </c>
      <c r="V266">
        <v>0.238381433295864</v>
      </c>
      <c r="W266">
        <v>0.21019597594957001</v>
      </c>
      <c r="X266">
        <v>7.5392264408780205E-2</v>
      </c>
      <c r="Y266">
        <v>0.35260208417885602</v>
      </c>
      <c r="Z266">
        <v>0.291433108803758</v>
      </c>
      <c r="AA266">
        <v>4.0651662446674703E-4</v>
      </c>
    </row>
    <row r="267" spans="1:27" x14ac:dyDescent="0.55000000000000004">
      <c r="A267">
        <v>266</v>
      </c>
      <c r="B267">
        <v>23.80351061</v>
      </c>
      <c r="C267">
        <v>-3.032685378</v>
      </c>
      <c r="D267">
        <v>3.8072456790000002</v>
      </c>
      <c r="E267">
        <v>38.889988870000003</v>
      </c>
      <c r="F267">
        <v>5.4422864430000004</v>
      </c>
      <c r="G267">
        <v>12.28502677</v>
      </c>
      <c r="H267">
        <v>23.80351061</v>
      </c>
      <c r="I267">
        <v>3.032685378</v>
      </c>
      <c r="J267">
        <v>3.8072456790000002</v>
      </c>
      <c r="K267">
        <v>38.889988870000003</v>
      </c>
      <c r="L267">
        <v>5.4422864430000004</v>
      </c>
      <c r="M267">
        <v>12.28502677</v>
      </c>
      <c r="N267">
        <v>5.2430472999999998E-2</v>
      </c>
      <c r="O267">
        <v>25.360305790000002</v>
      </c>
      <c r="P267">
        <v>114.64411479927</v>
      </c>
      <c r="Q267">
        <v>83.560496638299995</v>
      </c>
      <c r="R267">
        <v>0.89200547641711303</v>
      </c>
      <c r="S267">
        <v>0.122578191509966</v>
      </c>
      <c r="T267">
        <v>0.19500048884596799</v>
      </c>
      <c r="U267">
        <v>0.55914584315486604</v>
      </c>
      <c r="V267">
        <v>0.26506869176648201</v>
      </c>
      <c r="W267">
        <v>0.26784667110142801</v>
      </c>
      <c r="X267">
        <v>6.8866820525859407E-2</v>
      </c>
      <c r="Y267">
        <v>0.31598615305516797</v>
      </c>
      <c r="Z267">
        <v>9.8200286662135705E-2</v>
      </c>
      <c r="AA267">
        <v>1.93001567700002E-3</v>
      </c>
    </row>
    <row r="268" spans="1:27" x14ac:dyDescent="0.55000000000000004">
      <c r="A268">
        <v>267</v>
      </c>
      <c r="B268">
        <v>24.391631350000001</v>
      </c>
      <c r="C268">
        <v>-2.1653045240000002</v>
      </c>
      <c r="D268">
        <v>4.5550168700000002</v>
      </c>
      <c r="E268">
        <v>38.475061590000003</v>
      </c>
      <c r="F268">
        <v>6.3297939059999999</v>
      </c>
      <c r="G268">
        <v>13.234520549999999</v>
      </c>
      <c r="H268">
        <v>24.391631350000001</v>
      </c>
      <c r="I268">
        <v>2.1653045240000002</v>
      </c>
      <c r="J268">
        <v>4.5550168700000002</v>
      </c>
      <c r="K268">
        <v>38.475061590000003</v>
      </c>
      <c r="L268">
        <v>6.3297939059999999</v>
      </c>
      <c r="M268">
        <v>13.234520549999999</v>
      </c>
      <c r="N268">
        <v>5.5606291000000002E-2</v>
      </c>
      <c r="O268">
        <v>32.621158600000001</v>
      </c>
      <c r="P268">
        <v>489.352263103697</v>
      </c>
      <c r="Q268">
        <v>1.7535010530099999</v>
      </c>
      <c r="R268">
        <v>0.91422329600343899</v>
      </c>
      <c r="S268">
        <v>8.7322995641541501E-2</v>
      </c>
      <c r="T268">
        <v>0.233346608611984</v>
      </c>
      <c r="U268">
        <v>0.54730481164056199</v>
      </c>
      <c r="V268">
        <v>0.30871769512742397</v>
      </c>
      <c r="W268">
        <v>0.32011744313632201</v>
      </c>
      <c r="X268">
        <v>7.3367822679831399E-2</v>
      </c>
      <c r="Y268">
        <v>0.41016453971572597</v>
      </c>
      <c r="Z268">
        <v>0.41916266351470599</v>
      </c>
      <c r="AA268" s="1">
        <v>3.91478872459835E-5</v>
      </c>
    </row>
    <row r="269" spans="1:27" x14ac:dyDescent="0.55000000000000004">
      <c r="A269">
        <v>268</v>
      </c>
      <c r="B269">
        <v>23.893063680000001</v>
      </c>
      <c r="C269">
        <v>-1.70791991</v>
      </c>
      <c r="D269">
        <v>4.7852803259999996</v>
      </c>
      <c r="E269">
        <v>37.485403910000002</v>
      </c>
      <c r="F269">
        <v>6.5011150740000003</v>
      </c>
      <c r="G269">
        <v>13.245614529999999</v>
      </c>
      <c r="H269">
        <v>23.893063680000001</v>
      </c>
      <c r="I269">
        <v>1.70791991</v>
      </c>
      <c r="J269">
        <v>4.7852803259999996</v>
      </c>
      <c r="K269">
        <v>37.485403910000002</v>
      </c>
      <c r="L269">
        <v>6.5011150740000003</v>
      </c>
      <c r="M269">
        <v>13.245614529999999</v>
      </c>
      <c r="N269">
        <v>5.2728011999999998E-2</v>
      </c>
      <c r="O269">
        <v>29.83929062</v>
      </c>
      <c r="P269">
        <v>480.76564270661697</v>
      </c>
      <c r="Q269">
        <v>0.45278870229899998</v>
      </c>
      <c r="R269">
        <v>0.89538858096918506</v>
      </c>
      <c r="S269">
        <v>6.8732333789356406E-2</v>
      </c>
      <c r="T269">
        <v>0.245154645840196</v>
      </c>
      <c r="U269">
        <v>0.51906235002836698</v>
      </c>
      <c r="V269">
        <v>0.31714353778181098</v>
      </c>
      <c r="W269">
        <v>0.320728180048722</v>
      </c>
      <c r="X269">
        <v>6.9288514615347796E-2</v>
      </c>
      <c r="Y269">
        <v>0.37408174818767898</v>
      </c>
      <c r="Z269">
        <v>0.41180765374444001</v>
      </c>
      <c r="AA269" s="1">
        <v>9.0835257558893802E-6</v>
      </c>
    </row>
    <row r="270" spans="1:27" x14ac:dyDescent="0.55000000000000004">
      <c r="A270">
        <v>269</v>
      </c>
      <c r="B270">
        <v>24.008114559999999</v>
      </c>
      <c r="C270">
        <v>-2.8451403210000001</v>
      </c>
      <c r="D270">
        <v>3.9629962910000001</v>
      </c>
      <c r="E270">
        <v>38.700545859999998</v>
      </c>
      <c r="F270">
        <v>5.2336498970000003</v>
      </c>
      <c r="G270">
        <v>11.880267</v>
      </c>
      <c r="H270">
        <v>24.008114559999999</v>
      </c>
      <c r="I270">
        <v>2.8451403210000001</v>
      </c>
      <c r="J270">
        <v>3.9629962910000001</v>
      </c>
      <c r="K270">
        <v>38.700545859999998</v>
      </c>
      <c r="L270">
        <v>5.2336498970000003</v>
      </c>
      <c r="M270">
        <v>11.880267</v>
      </c>
      <c r="N270">
        <v>4.2312849E-2</v>
      </c>
      <c r="O270">
        <v>20.839920039999999</v>
      </c>
      <c r="P270">
        <v>340.23414714622101</v>
      </c>
      <c r="Q270">
        <v>5.4292335307600004</v>
      </c>
      <c r="R270">
        <v>0.89973493286809603</v>
      </c>
      <c r="S270">
        <v>0.114955314329546</v>
      </c>
      <c r="T270">
        <v>0.20298746627070099</v>
      </c>
      <c r="U270">
        <v>0.55373959304864295</v>
      </c>
      <c r="V270">
        <v>0.25480762053358702</v>
      </c>
      <c r="W270">
        <v>0.24556416002845799</v>
      </c>
      <c r="X270">
        <v>5.4527381862472898E-2</v>
      </c>
      <c r="Y270">
        <v>0.25735355876375798</v>
      </c>
      <c r="Z270">
        <v>0.291433108803758</v>
      </c>
      <c r="AA270">
        <v>1.24107909261265E-4</v>
      </c>
    </row>
    <row r="271" spans="1:27" x14ac:dyDescent="0.55000000000000004">
      <c r="A271">
        <v>270</v>
      </c>
      <c r="B271">
        <v>23.279305529999998</v>
      </c>
      <c r="C271">
        <v>-0.64677098200000005</v>
      </c>
      <c r="D271">
        <v>5.5081042509999998</v>
      </c>
      <c r="E271">
        <v>37.346739569999997</v>
      </c>
      <c r="F271">
        <v>6.8495796279999999</v>
      </c>
      <c r="G271">
        <v>13.74001487</v>
      </c>
      <c r="H271">
        <v>23.279305529999998</v>
      </c>
      <c r="I271">
        <v>0.64677098200000005</v>
      </c>
      <c r="J271">
        <v>5.5081042509999998</v>
      </c>
      <c r="K271">
        <v>37.346739569999997</v>
      </c>
      <c r="L271">
        <v>6.8495796279999999</v>
      </c>
      <c r="M271">
        <v>13.74001487</v>
      </c>
      <c r="N271">
        <v>3.6646946999999999E-2</v>
      </c>
      <c r="O271">
        <v>26.555624009999999</v>
      </c>
      <c r="P271">
        <v>480.76564270661697</v>
      </c>
      <c r="Q271">
        <v>3.9803877085799999</v>
      </c>
      <c r="R271">
        <v>0.87220224027605298</v>
      </c>
      <c r="S271">
        <v>2.56013226197137E-2</v>
      </c>
      <c r="T271">
        <v>0.28222145602410398</v>
      </c>
      <c r="U271">
        <v>0.51510520163395401</v>
      </c>
      <c r="V271">
        <v>0.33428156886641802</v>
      </c>
      <c r="W271">
        <v>0.347945512073914</v>
      </c>
      <c r="X271">
        <v>4.6497250064556801E-2</v>
      </c>
      <c r="Y271">
        <v>0.33149027418960703</v>
      </c>
      <c r="Z271">
        <v>0.41180765374444001</v>
      </c>
      <c r="AA271" s="1">
        <v>9.0619625308535699E-5</v>
      </c>
    </row>
    <row r="272" spans="1:27" x14ac:dyDescent="0.55000000000000004">
      <c r="A272">
        <v>271</v>
      </c>
      <c r="B272">
        <v>23.279305529999998</v>
      </c>
      <c r="C272">
        <v>-0.64677098200000005</v>
      </c>
      <c r="D272">
        <v>5.5081042509999998</v>
      </c>
      <c r="E272">
        <v>37.346739569999997</v>
      </c>
      <c r="F272">
        <v>6.8495796279999999</v>
      </c>
      <c r="G272">
        <v>13.74001487</v>
      </c>
      <c r="H272">
        <v>23.279305529999998</v>
      </c>
      <c r="I272">
        <v>0.64677098200000005</v>
      </c>
      <c r="J272">
        <v>5.5081042509999998</v>
      </c>
      <c r="K272">
        <v>37.346739569999997</v>
      </c>
      <c r="L272">
        <v>6.8495796279999999</v>
      </c>
      <c r="M272">
        <v>13.74001487</v>
      </c>
      <c r="N272">
        <v>3.8612912999999999E-2</v>
      </c>
      <c r="O272">
        <v>17.662391660000001</v>
      </c>
      <c r="P272">
        <v>458.57645919708102</v>
      </c>
      <c r="Q272">
        <v>0.64834679181800003</v>
      </c>
      <c r="R272">
        <v>0.87220224027605298</v>
      </c>
      <c r="S272">
        <v>2.56013226197137E-2</v>
      </c>
      <c r="T272">
        <v>0.28222145602410398</v>
      </c>
      <c r="U272">
        <v>0.51510520163395401</v>
      </c>
      <c r="V272">
        <v>0.33428156886641802</v>
      </c>
      <c r="W272">
        <v>0.347945512073914</v>
      </c>
      <c r="X272">
        <v>4.9283561245057603E-2</v>
      </c>
      <c r="Y272">
        <v>0.21613877253583999</v>
      </c>
      <c r="Z272">
        <v>0.39280114664854299</v>
      </c>
      <c r="AA272" s="1">
        <v>1.36036097640082E-5</v>
      </c>
    </row>
    <row r="273" spans="1:27" x14ac:dyDescent="0.55000000000000004">
      <c r="A273">
        <v>272</v>
      </c>
      <c r="B273">
        <v>23.805253359999998</v>
      </c>
      <c r="C273">
        <v>-0.76552109300000004</v>
      </c>
      <c r="D273">
        <v>6.0995070360000003</v>
      </c>
      <c r="E273">
        <v>37.620562790000001</v>
      </c>
      <c r="F273">
        <v>7.2855343450000003</v>
      </c>
      <c r="G273">
        <v>14.93258447</v>
      </c>
      <c r="H273">
        <v>23.805253359999998</v>
      </c>
      <c r="I273">
        <v>0.76552109300000004</v>
      </c>
      <c r="J273">
        <v>6.0995070360000003</v>
      </c>
      <c r="K273">
        <v>37.620562790000001</v>
      </c>
      <c r="L273">
        <v>7.2855343450000003</v>
      </c>
      <c r="M273">
        <v>14.93258447</v>
      </c>
      <c r="N273">
        <v>3.1624697E-2</v>
      </c>
      <c r="O273">
        <v>18.54127502</v>
      </c>
      <c r="P273">
        <v>695.26108329880003</v>
      </c>
      <c r="Q273">
        <v>0.67589523511299998</v>
      </c>
      <c r="R273">
        <v>0.89207131341698498</v>
      </c>
      <c r="S273">
        <v>3.04279894793699E-2</v>
      </c>
      <c r="T273">
        <v>0.31254891754777903</v>
      </c>
      <c r="U273">
        <v>0.52291946098409403</v>
      </c>
      <c r="V273">
        <v>0.355722502831332</v>
      </c>
      <c r="W273">
        <v>0.41359789970445199</v>
      </c>
      <c r="X273">
        <v>3.9379349080373903E-2</v>
      </c>
      <c r="Y273">
        <v>0.22753851015255799</v>
      </c>
      <c r="Z273">
        <v>0.59553722233811301</v>
      </c>
      <c r="AA273" s="1">
        <v>1.42403580483291E-5</v>
      </c>
    </row>
    <row r="274" spans="1:27" x14ac:dyDescent="0.55000000000000004">
      <c r="A274">
        <v>273</v>
      </c>
      <c r="B274">
        <v>14.94372656</v>
      </c>
      <c r="C274">
        <v>-6.449726525</v>
      </c>
      <c r="D274">
        <v>-1.3014040060000001</v>
      </c>
      <c r="E274">
        <v>28.684833319999999</v>
      </c>
      <c r="F274">
        <v>7.6108282029999996</v>
      </c>
      <c r="G274">
        <v>13.80541489</v>
      </c>
      <c r="H274">
        <v>14.94372656</v>
      </c>
      <c r="I274">
        <v>6.449726525</v>
      </c>
      <c r="J274">
        <v>1.3014040060000001</v>
      </c>
      <c r="K274">
        <v>28.684833319999999</v>
      </c>
      <c r="L274">
        <v>7.6108282029999996</v>
      </c>
      <c r="M274">
        <v>13.80541489</v>
      </c>
      <c r="N274">
        <v>0.25066429400000001</v>
      </c>
      <c r="O274">
        <v>41.162364959999998</v>
      </c>
      <c r="P274">
        <v>191.458170546508</v>
      </c>
      <c r="Q274">
        <v>3.9273490942599998</v>
      </c>
      <c r="R274">
        <v>0.55730365380037294</v>
      </c>
      <c r="S274">
        <v>0.26146580284286403</v>
      </c>
      <c r="T274">
        <v>6.6499543551418197E-2</v>
      </c>
      <c r="U274">
        <v>0.26791512803793999</v>
      </c>
      <c r="V274">
        <v>0.37172096289288498</v>
      </c>
      <c r="W274">
        <v>0.35154586165861301</v>
      </c>
      <c r="X274">
        <v>0.34981832823540099</v>
      </c>
      <c r="Y274">
        <v>0.52095001577052702</v>
      </c>
      <c r="Z274">
        <v>0.16399661914084401</v>
      </c>
      <c r="AA274" s="1">
        <v>8.9393703164428596E-5</v>
      </c>
    </row>
    <row r="275" spans="1:27" x14ac:dyDescent="0.55000000000000004">
      <c r="A275">
        <v>274</v>
      </c>
      <c r="B275">
        <v>14.862090309999999</v>
      </c>
      <c r="C275">
        <v>-6.932432543</v>
      </c>
      <c r="D275">
        <v>-1.760766713</v>
      </c>
      <c r="E275">
        <v>28.91354827</v>
      </c>
      <c r="F275">
        <v>7.2063985370000001</v>
      </c>
      <c r="G275">
        <v>13.37123075</v>
      </c>
      <c r="H275">
        <v>14.862090309999999</v>
      </c>
      <c r="I275">
        <v>6.932432543</v>
      </c>
      <c r="J275">
        <v>1.760766713</v>
      </c>
      <c r="K275">
        <v>28.91354827</v>
      </c>
      <c r="L275">
        <v>7.2063985370000001</v>
      </c>
      <c r="M275">
        <v>13.37123075</v>
      </c>
      <c r="N275">
        <v>0.25066429400000001</v>
      </c>
      <c r="O275">
        <v>41.162364959999998</v>
      </c>
      <c r="P275">
        <v>191.458170546508</v>
      </c>
      <c r="Q275">
        <v>8.4482727152799999</v>
      </c>
      <c r="R275">
        <v>0.554219628104893</v>
      </c>
      <c r="S275">
        <v>0.281085667787977</v>
      </c>
      <c r="T275">
        <v>9.0055916932300806E-2</v>
      </c>
      <c r="U275">
        <v>0.27444210532114599</v>
      </c>
      <c r="V275">
        <v>0.35183048017984198</v>
      </c>
      <c r="W275">
        <v>0.32764350370624501</v>
      </c>
      <c r="X275">
        <v>0.34981832823540099</v>
      </c>
      <c r="Y275">
        <v>0.52095001577052702</v>
      </c>
      <c r="Z275">
        <v>0.16399661914084401</v>
      </c>
      <c r="AA275">
        <v>1.9388927586899601E-4</v>
      </c>
    </row>
    <row r="276" spans="1:27" x14ac:dyDescent="0.55000000000000004">
      <c r="A276">
        <v>275</v>
      </c>
      <c r="B276">
        <v>22.226258779999998</v>
      </c>
      <c r="C276">
        <v>-0.44150730399999999</v>
      </c>
      <c r="D276">
        <v>5.5058873540000004</v>
      </c>
      <c r="E276">
        <v>39.643203479999997</v>
      </c>
      <c r="F276">
        <v>4.8253357530000001</v>
      </c>
      <c r="G276">
        <v>11.39540326</v>
      </c>
      <c r="H276">
        <v>22.226258779999998</v>
      </c>
      <c r="I276">
        <v>0.44150730399999999</v>
      </c>
      <c r="J276">
        <v>5.5058873540000004</v>
      </c>
      <c r="K276">
        <v>39.643203479999997</v>
      </c>
      <c r="L276">
        <v>4.8253357530000001</v>
      </c>
      <c r="M276">
        <v>11.39540326</v>
      </c>
      <c r="N276">
        <v>6.7804977000000002E-2</v>
      </c>
      <c r="O276">
        <v>26.377082819999998</v>
      </c>
      <c r="P276">
        <v>236.68462410171901</v>
      </c>
      <c r="Q276">
        <v>11.5213860309</v>
      </c>
      <c r="R276">
        <v>0.83242060851882704</v>
      </c>
      <c r="S276">
        <v>1.7258261853279999E-2</v>
      </c>
      <c r="T276">
        <v>0.282107772321263</v>
      </c>
      <c r="U276">
        <v>0.58064078543497799</v>
      </c>
      <c r="V276">
        <v>0.23472609312475601</v>
      </c>
      <c r="W276">
        <v>0.218871829277722</v>
      </c>
      <c r="X276">
        <v>9.06566950149678E-2</v>
      </c>
      <c r="Y276">
        <v>0.32917446891622398</v>
      </c>
      <c r="Z276">
        <v>0.20273607568957</v>
      </c>
      <c r="AA276">
        <v>2.6492049931383998E-4</v>
      </c>
    </row>
    <row r="277" spans="1:27" x14ac:dyDescent="0.55000000000000004">
      <c r="A277">
        <v>276</v>
      </c>
      <c r="B277">
        <v>22.200586300000001</v>
      </c>
      <c r="C277">
        <v>-5.9165528000000002E-2</v>
      </c>
      <c r="D277">
        <v>5.7650606509999998</v>
      </c>
      <c r="E277">
        <v>41.134579100000003</v>
      </c>
      <c r="F277">
        <v>5.5631151379999997</v>
      </c>
      <c r="G277">
        <v>12.27382032</v>
      </c>
      <c r="H277">
        <v>22.200586300000001</v>
      </c>
      <c r="I277">
        <v>5.9165528000000002E-2</v>
      </c>
      <c r="J277">
        <v>5.7650606509999998</v>
      </c>
      <c r="K277">
        <v>41.134579100000003</v>
      </c>
      <c r="L277">
        <v>5.5631151379999997</v>
      </c>
      <c r="M277">
        <v>12.27382032</v>
      </c>
      <c r="N277">
        <v>6.7614213000000006E-2</v>
      </c>
      <c r="O277">
        <v>28.026630399999998</v>
      </c>
      <c r="P277">
        <v>236.68462410171901</v>
      </c>
      <c r="Q277">
        <v>2.8564774805800002</v>
      </c>
      <c r="R277">
        <v>0.83145076254982897</v>
      </c>
      <c r="S277">
        <v>1.7177595014018299E-3</v>
      </c>
      <c r="T277">
        <v>0.29539832216662998</v>
      </c>
      <c r="U277">
        <v>0.62320107627939803</v>
      </c>
      <c r="V277">
        <v>0.27101123572698599</v>
      </c>
      <c r="W277">
        <v>0.26722974258055798</v>
      </c>
      <c r="X277">
        <v>9.0386330285345304E-2</v>
      </c>
      <c r="Y277">
        <v>0.35057026550781301</v>
      </c>
      <c r="Z277">
        <v>0.20273607568957</v>
      </c>
      <c r="AA277" s="1">
        <v>6.4641826790257697E-5</v>
      </c>
    </row>
    <row r="278" spans="1:27" x14ac:dyDescent="0.55000000000000004">
      <c r="A278">
        <v>277</v>
      </c>
      <c r="B278">
        <v>22.16801968</v>
      </c>
      <c r="C278">
        <v>-0.44446140299999998</v>
      </c>
      <c r="D278">
        <v>5.5160533770000004</v>
      </c>
      <c r="E278">
        <v>40.265760530000001</v>
      </c>
      <c r="F278">
        <v>5.5155657769999999</v>
      </c>
      <c r="G278">
        <v>12.07167074</v>
      </c>
      <c r="H278">
        <v>22.16801968</v>
      </c>
      <c r="I278">
        <v>0.44446140299999998</v>
      </c>
      <c r="J278">
        <v>5.5160533770000004</v>
      </c>
      <c r="K278">
        <v>40.265760530000001</v>
      </c>
      <c r="L278">
        <v>5.5155657769999999</v>
      </c>
      <c r="M278">
        <v>12.07167074</v>
      </c>
      <c r="N278">
        <v>5.7399011999999999E-2</v>
      </c>
      <c r="O278">
        <v>21.421741489999999</v>
      </c>
      <c r="P278">
        <v>236.68462410171901</v>
      </c>
      <c r="Q278">
        <v>1.3419778948100001</v>
      </c>
      <c r="R278">
        <v>0.83022047217153605</v>
      </c>
      <c r="S278">
        <v>1.7378332913621501E-2</v>
      </c>
      <c r="T278">
        <v>0.282629091596723</v>
      </c>
      <c r="U278">
        <v>0.59840707365903001</v>
      </c>
      <c r="V278">
        <v>0.26867268387854998</v>
      </c>
      <c r="W278">
        <v>0.25610116561070201</v>
      </c>
      <c r="X278">
        <v>7.5908598342186995E-2</v>
      </c>
      <c r="Y278">
        <v>0.26490019370036499</v>
      </c>
      <c r="Z278">
        <v>0.20273607568957</v>
      </c>
      <c r="AA278" s="1">
        <v>2.96360370794904E-5</v>
      </c>
    </row>
    <row r="279" spans="1:27" x14ac:dyDescent="0.55000000000000004">
      <c r="A279">
        <v>278</v>
      </c>
      <c r="B279">
        <v>21.85079884</v>
      </c>
      <c r="C279">
        <v>0.98867109799999997</v>
      </c>
      <c r="D279">
        <v>6.1865118319999999</v>
      </c>
      <c r="E279">
        <v>44.624546160000001</v>
      </c>
      <c r="F279">
        <v>4.5615282329999998</v>
      </c>
      <c r="G279">
        <v>12.066661330000001</v>
      </c>
      <c r="H279">
        <v>21.85079884</v>
      </c>
      <c r="I279">
        <v>0.98867109799999997</v>
      </c>
      <c r="J279">
        <v>6.1865118319999999</v>
      </c>
      <c r="K279">
        <v>44.624546160000001</v>
      </c>
      <c r="L279">
        <v>4.5615282329999998</v>
      </c>
      <c r="M279">
        <v>12.066661330000001</v>
      </c>
      <c r="N279">
        <v>6.0948029000000001E-2</v>
      </c>
      <c r="O279">
        <v>20.261425020000001</v>
      </c>
      <c r="P279">
        <v>236.68462410171901</v>
      </c>
      <c r="Q279">
        <v>19.740943347999998</v>
      </c>
      <c r="R279">
        <v>0.81823661424443295</v>
      </c>
      <c r="S279">
        <v>3.9498050339065602E-2</v>
      </c>
      <c r="T279">
        <v>0.31701057155075302</v>
      </c>
      <c r="U279">
        <v>0.72279638353743503</v>
      </c>
      <c r="V279">
        <v>0.22175162721074801</v>
      </c>
      <c r="W279">
        <v>0.25582539157862899</v>
      </c>
      <c r="X279">
        <v>8.0938525485834203E-2</v>
      </c>
      <c r="Y279">
        <v>0.249850069972506</v>
      </c>
      <c r="Z279">
        <v>0.20273607568957</v>
      </c>
      <c r="AA279">
        <v>4.54905427445539E-4</v>
      </c>
    </row>
    <row r="280" spans="1:27" x14ac:dyDescent="0.55000000000000004">
      <c r="A280">
        <v>279</v>
      </c>
      <c r="B280">
        <v>21.900856650000001</v>
      </c>
      <c r="C280">
        <v>1.012785797</v>
      </c>
      <c r="D280">
        <v>6.2624812219999999</v>
      </c>
      <c r="E280">
        <v>41.514170569999997</v>
      </c>
      <c r="F280">
        <v>4.5075409339999997</v>
      </c>
      <c r="G280">
        <v>11.512038710000001</v>
      </c>
      <c r="H280">
        <v>21.900856650000001</v>
      </c>
      <c r="I280">
        <v>1.012785797</v>
      </c>
      <c r="J280">
        <v>6.2624812219999999</v>
      </c>
      <c r="K280">
        <v>41.514170569999997</v>
      </c>
      <c r="L280">
        <v>4.5075409339999997</v>
      </c>
      <c r="M280">
        <v>11.512038710000001</v>
      </c>
      <c r="N280">
        <v>6.5375790000000003E-2</v>
      </c>
      <c r="O280">
        <v>23.178741460000001</v>
      </c>
      <c r="P280">
        <v>110.94591754768101</v>
      </c>
      <c r="Q280">
        <v>51.436902111099997</v>
      </c>
      <c r="R280">
        <v>0.82012768067998598</v>
      </c>
      <c r="S280">
        <v>4.0478206210194698E-2</v>
      </c>
      <c r="T280">
        <v>0.32090632383775403</v>
      </c>
      <c r="U280">
        <v>0.63403370834646999</v>
      </c>
      <c r="V280">
        <v>0.21909644751509399</v>
      </c>
      <c r="W280">
        <v>0.22529275076931701</v>
      </c>
      <c r="X280">
        <v>8.7213873065032199E-2</v>
      </c>
      <c r="Y280">
        <v>0.28768972364502299</v>
      </c>
      <c r="Z280">
        <v>9.5032535479486105E-2</v>
      </c>
      <c r="AA280">
        <v>1.18751841563472E-3</v>
      </c>
    </row>
    <row r="281" spans="1:27" x14ac:dyDescent="0.55000000000000004">
      <c r="A281">
        <v>280</v>
      </c>
      <c r="B281">
        <v>22.88162724</v>
      </c>
      <c r="C281">
        <v>-0.47775987800000003</v>
      </c>
      <c r="D281">
        <v>5.6446680950000001</v>
      </c>
      <c r="E281">
        <v>39.110407189999997</v>
      </c>
      <c r="F281">
        <v>4.284743057</v>
      </c>
      <c r="G281">
        <v>10.82177197</v>
      </c>
      <c r="H281">
        <v>22.88162724</v>
      </c>
      <c r="I281">
        <v>0.47775987800000003</v>
      </c>
      <c r="J281">
        <v>5.6446680950000001</v>
      </c>
      <c r="K281">
        <v>39.110407189999997</v>
      </c>
      <c r="L281">
        <v>4.284743057</v>
      </c>
      <c r="M281">
        <v>10.82177197</v>
      </c>
      <c r="N281">
        <v>9.4196620000000005E-3</v>
      </c>
      <c r="O281">
        <v>11.555030820000001</v>
      </c>
      <c r="P281">
        <v>118.34231205086</v>
      </c>
      <c r="Q281">
        <v>28.757634776700002</v>
      </c>
      <c r="R281">
        <v>0.85717888894751704</v>
      </c>
      <c r="S281">
        <v>1.87317686654382E-2</v>
      </c>
      <c r="T281">
        <v>0.289224525386443</v>
      </c>
      <c r="U281">
        <v>0.56543605447442502</v>
      </c>
      <c r="V281">
        <v>0.20813889990291801</v>
      </c>
      <c r="W281">
        <v>0.18729273837343799</v>
      </c>
      <c r="X281">
        <v>7.9087451717040798E-3</v>
      </c>
      <c r="Y281">
        <v>0.13692199102046501</v>
      </c>
      <c r="Z281">
        <v>0.101368037844785</v>
      </c>
      <c r="AA281">
        <v>6.6331512726032905E-4</v>
      </c>
    </row>
    <row r="282" spans="1:27" x14ac:dyDescent="0.55000000000000004">
      <c r="A282">
        <v>281</v>
      </c>
      <c r="B282">
        <v>22.64122459</v>
      </c>
      <c r="C282">
        <v>0.28285002100000001</v>
      </c>
      <c r="D282">
        <v>6.1407615240000002</v>
      </c>
      <c r="E282">
        <v>38.677812430000003</v>
      </c>
      <c r="F282">
        <v>4.1135495049999999</v>
      </c>
      <c r="G282">
        <v>10.85461022</v>
      </c>
      <c r="H282">
        <v>22.64122459</v>
      </c>
      <c r="I282">
        <v>0.28285002100000001</v>
      </c>
      <c r="J282">
        <v>6.1407615240000002</v>
      </c>
      <c r="K282">
        <v>38.677812430000003</v>
      </c>
      <c r="L282">
        <v>4.1135495049999999</v>
      </c>
      <c r="M282">
        <v>10.85461022</v>
      </c>
      <c r="N282">
        <v>4.4906135999999999E-2</v>
      </c>
      <c r="O282">
        <v>16.687646869999998</v>
      </c>
      <c r="P282">
        <v>236.68462410171901</v>
      </c>
      <c r="Q282">
        <v>2.2387308240000001</v>
      </c>
      <c r="R282">
        <v>0.84809704173060896</v>
      </c>
      <c r="S282">
        <v>1.08095449346138E-2</v>
      </c>
      <c r="T282">
        <v>0.314664470482653</v>
      </c>
      <c r="U282">
        <v>0.55309083536498804</v>
      </c>
      <c r="V282">
        <v>0.19971933360275301</v>
      </c>
      <c r="W282">
        <v>0.189100523443683</v>
      </c>
      <c r="X282">
        <v>5.8202778365946201E-2</v>
      </c>
      <c r="Y282">
        <v>0.20349564449975599</v>
      </c>
      <c r="Z282">
        <v>0.20273607568957</v>
      </c>
      <c r="AA282" s="1">
        <v>5.0363374846162497E-5</v>
      </c>
    </row>
    <row r="283" spans="1:27" x14ac:dyDescent="0.55000000000000004">
      <c r="A283">
        <v>282</v>
      </c>
      <c r="B283">
        <v>22.565785699999999</v>
      </c>
      <c r="C283">
        <v>-2.9667315E-2</v>
      </c>
      <c r="D283">
        <v>6.0267993540000004</v>
      </c>
      <c r="E283">
        <v>40.847781990000001</v>
      </c>
      <c r="F283">
        <v>5.3951660769999998</v>
      </c>
      <c r="G283">
        <v>12.330158190000001</v>
      </c>
      <c r="H283">
        <v>22.565785699999999</v>
      </c>
      <c r="I283">
        <v>2.9667315E-2</v>
      </c>
      <c r="J283">
        <v>6.0267993540000004</v>
      </c>
      <c r="K283">
        <v>40.847781990000001</v>
      </c>
      <c r="L283">
        <v>5.3951660769999998</v>
      </c>
      <c r="M283">
        <v>12.330158190000001</v>
      </c>
      <c r="N283">
        <v>4.7593545000000001E-2</v>
      </c>
      <c r="O283">
        <v>20.211135859999999</v>
      </c>
      <c r="P283">
        <v>236.68462410171901</v>
      </c>
      <c r="Q283">
        <v>2.9677596371399999</v>
      </c>
      <c r="R283">
        <v>0.84524713773332305</v>
      </c>
      <c r="S283">
        <v>5.1878759386247801E-4</v>
      </c>
      <c r="T283">
        <v>0.30882042744888599</v>
      </c>
      <c r="U283">
        <v>0.61501657315942704</v>
      </c>
      <c r="V283">
        <v>0.26275123856225702</v>
      </c>
      <c r="W283">
        <v>0.27033120993266802</v>
      </c>
      <c r="X283">
        <v>6.2011571469834298E-2</v>
      </c>
      <c r="Y283">
        <v>0.24919778406625701</v>
      </c>
      <c r="Z283">
        <v>0.20273607568957</v>
      </c>
      <c r="AA283" s="1">
        <v>6.7213976566792298E-5</v>
      </c>
    </row>
    <row r="284" spans="1:27" x14ac:dyDescent="0.55000000000000004">
      <c r="A284">
        <v>283</v>
      </c>
      <c r="B284">
        <v>22.13498895</v>
      </c>
      <c r="C284">
        <v>-0.34413269099999999</v>
      </c>
      <c r="D284">
        <v>5.6741753179999996</v>
      </c>
      <c r="E284">
        <v>38.46055338</v>
      </c>
      <c r="F284">
        <v>5.2106456200000002</v>
      </c>
      <c r="G284">
        <v>11.839855650000001</v>
      </c>
      <c r="H284">
        <v>22.13498895</v>
      </c>
      <c r="I284">
        <v>0.34413269099999999</v>
      </c>
      <c r="J284">
        <v>5.6741753179999996</v>
      </c>
      <c r="K284">
        <v>38.46055338</v>
      </c>
      <c r="L284">
        <v>5.2106456200000002</v>
      </c>
      <c r="M284">
        <v>11.839855650000001</v>
      </c>
      <c r="N284">
        <v>6.2501251999999993E-2</v>
      </c>
      <c r="O284">
        <v>32.883979799999999</v>
      </c>
      <c r="P284">
        <v>236.68462410171901</v>
      </c>
      <c r="Q284">
        <v>1.4572128038800001</v>
      </c>
      <c r="R284">
        <v>0.82897264880801302</v>
      </c>
      <c r="S284">
        <v>1.3300414457760999E-2</v>
      </c>
      <c r="T284">
        <v>0.29073767208257001</v>
      </c>
      <c r="U284">
        <v>0.54689078205006103</v>
      </c>
      <c r="V284">
        <v>0.253676234256907</v>
      </c>
      <c r="W284">
        <v>0.24333946671506701</v>
      </c>
      <c r="X284">
        <v>8.3139867020077904E-2</v>
      </c>
      <c r="Y284">
        <v>0.41357351621530503</v>
      </c>
      <c r="Z284">
        <v>0.20273607568957</v>
      </c>
      <c r="AA284" s="1">
        <v>3.2299549854367099E-5</v>
      </c>
    </row>
    <row r="285" spans="1:27" x14ac:dyDescent="0.55000000000000004">
      <c r="A285">
        <v>284</v>
      </c>
      <c r="B285">
        <v>23.301145850000001</v>
      </c>
      <c r="C285">
        <v>-1.0800551839999999</v>
      </c>
      <c r="D285">
        <v>5.1373763500000003</v>
      </c>
      <c r="E285">
        <v>41.794782929999997</v>
      </c>
      <c r="F285">
        <v>4.3187901799999997</v>
      </c>
      <c r="G285">
        <v>11.054958510000001</v>
      </c>
      <c r="H285">
        <v>23.301145850000001</v>
      </c>
      <c r="I285">
        <v>1.0800551839999999</v>
      </c>
      <c r="J285">
        <v>5.1373763500000003</v>
      </c>
      <c r="K285">
        <v>41.794782929999997</v>
      </c>
      <c r="L285">
        <v>4.3187901799999997</v>
      </c>
      <c r="M285">
        <v>11.054958510000001</v>
      </c>
      <c r="N285">
        <v>5.9595421000000003E-2</v>
      </c>
      <c r="O285">
        <v>22.394329070000001</v>
      </c>
      <c r="P285">
        <v>170.11707357311101</v>
      </c>
      <c r="Q285">
        <v>23.6163544988</v>
      </c>
      <c r="R285">
        <v>0.873027316245092</v>
      </c>
      <c r="S285">
        <v>4.3212409304137799E-2</v>
      </c>
      <c r="T285">
        <v>0.26321032445946302</v>
      </c>
      <c r="U285">
        <v>0.64204171350357397</v>
      </c>
      <c r="V285">
        <v>0.20981339059535001</v>
      </c>
      <c r="W285">
        <v>0.20012993723739</v>
      </c>
      <c r="X285">
        <v>7.9021510240791903E-2</v>
      </c>
      <c r="Y285">
        <v>0.27751534119989102</v>
      </c>
      <c r="Z285">
        <v>0.145716554401879</v>
      </c>
      <c r="AA285">
        <v>5.4448077567430405E-4</v>
      </c>
    </row>
    <row r="286" spans="1:27" x14ac:dyDescent="0.55000000000000004">
      <c r="A286">
        <v>285</v>
      </c>
      <c r="B286">
        <v>22.33679304</v>
      </c>
      <c r="C286">
        <v>1.64158461</v>
      </c>
      <c r="D286">
        <v>7.0741619470000003</v>
      </c>
      <c r="E286">
        <v>36.479603429999997</v>
      </c>
      <c r="F286">
        <v>8.1172331809999996</v>
      </c>
      <c r="G286">
        <v>14.724473570000001</v>
      </c>
      <c r="H286">
        <v>22.33679304</v>
      </c>
      <c r="I286">
        <v>1.64158461</v>
      </c>
      <c r="J286">
        <v>7.0741619470000003</v>
      </c>
      <c r="K286">
        <v>36.479603429999997</v>
      </c>
      <c r="L286">
        <v>8.1172331809999996</v>
      </c>
      <c r="M286">
        <v>14.724473570000001</v>
      </c>
      <c r="N286">
        <v>4.8600968000000001E-2</v>
      </c>
      <c r="O286">
        <v>30.160165790000001</v>
      </c>
      <c r="P286">
        <v>240.382821353308</v>
      </c>
      <c r="Q286">
        <v>8.1465148828299991</v>
      </c>
      <c r="R286">
        <v>0.83659633312732895</v>
      </c>
      <c r="S286">
        <v>6.6036097201119803E-2</v>
      </c>
      <c r="T286">
        <v>0.36252975981285901</v>
      </c>
      <c r="U286">
        <v>0.49035921153918</v>
      </c>
      <c r="V286">
        <v>0.39662675074057502</v>
      </c>
      <c r="W286">
        <v>0.40214114491467701</v>
      </c>
      <c r="X286">
        <v>6.3439365220282498E-2</v>
      </c>
      <c r="Y286">
        <v>0.37824372566068498</v>
      </c>
      <c r="Z286">
        <v>0.20590382687222</v>
      </c>
      <c r="AA286">
        <v>1.8691451580595499E-4</v>
      </c>
    </row>
    <row r="287" spans="1:27" x14ac:dyDescent="0.55000000000000004">
      <c r="A287">
        <v>286</v>
      </c>
      <c r="B287">
        <v>22.291296259999999</v>
      </c>
      <c r="C287">
        <v>2.06417553</v>
      </c>
      <c r="D287">
        <v>7.3640846270000004</v>
      </c>
      <c r="E287">
        <v>36.598465789999999</v>
      </c>
      <c r="F287">
        <v>8.4263956970000002</v>
      </c>
      <c r="G287">
        <v>15.17191128</v>
      </c>
      <c r="H287">
        <v>22.291296259999999</v>
      </c>
      <c r="I287">
        <v>2.06417553</v>
      </c>
      <c r="J287">
        <v>7.3640846270000004</v>
      </c>
      <c r="K287">
        <v>36.598465789999999</v>
      </c>
      <c r="L287">
        <v>8.4263956970000002</v>
      </c>
      <c r="M287">
        <v>15.17191128</v>
      </c>
      <c r="N287">
        <v>6.0040385000000002E-2</v>
      </c>
      <c r="O287">
        <v>35.866333009999998</v>
      </c>
      <c r="P287">
        <v>240.382821353308</v>
      </c>
      <c r="Q287">
        <v>29.431209119399998</v>
      </c>
      <c r="R287">
        <v>0.83487757168763099</v>
      </c>
      <c r="S287">
        <v>8.3212549261494101E-2</v>
      </c>
      <c r="T287">
        <v>0.37739715500535997</v>
      </c>
      <c r="U287">
        <v>0.49375125881701698</v>
      </c>
      <c r="V287">
        <v>0.41183184620461299</v>
      </c>
      <c r="W287">
        <v>0.42677312780057303</v>
      </c>
      <c r="X287">
        <v>7.9652145851031503E-2</v>
      </c>
      <c r="Y287">
        <v>0.45225674270667499</v>
      </c>
      <c r="Z287">
        <v>0.20590382687222</v>
      </c>
      <c r="AA287">
        <v>6.7888396730272297E-4</v>
      </c>
    </row>
    <row r="288" spans="1:27" x14ac:dyDescent="0.55000000000000004">
      <c r="A288">
        <v>287</v>
      </c>
      <c r="B288">
        <v>22.681715149999999</v>
      </c>
      <c r="C288">
        <v>1.4434486049999999</v>
      </c>
      <c r="D288">
        <v>6.9569783129999996</v>
      </c>
      <c r="E288">
        <v>36.867211640000001</v>
      </c>
      <c r="F288">
        <v>7.9410057260000002</v>
      </c>
      <c r="G288">
        <v>14.641901000000001</v>
      </c>
      <c r="H288">
        <v>22.681715149999999</v>
      </c>
      <c r="I288">
        <v>1.4434486049999999</v>
      </c>
      <c r="J288">
        <v>6.9569783129999996</v>
      </c>
      <c r="K288">
        <v>36.867211640000001</v>
      </c>
      <c r="L288">
        <v>7.9410057260000002</v>
      </c>
      <c r="M288">
        <v>14.641901000000001</v>
      </c>
      <c r="N288">
        <v>5.2975014000000001E-2</v>
      </c>
      <c r="O288">
        <v>34.266433720000002</v>
      </c>
      <c r="P288">
        <v>480.76564270661697</v>
      </c>
      <c r="Q288">
        <v>4.9833904125500004</v>
      </c>
      <c r="R288">
        <v>0.84962667994236396</v>
      </c>
      <c r="S288">
        <v>5.7982744821195101E-2</v>
      </c>
      <c r="T288">
        <v>0.35652051832553699</v>
      </c>
      <c r="U288">
        <v>0.50142062217916705</v>
      </c>
      <c r="V288">
        <v>0.38795960922766498</v>
      </c>
      <c r="W288">
        <v>0.39759542584445301</v>
      </c>
      <c r="X288">
        <v>6.9638583962531794E-2</v>
      </c>
      <c r="Y288">
        <v>0.43150491948502101</v>
      </c>
      <c r="Z288">
        <v>0.41180765374444001</v>
      </c>
      <c r="AA288">
        <v>1.1380279555460299E-4</v>
      </c>
    </row>
    <row r="289" spans="1:27" x14ac:dyDescent="0.55000000000000004">
      <c r="A289">
        <v>288</v>
      </c>
      <c r="B289">
        <v>22.26297362</v>
      </c>
      <c r="C289">
        <v>2.399120543</v>
      </c>
      <c r="D289">
        <v>7.581668444</v>
      </c>
      <c r="E289">
        <v>36.804176040000002</v>
      </c>
      <c r="F289">
        <v>8.2250255289999998</v>
      </c>
      <c r="G289">
        <v>14.94745011</v>
      </c>
      <c r="H289">
        <v>22.26297362</v>
      </c>
      <c r="I289">
        <v>2.399120543</v>
      </c>
      <c r="J289">
        <v>7.581668444</v>
      </c>
      <c r="K289">
        <v>36.804176040000002</v>
      </c>
      <c r="L289">
        <v>8.2250255289999998</v>
      </c>
      <c r="M289">
        <v>14.94745011</v>
      </c>
      <c r="N289">
        <v>5.5062949999999999E-2</v>
      </c>
      <c r="O289">
        <v>34.089534759999999</v>
      </c>
      <c r="P289">
        <v>480.76564270661697</v>
      </c>
      <c r="Q289">
        <v>1.9834603390900001</v>
      </c>
      <c r="R289">
        <v>0.83380760890119898</v>
      </c>
      <c r="S289">
        <v>9.6826582801675096E-2</v>
      </c>
      <c r="T289">
        <v>0.388554973341034</v>
      </c>
      <c r="U289">
        <v>0.49962173702000601</v>
      </c>
      <c r="V289">
        <v>0.40192814679220001</v>
      </c>
      <c r="W289">
        <v>0.41441627102605499</v>
      </c>
      <c r="X289">
        <v>7.2597759971155695E-2</v>
      </c>
      <c r="Y289">
        <v>0.429210415094051</v>
      </c>
      <c r="Z289">
        <v>0.41180765374444001</v>
      </c>
      <c r="AA289" s="1">
        <v>4.4463112476937802E-5</v>
      </c>
    </row>
    <row r="290" spans="1:27" x14ac:dyDescent="0.55000000000000004">
      <c r="A290">
        <v>289</v>
      </c>
      <c r="B290">
        <v>22.291433300000001</v>
      </c>
      <c r="C290">
        <v>0.75860561699999995</v>
      </c>
      <c r="D290">
        <v>6.4344800409999996</v>
      </c>
      <c r="E290">
        <v>35.486286900000003</v>
      </c>
      <c r="F290">
        <v>7.8612725870000002</v>
      </c>
      <c r="G290">
        <v>14.218897549999999</v>
      </c>
      <c r="H290">
        <v>22.291433300000001</v>
      </c>
      <c r="I290">
        <v>0.75860561699999995</v>
      </c>
      <c r="J290">
        <v>6.4344800409999996</v>
      </c>
      <c r="K290">
        <v>35.486286900000003</v>
      </c>
      <c r="L290">
        <v>7.8612725870000002</v>
      </c>
      <c r="M290">
        <v>14.218897549999999</v>
      </c>
      <c r="N290">
        <v>5.1794127000000002E-2</v>
      </c>
      <c r="O290">
        <v>31.937601090000001</v>
      </c>
      <c r="P290">
        <v>480.76564270661697</v>
      </c>
      <c r="Q290">
        <v>2.19622318505</v>
      </c>
      <c r="R290">
        <v>0.83488274873681301</v>
      </c>
      <c r="S290">
        <v>3.0146905962505199E-2</v>
      </c>
      <c r="T290">
        <v>0.32972651829345001</v>
      </c>
      <c r="U290">
        <v>0.46201233510481099</v>
      </c>
      <c r="V290">
        <v>0.384038208904534</v>
      </c>
      <c r="W290">
        <v>0.37430857829404102</v>
      </c>
      <c r="X290">
        <v>6.7964944311078995E-2</v>
      </c>
      <c r="Y290">
        <v>0.40129831626152701</v>
      </c>
      <c r="Z290">
        <v>0.41180765374444001</v>
      </c>
      <c r="AA290" s="1">
        <v>4.9380863207225098E-5</v>
      </c>
    </row>
    <row r="291" spans="1:27" x14ac:dyDescent="0.55000000000000004">
      <c r="A291">
        <v>290</v>
      </c>
      <c r="B291">
        <v>23.93223137</v>
      </c>
      <c r="C291">
        <v>9.8562638999999994E-2</v>
      </c>
      <c r="D291">
        <v>6.1884822599999998</v>
      </c>
      <c r="E291">
        <v>38.545023860000001</v>
      </c>
      <c r="F291">
        <v>6.4126271140000002</v>
      </c>
      <c r="G291">
        <v>13.54005933</v>
      </c>
      <c r="H291">
        <v>23.93223137</v>
      </c>
      <c r="I291">
        <v>9.8562638999999994E-2</v>
      </c>
      <c r="J291">
        <v>6.1884822599999998</v>
      </c>
      <c r="K291">
        <v>38.545023860000001</v>
      </c>
      <c r="L291">
        <v>6.4126271140000002</v>
      </c>
      <c r="M291">
        <v>13.54005933</v>
      </c>
      <c r="N291">
        <v>4.6995848E-2</v>
      </c>
      <c r="O291">
        <v>23.887968059999999</v>
      </c>
      <c r="P291">
        <v>489.352263103697</v>
      </c>
      <c r="Q291">
        <v>1.7975266221799999</v>
      </c>
      <c r="R291">
        <v>0.89686824426083001</v>
      </c>
      <c r="S291">
        <v>3.3190778364213E-3</v>
      </c>
      <c r="T291">
        <v>0.31711161618711797</v>
      </c>
      <c r="U291">
        <v>0.54930136738373303</v>
      </c>
      <c r="V291">
        <v>0.31279156168643601</v>
      </c>
      <c r="W291">
        <v>0.33693771963902902</v>
      </c>
      <c r="X291">
        <v>6.1164471452005001E-2</v>
      </c>
      <c r="Y291">
        <v>0.29688889331731799</v>
      </c>
      <c r="Z291">
        <v>0.41916266351470599</v>
      </c>
      <c r="AA291" s="1">
        <v>4.0165483969510002E-5</v>
      </c>
    </row>
    <row r="292" spans="1:27" x14ac:dyDescent="0.55000000000000004">
      <c r="A292">
        <v>291</v>
      </c>
      <c r="B292">
        <v>22.426119880000002</v>
      </c>
      <c r="C292">
        <v>-0.111047996</v>
      </c>
      <c r="D292">
        <v>5.878190569</v>
      </c>
      <c r="E292">
        <v>35.928122109999997</v>
      </c>
      <c r="F292">
        <v>7.3790674000000003</v>
      </c>
      <c r="G292">
        <v>13.83110089</v>
      </c>
      <c r="H292">
        <v>22.426119880000002</v>
      </c>
      <c r="I292">
        <v>0.111047996</v>
      </c>
      <c r="J292">
        <v>5.878190569</v>
      </c>
      <c r="K292">
        <v>35.928122109999997</v>
      </c>
      <c r="L292">
        <v>7.3790674000000003</v>
      </c>
      <c r="M292">
        <v>13.83110089</v>
      </c>
      <c r="N292">
        <v>5.7410139999999998E-2</v>
      </c>
      <c r="O292">
        <v>32.412048339999998</v>
      </c>
      <c r="P292">
        <v>306.95037188191702</v>
      </c>
      <c r="Q292">
        <v>16.666985993400001</v>
      </c>
      <c r="R292">
        <v>0.83997089124159796</v>
      </c>
      <c r="S292">
        <v>3.8265523840693102E-3</v>
      </c>
      <c r="T292">
        <v>0.30119968685807602</v>
      </c>
      <c r="U292">
        <v>0.47462125454182402</v>
      </c>
      <c r="V292">
        <v>0.360322604579495</v>
      </c>
      <c r="W292">
        <v>0.35295990678325601</v>
      </c>
      <c r="X292">
        <v>7.5924369759808999E-2</v>
      </c>
      <c r="Y292">
        <v>0.40745223202456199</v>
      </c>
      <c r="Z292">
        <v>0.26292334815991197</v>
      </c>
      <c r="AA292">
        <v>3.8385469508083901E-4</v>
      </c>
    </row>
    <row r="293" spans="1:27" x14ac:dyDescent="0.55000000000000004">
      <c r="A293">
        <v>292</v>
      </c>
      <c r="B293">
        <v>23.526205449999999</v>
      </c>
      <c r="C293">
        <v>2.2178955349999998</v>
      </c>
      <c r="D293">
        <v>8.0216101779999995</v>
      </c>
      <c r="E293">
        <v>38.254406510000003</v>
      </c>
      <c r="F293">
        <v>7.2229723090000002</v>
      </c>
      <c r="G293">
        <v>14.995614209999999</v>
      </c>
      <c r="H293">
        <v>23.526205449999999</v>
      </c>
      <c r="I293">
        <v>2.2178955349999998</v>
      </c>
      <c r="J293">
        <v>8.0216101779999995</v>
      </c>
      <c r="K293">
        <v>38.254406510000003</v>
      </c>
      <c r="L293">
        <v>7.2229723090000002</v>
      </c>
      <c r="M293">
        <v>14.995614209999999</v>
      </c>
      <c r="N293">
        <v>0.158112109</v>
      </c>
      <c r="O293">
        <v>43.473556520000002</v>
      </c>
      <c r="P293">
        <v>584.31516575111903</v>
      </c>
      <c r="Q293">
        <v>4.2008257677399996</v>
      </c>
      <c r="R293">
        <v>0.881529539086222</v>
      </c>
      <c r="S293">
        <v>8.9460587663746094E-2</v>
      </c>
      <c r="T293">
        <v>0.41111542849774102</v>
      </c>
      <c r="U293">
        <v>0.54100784375724698</v>
      </c>
      <c r="V293">
        <v>0.352645604175854</v>
      </c>
      <c r="W293">
        <v>0.41706776253068201</v>
      </c>
      <c r="X293">
        <v>0.218646584753937</v>
      </c>
      <c r="Y293">
        <v>0.55092780186261203</v>
      </c>
      <c r="Z293">
        <v>0.50050468685862703</v>
      </c>
      <c r="AA293" s="1">
        <v>9.5714779124164706E-5</v>
      </c>
    </row>
    <row r="294" spans="1:27" x14ac:dyDescent="0.55000000000000004">
      <c r="A294">
        <v>293</v>
      </c>
      <c r="B294">
        <v>23.022139670000001</v>
      </c>
      <c r="C294">
        <v>-4.8280819949999998</v>
      </c>
      <c r="D294">
        <v>3.316185146</v>
      </c>
      <c r="E294">
        <v>33.297125119999997</v>
      </c>
      <c r="F294">
        <v>6.6036836509999999</v>
      </c>
      <c r="G294">
        <v>10.69285732</v>
      </c>
      <c r="H294">
        <v>23.022139670000001</v>
      </c>
      <c r="I294">
        <v>4.8280819949999998</v>
      </c>
      <c r="J294">
        <v>3.316185146</v>
      </c>
      <c r="K294">
        <v>33.297125119999997</v>
      </c>
      <c r="L294">
        <v>6.6036836509999999</v>
      </c>
      <c r="M294">
        <v>10.69285732</v>
      </c>
      <c r="N294">
        <v>1.7068383999999999E-2</v>
      </c>
      <c r="O294">
        <v>9.3953399659999999</v>
      </c>
      <c r="P294">
        <v>695.26108329880003</v>
      </c>
      <c r="Q294">
        <v>0.69523815973600001</v>
      </c>
      <c r="R294">
        <v>0.86248711837567205</v>
      </c>
      <c r="S294">
        <v>0.19555312414992501</v>
      </c>
      <c r="T294">
        <v>0.16981863343696299</v>
      </c>
      <c r="U294">
        <v>0.39953889728484099</v>
      </c>
      <c r="V294">
        <v>0.32218802061586699</v>
      </c>
      <c r="W294">
        <v>0.18019583218611299</v>
      </c>
      <c r="X294">
        <v>1.8749074874833498E-2</v>
      </c>
      <c r="Y294">
        <v>0.108909276035366</v>
      </c>
      <c r="Z294">
        <v>0.59553722233811301</v>
      </c>
      <c r="AA294" s="1">
        <v>1.4687445890482399E-5</v>
      </c>
    </row>
    <row r="295" spans="1:27" x14ac:dyDescent="0.55000000000000004">
      <c r="A295">
        <v>294</v>
      </c>
      <c r="B295">
        <v>23.612840609999999</v>
      </c>
      <c r="C295">
        <v>-1.9230861429999999</v>
      </c>
      <c r="D295">
        <v>4.9472104679999998</v>
      </c>
      <c r="E295">
        <v>42.283252869999998</v>
      </c>
      <c r="F295">
        <v>4.9032936290000002</v>
      </c>
      <c r="G295">
        <v>12.2760824</v>
      </c>
      <c r="H295">
        <v>23.612840609999999</v>
      </c>
      <c r="I295">
        <v>1.9230861429999999</v>
      </c>
      <c r="J295">
        <v>4.9472104679999998</v>
      </c>
      <c r="K295">
        <v>42.283252869999998</v>
      </c>
      <c r="L295">
        <v>4.9032936290000002</v>
      </c>
      <c r="M295">
        <v>12.2760824</v>
      </c>
      <c r="N295">
        <v>2.9234817E-2</v>
      </c>
      <c r="O295">
        <v>13.38975334</v>
      </c>
      <c r="P295">
        <v>677.538017978384</v>
      </c>
      <c r="Q295">
        <v>3.0375062615999999</v>
      </c>
      <c r="R295">
        <v>0.88480241185502195</v>
      </c>
      <c r="S295">
        <v>7.74778896241477E-2</v>
      </c>
      <c r="T295">
        <v>0.25345851297708899</v>
      </c>
      <c r="U295">
        <v>0.65598147652260197</v>
      </c>
      <c r="V295">
        <v>0.23856018324049899</v>
      </c>
      <c r="W295">
        <v>0.267354272799181</v>
      </c>
      <c r="X295">
        <v>3.5992235893240798E-2</v>
      </c>
      <c r="Y295">
        <v>0.16071963730595601</v>
      </c>
      <c r="Z295">
        <v>0.58035624163060995</v>
      </c>
      <c r="AA295" s="1">
        <v>6.8826083755082698E-5</v>
      </c>
    </row>
    <row r="296" spans="1:27" x14ac:dyDescent="0.55000000000000004">
      <c r="A296">
        <v>295</v>
      </c>
      <c r="B296">
        <v>21.63589056</v>
      </c>
      <c r="C296">
        <v>6.7785097040000002</v>
      </c>
      <c r="D296">
        <v>10.446160300000001</v>
      </c>
      <c r="E296">
        <v>38.359319540000001</v>
      </c>
      <c r="F296">
        <v>2.7239606900000002</v>
      </c>
      <c r="G296">
        <v>8.3486840949999994</v>
      </c>
      <c r="H296">
        <v>21.63589056</v>
      </c>
      <c r="I296">
        <v>6.7785097040000002</v>
      </c>
      <c r="J296">
        <v>10.446160300000001</v>
      </c>
      <c r="K296">
        <v>38.359319540000001</v>
      </c>
      <c r="L296">
        <v>2.7239606900000002</v>
      </c>
      <c r="M296">
        <v>8.3486840949999994</v>
      </c>
      <c r="N296">
        <v>7.6098501999999998E-2</v>
      </c>
      <c r="O296">
        <v>26.50463104</v>
      </c>
      <c r="P296">
        <v>180.41133851958199</v>
      </c>
      <c r="Q296">
        <v>26.356820969600001</v>
      </c>
      <c r="R296">
        <v>0.81011788441924804</v>
      </c>
      <c r="S296">
        <v>0.27482938508062399</v>
      </c>
      <c r="T296">
        <v>0.53544769814908699</v>
      </c>
      <c r="U296">
        <v>0.54400181054220098</v>
      </c>
      <c r="V296">
        <v>0.13137718507452001</v>
      </c>
      <c r="W296">
        <v>5.1146283010258503E-2</v>
      </c>
      <c r="X296">
        <v>0.10241088681343399</v>
      </c>
      <c r="Y296">
        <v>0.33082885937081102</v>
      </c>
      <c r="Z296">
        <v>0.15453427496685901</v>
      </c>
      <c r="AA296">
        <v>6.0782327763838305E-4</v>
      </c>
    </row>
    <row r="297" spans="1:27" x14ac:dyDescent="0.55000000000000004">
      <c r="A297">
        <v>296</v>
      </c>
      <c r="B297">
        <v>21.67636886</v>
      </c>
      <c r="C297">
        <v>7.083940997</v>
      </c>
      <c r="D297">
        <v>10.690739560000001</v>
      </c>
      <c r="E297">
        <v>39.817223419999998</v>
      </c>
      <c r="F297">
        <v>2.7937014379999998</v>
      </c>
      <c r="G297">
        <v>8.5334863480000003</v>
      </c>
      <c r="H297">
        <v>21.67636886</v>
      </c>
      <c r="I297">
        <v>7.083940997</v>
      </c>
      <c r="J297">
        <v>10.690739560000001</v>
      </c>
      <c r="K297">
        <v>39.817223419999998</v>
      </c>
      <c r="L297">
        <v>2.7937014379999998</v>
      </c>
      <c r="M297">
        <v>8.5334863480000003</v>
      </c>
      <c r="N297">
        <v>7.9753487999999997E-2</v>
      </c>
      <c r="O297">
        <v>28.026758189999999</v>
      </c>
      <c r="P297">
        <v>51.546096719880602</v>
      </c>
      <c r="Q297">
        <v>208.76578952200001</v>
      </c>
      <c r="R297">
        <v>0.81164705947701199</v>
      </c>
      <c r="S297">
        <v>0.28724381642229302</v>
      </c>
      <c r="T297">
        <v>0.54798985771490505</v>
      </c>
      <c r="U297">
        <v>0.58560689803585897</v>
      </c>
      <c r="V297">
        <v>0.13480714399966101</v>
      </c>
      <c r="W297">
        <v>6.1319868810997401E-2</v>
      </c>
      <c r="X297">
        <v>0.107591000994642</v>
      </c>
      <c r="Y297">
        <v>0.35057192303432499</v>
      </c>
      <c r="Z297">
        <v>4.4152649990531097E-2</v>
      </c>
      <c r="AA297">
        <v>4.8239815747414096E-3</v>
      </c>
    </row>
    <row r="298" spans="1:27" x14ac:dyDescent="0.55000000000000004">
      <c r="A298">
        <v>297</v>
      </c>
      <c r="B298">
        <v>21.450406009999998</v>
      </c>
      <c r="C298">
        <v>5.9488927939999998</v>
      </c>
      <c r="D298">
        <v>9.8050304639999997</v>
      </c>
      <c r="E298">
        <v>39.978679659999997</v>
      </c>
      <c r="F298">
        <v>3.1093348779999999</v>
      </c>
      <c r="G298">
        <v>8.6788758999999995</v>
      </c>
      <c r="H298">
        <v>21.450406009999998</v>
      </c>
      <c r="I298">
        <v>5.9488927939999998</v>
      </c>
      <c r="J298">
        <v>9.8050304639999997</v>
      </c>
      <c r="K298">
        <v>39.978679659999997</v>
      </c>
      <c r="L298">
        <v>3.1093348779999999</v>
      </c>
      <c r="M298">
        <v>8.6788758999999995</v>
      </c>
      <c r="N298">
        <v>8.4117383000000004E-2</v>
      </c>
      <c r="O298">
        <v>29.639966959999999</v>
      </c>
      <c r="P298">
        <v>36.082267703916401</v>
      </c>
      <c r="Q298">
        <v>129.89333569199999</v>
      </c>
      <c r="R298">
        <v>0.80311071397334499</v>
      </c>
      <c r="S298">
        <v>0.24110912653107799</v>
      </c>
      <c r="T298">
        <v>0.50257020597939706</v>
      </c>
      <c r="U298">
        <v>0.59021447270778904</v>
      </c>
      <c r="V298">
        <v>0.15033048961392301</v>
      </c>
      <c r="W298">
        <v>6.9323738124230205E-2</v>
      </c>
      <c r="X298">
        <v>0.11377583299531401</v>
      </c>
      <c r="Y298">
        <v>0.37149637960725201</v>
      </c>
      <c r="Z298">
        <v>3.0906854993371799E-2</v>
      </c>
      <c r="AA298">
        <v>3.0009420977504401E-3</v>
      </c>
    </row>
    <row r="299" spans="1:27" x14ac:dyDescent="0.55000000000000004">
      <c r="A299">
        <v>298</v>
      </c>
      <c r="B299">
        <v>22.650524180000001</v>
      </c>
      <c r="C299">
        <v>3.0950129529999999</v>
      </c>
      <c r="D299">
        <v>8.0657966289999994</v>
      </c>
      <c r="E299">
        <v>41.706275730000002</v>
      </c>
      <c r="F299">
        <v>3.2284947879999999</v>
      </c>
      <c r="G299">
        <v>9.7993648059999998</v>
      </c>
      <c r="H299">
        <v>22.650524180000001</v>
      </c>
      <c r="I299">
        <v>3.0950129529999999</v>
      </c>
      <c r="J299">
        <v>8.0657966289999994</v>
      </c>
      <c r="K299">
        <v>41.706275730000002</v>
      </c>
      <c r="L299">
        <v>3.2284947879999999</v>
      </c>
      <c r="M299">
        <v>9.7993648059999998</v>
      </c>
      <c r="N299">
        <v>7.6856947999999994E-2</v>
      </c>
      <c r="O299">
        <v>23.255561830000001</v>
      </c>
      <c r="P299">
        <v>85.058536786555294</v>
      </c>
      <c r="Q299">
        <v>163.51281549699999</v>
      </c>
      <c r="R299">
        <v>0.84844835838855703</v>
      </c>
      <c r="S299">
        <v>0.12511153180044499</v>
      </c>
      <c r="T299">
        <v>0.41338133411495998</v>
      </c>
      <c r="U299">
        <v>0.63951592984229499</v>
      </c>
      <c r="V299">
        <v>0.15619096012140199</v>
      </c>
      <c r="W299">
        <v>0.131007997049185</v>
      </c>
      <c r="X299">
        <v>0.10348581210187</v>
      </c>
      <c r="Y299">
        <v>0.28868613807437299</v>
      </c>
      <c r="Z299">
        <v>7.2858277200939403E-2</v>
      </c>
      <c r="AA299">
        <v>3.7780149020595001E-3</v>
      </c>
    </row>
    <row r="300" spans="1:27" x14ac:dyDescent="0.55000000000000004">
      <c r="A300">
        <v>299</v>
      </c>
      <c r="B300">
        <v>22.093286760000002</v>
      </c>
      <c r="C300">
        <v>2.3196928579999998</v>
      </c>
      <c r="D300">
        <v>7.3707852059999999</v>
      </c>
      <c r="E300">
        <v>45.627503310000002</v>
      </c>
      <c r="F300">
        <v>3.829566324</v>
      </c>
      <c r="G300">
        <v>10.66773134</v>
      </c>
      <c r="H300">
        <v>22.093286760000002</v>
      </c>
      <c r="I300">
        <v>2.3196928579999998</v>
      </c>
      <c r="J300">
        <v>7.3707852059999999</v>
      </c>
      <c r="K300">
        <v>45.627503310000002</v>
      </c>
      <c r="L300">
        <v>3.829566324</v>
      </c>
      <c r="M300">
        <v>10.66773134</v>
      </c>
      <c r="N300">
        <v>7.7421606000000004E-2</v>
      </c>
      <c r="O300">
        <v>23.552873609999999</v>
      </c>
      <c r="P300">
        <v>110.94591754768101</v>
      </c>
      <c r="Q300">
        <v>42.376015857500001</v>
      </c>
      <c r="R300">
        <v>0.82739723806195598</v>
      </c>
      <c r="S300">
        <v>9.3598198662070295E-2</v>
      </c>
      <c r="T300">
        <v>0.37774076439808302</v>
      </c>
      <c r="U300">
        <v>0.75141838019344198</v>
      </c>
      <c r="V300">
        <v>0.185752597165383</v>
      </c>
      <c r="W300">
        <v>0.17881261683452501</v>
      </c>
      <c r="X300">
        <v>0.104286086826133</v>
      </c>
      <c r="Y300">
        <v>0.29254248174477698</v>
      </c>
      <c r="Z300">
        <v>9.5032535479486105E-2</v>
      </c>
      <c r="AA300">
        <v>9.7808720695898607E-4</v>
      </c>
    </row>
    <row r="301" spans="1:27" x14ac:dyDescent="0.55000000000000004">
      <c r="A301">
        <v>300</v>
      </c>
      <c r="B301">
        <v>22.144228389999999</v>
      </c>
      <c r="C301">
        <v>2.5364439089999999</v>
      </c>
      <c r="D301">
        <v>7.5330129330000002</v>
      </c>
      <c r="E301">
        <v>41.548746800000004</v>
      </c>
      <c r="F301">
        <v>3.7382939589999999</v>
      </c>
      <c r="G301">
        <v>10.25576116</v>
      </c>
      <c r="H301">
        <v>22.144228389999999</v>
      </c>
      <c r="I301">
        <v>2.5364439089999999</v>
      </c>
      <c r="J301">
        <v>7.5330129330000002</v>
      </c>
      <c r="K301">
        <v>41.548746800000004</v>
      </c>
      <c r="L301">
        <v>3.7382939589999999</v>
      </c>
      <c r="M301">
        <v>10.25576116</v>
      </c>
      <c r="N301">
        <v>6.9792502000000006E-2</v>
      </c>
      <c r="O301">
        <v>24.068511959999999</v>
      </c>
      <c r="P301">
        <v>221.89183509536201</v>
      </c>
      <c r="Q301">
        <v>11.3492629307</v>
      </c>
      <c r="R301">
        <v>0.82932169314030202</v>
      </c>
      <c r="S301">
        <v>0.102408170339969</v>
      </c>
      <c r="T301">
        <v>0.38605989185817102</v>
      </c>
      <c r="U301">
        <v>0.63502043119842499</v>
      </c>
      <c r="V301">
        <v>0.18126367968272999</v>
      </c>
      <c r="W301">
        <v>0.156133164038158</v>
      </c>
      <c r="X301">
        <v>9.3473561191201204E-2</v>
      </c>
      <c r="Y301">
        <v>0.29923067515319102</v>
      </c>
      <c r="Z301">
        <v>0.19006507095897199</v>
      </c>
      <c r="AA301">
        <v>2.6094208617554701E-4</v>
      </c>
    </row>
    <row r="302" spans="1:27" x14ac:dyDescent="0.55000000000000004">
      <c r="A302">
        <v>301</v>
      </c>
      <c r="B302">
        <v>23.815710230000001</v>
      </c>
      <c r="C302">
        <v>-1.45470769</v>
      </c>
      <c r="D302">
        <v>5.0907877539999999</v>
      </c>
      <c r="E302">
        <v>40.275443009999996</v>
      </c>
      <c r="F302">
        <v>5.1275686790000004</v>
      </c>
      <c r="G302">
        <v>11.4698584</v>
      </c>
      <c r="H302">
        <v>23.815710230000001</v>
      </c>
      <c r="I302">
        <v>1.45470769</v>
      </c>
      <c r="J302">
        <v>5.0907877539999999</v>
      </c>
      <c r="K302">
        <v>40.275443009999996</v>
      </c>
      <c r="L302">
        <v>5.1275686790000004</v>
      </c>
      <c r="M302">
        <v>11.4698584</v>
      </c>
      <c r="N302">
        <v>1.1290873999999999E-2</v>
      </c>
      <c r="O302">
        <v>13.52497005</v>
      </c>
      <c r="P302">
        <v>489.352263103697</v>
      </c>
      <c r="Q302">
        <v>12.687732519600001</v>
      </c>
      <c r="R302">
        <v>0.89246634939394798</v>
      </c>
      <c r="S302">
        <v>5.8440376835025801E-2</v>
      </c>
      <c r="T302">
        <v>0.26082123551962599</v>
      </c>
      <c r="U302">
        <v>0.598683388464883</v>
      </c>
      <c r="V302">
        <v>0.24959038052823199</v>
      </c>
      <c r="W302">
        <v>0.22297067408507401</v>
      </c>
      <c r="X302">
        <v>1.05607640350452E-2</v>
      </c>
      <c r="Y302">
        <v>0.16247349348932399</v>
      </c>
      <c r="Z302">
        <v>0.41916266351470599</v>
      </c>
      <c r="AA302">
        <v>2.91879159650856E-4</v>
      </c>
    </row>
    <row r="303" spans="1:27" x14ac:dyDescent="0.55000000000000004">
      <c r="A303">
        <v>302</v>
      </c>
      <c r="B303">
        <v>23.531699580000002</v>
      </c>
      <c r="C303">
        <v>-1.3305168510000001</v>
      </c>
      <c r="D303">
        <v>5.1485724340000001</v>
      </c>
      <c r="E303">
        <v>41.78456611</v>
      </c>
      <c r="F303">
        <v>5.3002934909999997</v>
      </c>
      <c r="G303">
        <v>11.920636610000001</v>
      </c>
      <c r="H303">
        <v>23.531699580000002</v>
      </c>
      <c r="I303">
        <v>1.3305168510000001</v>
      </c>
      <c r="J303">
        <v>5.1485724340000001</v>
      </c>
      <c r="K303">
        <v>41.78456611</v>
      </c>
      <c r="L303">
        <v>5.3002934909999997</v>
      </c>
      <c r="M303">
        <v>11.920636610000001</v>
      </c>
      <c r="N303">
        <v>1.026642E-2</v>
      </c>
      <c r="O303">
        <v>13.560796740000001</v>
      </c>
      <c r="P303">
        <v>489.352263103697</v>
      </c>
      <c r="Q303">
        <v>1.56861666525</v>
      </c>
      <c r="R303">
        <v>0.88173709440747094</v>
      </c>
      <c r="S303">
        <v>5.33925684428787E-2</v>
      </c>
      <c r="T303">
        <v>0.26378446583204002</v>
      </c>
      <c r="U303">
        <v>0.64175014991297097</v>
      </c>
      <c r="V303">
        <v>0.25808525658710002</v>
      </c>
      <c r="W303">
        <v>0.247786555504759</v>
      </c>
      <c r="X303">
        <v>9.1088327025049803E-3</v>
      </c>
      <c r="Y303">
        <v>0.16293819095006101</v>
      </c>
      <c r="Z303">
        <v>0.41916266351470599</v>
      </c>
      <c r="AA303" s="1">
        <v>3.4874512687455598E-5</v>
      </c>
    </row>
    <row r="304" spans="1:27" x14ac:dyDescent="0.55000000000000004">
      <c r="A304">
        <v>303</v>
      </c>
      <c r="B304">
        <v>20.590903789999999</v>
      </c>
      <c r="C304">
        <v>1.8478138079999999</v>
      </c>
      <c r="D304">
        <v>7.1307817050000004</v>
      </c>
      <c r="E304">
        <v>37.54895784</v>
      </c>
      <c r="F304">
        <v>6.6798125329999998</v>
      </c>
      <c r="G304">
        <v>13.524563929999999</v>
      </c>
      <c r="H304">
        <v>20.590903789999999</v>
      </c>
      <c r="I304">
        <v>1.8478138079999999</v>
      </c>
      <c r="J304">
        <v>7.1307817050000004</v>
      </c>
      <c r="K304">
        <v>37.54895784</v>
      </c>
      <c r="L304">
        <v>6.6798125329999998</v>
      </c>
      <c r="M304">
        <v>13.524563929999999</v>
      </c>
      <c r="N304">
        <v>5.2656010000000003E-2</v>
      </c>
      <c r="O304">
        <v>31.05313683</v>
      </c>
      <c r="P304">
        <v>489.352263103697</v>
      </c>
      <c r="Q304">
        <v>4.0582811815499999</v>
      </c>
      <c r="R304">
        <v>0.77064073976701697</v>
      </c>
      <c r="S304">
        <v>7.4418402085702801E-2</v>
      </c>
      <c r="T304">
        <v>0.36543325228157397</v>
      </c>
      <c r="U304">
        <v>0.52087602708519398</v>
      </c>
      <c r="V304">
        <v>0.32593215794970998</v>
      </c>
      <c r="W304">
        <v>0.33608467927367802</v>
      </c>
      <c r="X304">
        <v>6.9186468101003998E-2</v>
      </c>
      <c r="Y304">
        <v>0.38982619043203698</v>
      </c>
      <c r="Z304">
        <v>0.41916266351470599</v>
      </c>
      <c r="AA304" s="1">
        <v>9.2420036850571801E-5</v>
      </c>
    </row>
    <row r="305" spans="1:27" x14ac:dyDescent="0.55000000000000004">
      <c r="A305">
        <v>304</v>
      </c>
      <c r="B305">
        <v>20.257068740000001</v>
      </c>
      <c r="C305">
        <v>-1.686084122</v>
      </c>
      <c r="D305">
        <v>4.5320235589999998</v>
      </c>
      <c r="E305">
        <v>39.332266079999997</v>
      </c>
      <c r="F305">
        <v>6.9426803359999996</v>
      </c>
      <c r="G305">
        <v>13.54722188</v>
      </c>
      <c r="H305">
        <v>20.257068740000001</v>
      </c>
      <c r="I305">
        <v>1.686084122</v>
      </c>
      <c r="J305">
        <v>4.5320235589999998</v>
      </c>
      <c r="K305">
        <v>39.332266079999997</v>
      </c>
      <c r="L305">
        <v>6.9426803359999996</v>
      </c>
      <c r="M305">
        <v>13.54722188</v>
      </c>
      <c r="N305">
        <v>1.2758143E-2</v>
      </c>
      <c r="O305">
        <v>12.32046413</v>
      </c>
      <c r="P305">
        <v>236.68462410171901</v>
      </c>
      <c r="Q305">
        <v>4.3622188273100004</v>
      </c>
      <c r="R305">
        <v>0.758029236026319</v>
      </c>
      <c r="S305">
        <v>6.7844805572274694E-2</v>
      </c>
      <c r="T305">
        <v>0.23216749892169999</v>
      </c>
      <c r="U305">
        <v>0.57176737621402796</v>
      </c>
      <c r="V305">
        <v>0.33886040711377402</v>
      </c>
      <c r="W305">
        <v>0.33733202661199102</v>
      </c>
      <c r="X305">
        <v>1.26402852574378E-2</v>
      </c>
      <c r="Y305">
        <v>0.14685020139993499</v>
      </c>
      <c r="Z305">
        <v>0.20273607568957</v>
      </c>
      <c r="AA305" s="1">
        <v>9.9445180609360496E-5</v>
      </c>
    </row>
    <row r="306" spans="1:27" x14ac:dyDescent="0.55000000000000004">
      <c r="A306">
        <v>305</v>
      </c>
      <c r="B306">
        <v>21.321993859999999</v>
      </c>
      <c r="C306">
        <v>0.162187885</v>
      </c>
      <c r="D306">
        <v>6.0050919269999996</v>
      </c>
      <c r="E306">
        <v>37.936379160000001</v>
      </c>
      <c r="F306">
        <v>6.2348300739999996</v>
      </c>
      <c r="G306">
        <v>12.86728446</v>
      </c>
      <c r="H306">
        <v>21.321993859999999</v>
      </c>
      <c r="I306">
        <v>0.162187885</v>
      </c>
      <c r="J306">
        <v>6.0050919269999996</v>
      </c>
      <c r="K306">
        <v>37.936379160000001</v>
      </c>
      <c r="L306">
        <v>6.2348300739999996</v>
      </c>
      <c r="M306">
        <v>12.86728446</v>
      </c>
      <c r="N306">
        <v>3.4542389E-2</v>
      </c>
      <c r="O306">
        <v>21.818660739999999</v>
      </c>
      <c r="P306">
        <v>236.68462410171901</v>
      </c>
      <c r="Q306">
        <v>5.0976057125500001</v>
      </c>
      <c r="R306">
        <v>0.79825960469025403</v>
      </c>
      <c r="S306">
        <v>5.9051627143181596E-3</v>
      </c>
      <c r="T306">
        <v>0.30770725860048298</v>
      </c>
      <c r="U306">
        <v>0.53193210433186999</v>
      </c>
      <c r="V306">
        <v>0.30404722553145602</v>
      </c>
      <c r="W306">
        <v>0.29990065567787699</v>
      </c>
      <c r="X306">
        <v>4.3514516138633101E-2</v>
      </c>
      <c r="Y306">
        <v>0.270048516573408</v>
      </c>
      <c r="Z306">
        <v>0.20273607568957</v>
      </c>
      <c r="AA306">
        <v>1.16442741323568E-4</v>
      </c>
    </row>
    <row r="307" spans="1:27" x14ac:dyDescent="0.55000000000000004">
      <c r="A307">
        <v>306</v>
      </c>
      <c r="B307">
        <v>21.699087559999999</v>
      </c>
      <c r="C307">
        <v>-0.53715916699999999</v>
      </c>
      <c r="D307">
        <v>5.4940068870000003</v>
      </c>
      <c r="E307">
        <v>38.925170729999998</v>
      </c>
      <c r="F307">
        <v>5.4923537060000003</v>
      </c>
      <c r="G307">
        <v>12.49248892</v>
      </c>
      <c r="H307">
        <v>21.699087559999999</v>
      </c>
      <c r="I307">
        <v>0.53715916699999999</v>
      </c>
      <c r="J307">
        <v>5.4940068870000003</v>
      </c>
      <c r="K307">
        <v>38.925170729999998</v>
      </c>
      <c r="L307">
        <v>5.4923537060000003</v>
      </c>
      <c r="M307">
        <v>12.49248892</v>
      </c>
      <c r="N307">
        <v>4.9346491999999999E-2</v>
      </c>
      <c r="O307">
        <v>27.649215699999999</v>
      </c>
      <c r="P307">
        <v>236.68462410171901</v>
      </c>
      <c r="Q307">
        <v>12.627508539200001</v>
      </c>
      <c r="R307">
        <v>0.81250531857842601</v>
      </c>
      <c r="S307">
        <v>2.11460870798727E-2</v>
      </c>
      <c r="T307">
        <v>0.28149853541037201</v>
      </c>
      <c r="U307">
        <v>0.56014984923754996</v>
      </c>
      <c r="V307">
        <v>0.267531077968366</v>
      </c>
      <c r="W307">
        <v>0.27926771142516699</v>
      </c>
      <c r="X307">
        <v>6.4495976502741997E-2</v>
      </c>
      <c r="Y307">
        <v>0.34567493041728098</v>
      </c>
      <c r="Z307">
        <v>0.20273607568957</v>
      </c>
      <c r="AA307">
        <v>2.9048715663333399E-4</v>
      </c>
    </row>
    <row r="308" spans="1:27" x14ac:dyDescent="0.55000000000000004">
      <c r="A308">
        <v>307</v>
      </c>
      <c r="B308">
        <v>21.521429099999999</v>
      </c>
      <c r="C308">
        <v>-3.005948466</v>
      </c>
      <c r="D308">
        <v>3.1539758440000001</v>
      </c>
      <c r="E308">
        <v>40.577560120000001</v>
      </c>
      <c r="F308">
        <v>5.7354715550000002</v>
      </c>
      <c r="G308">
        <v>13.33059751</v>
      </c>
      <c r="H308">
        <v>21.521429099999999</v>
      </c>
      <c r="I308">
        <v>3.005948466</v>
      </c>
      <c r="J308">
        <v>3.1539758440000001</v>
      </c>
      <c r="K308">
        <v>40.577560120000001</v>
      </c>
      <c r="L308">
        <v>5.7354715550000002</v>
      </c>
      <c r="M308">
        <v>13.33059751</v>
      </c>
      <c r="N308">
        <v>7.0475786999999998E-2</v>
      </c>
      <c r="O308">
        <v>24.58215332</v>
      </c>
      <c r="P308">
        <v>118.34231205086</v>
      </c>
      <c r="Q308">
        <v>19.7109834388</v>
      </c>
      <c r="R308">
        <v>0.80579379942291396</v>
      </c>
      <c r="S308">
        <v>0.12149145427668499</v>
      </c>
      <c r="T308">
        <v>0.16150045082105399</v>
      </c>
      <c r="U308">
        <v>0.60730508771907699</v>
      </c>
      <c r="V308">
        <v>0.27948799354430398</v>
      </c>
      <c r="W308">
        <v>0.32540659508207398</v>
      </c>
      <c r="X308">
        <v>9.4441962798842705E-2</v>
      </c>
      <c r="Y308">
        <v>0.30589296619155398</v>
      </c>
      <c r="Z308">
        <v>0.101368037844785</v>
      </c>
      <c r="AA308">
        <v>4.5421294110149302E-4</v>
      </c>
    </row>
    <row r="309" spans="1:27" x14ac:dyDescent="0.55000000000000004">
      <c r="A309">
        <v>308</v>
      </c>
      <c r="B309">
        <v>21.709255939999998</v>
      </c>
      <c r="C309">
        <v>-1.7989556680000001</v>
      </c>
      <c r="D309">
        <v>4.3662859660000004</v>
      </c>
      <c r="E309">
        <v>40.44108576</v>
      </c>
      <c r="F309">
        <v>5.8267894160000004</v>
      </c>
      <c r="G309">
        <v>12.696551019999999</v>
      </c>
      <c r="H309">
        <v>21.709255939999998</v>
      </c>
      <c r="I309">
        <v>1.7989556680000001</v>
      </c>
      <c r="J309">
        <v>4.3662859660000004</v>
      </c>
      <c r="K309">
        <v>40.44108576</v>
      </c>
      <c r="L309">
        <v>5.8267894160000004</v>
      </c>
      <c r="M309">
        <v>12.696551019999999</v>
      </c>
      <c r="N309">
        <v>7.2044149000000002E-2</v>
      </c>
      <c r="O309">
        <v>28.576517110000001</v>
      </c>
      <c r="P309">
        <v>236.68462410171901</v>
      </c>
      <c r="Q309">
        <v>0.129287304691</v>
      </c>
      <c r="R309">
        <v>0.81288945608108498</v>
      </c>
      <c r="S309">
        <v>7.2432534761650902E-2</v>
      </c>
      <c r="T309">
        <v>0.22366838359417601</v>
      </c>
      <c r="U309">
        <v>0.60341043611252398</v>
      </c>
      <c r="V309">
        <v>0.28397914859130402</v>
      </c>
      <c r="W309">
        <v>0.29050157491615403</v>
      </c>
      <c r="X309">
        <v>9.66647604340371E-2</v>
      </c>
      <c r="Y309">
        <v>0.35770268432266</v>
      </c>
      <c r="Z309">
        <v>0.20273607568957</v>
      </c>
      <c r="AA309" s="1">
        <v>1.60619000604339E-6</v>
      </c>
    </row>
    <row r="310" spans="1:27" x14ac:dyDescent="0.55000000000000004">
      <c r="A310">
        <v>309</v>
      </c>
      <c r="B310">
        <v>21.527665469999999</v>
      </c>
      <c r="C310">
        <v>-3.2938125349999998</v>
      </c>
      <c r="D310">
        <v>2.7221597989999999</v>
      </c>
      <c r="E310">
        <v>41.93082793</v>
      </c>
      <c r="F310">
        <v>6.4075636769999997</v>
      </c>
      <c r="G310">
        <v>14.138306099999999</v>
      </c>
      <c r="H310">
        <v>21.527665469999999</v>
      </c>
      <c r="I310">
        <v>3.2938125349999998</v>
      </c>
      <c r="J310">
        <v>2.7221597989999999</v>
      </c>
      <c r="K310">
        <v>41.93082793</v>
      </c>
      <c r="L310">
        <v>6.4075636769999997</v>
      </c>
      <c r="M310">
        <v>14.138306099999999</v>
      </c>
      <c r="N310">
        <v>7.8744195000000003E-2</v>
      </c>
      <c r="O310">
        <v>26.880653379999998</v>
      </c>
      <c r="P310">
        <v>110.94591754768101</v>
      </c>
      <c r="Q310">
        <v>30.298313774899999</v>
      </c>
      <c r="R310">
        <v>0.80602939482724101</v>
      </c>
      <c r="S310">
        <v>0.133191855650862</v>
      </c>
      <c r="T310">
        <v>0.13935668548514499</v>
      </c>
      <c r="U310">
        <v>0.64592411220332502</v>
      </c>
      <c r="V310">
        <v>0.31254253394543702</v>
      </c>
      <c r="W310">
        <v>0.369871922257272</v>
      </c>
      <c r="X310">
        <v>0.106160556943066</v>
      </c>
      <c r="Y310">
        <v>0.33570613456922199</v>
      </c>
      <c r="Z310">
        <v>9.5032535479486105E-2</v>
      </c>
      <c r="AA310">
        <v>6.9892602179574403E-4</v>
      </c>
    </row>
    <row r="311" spans="1:27" x14ac:dyDescent="0.55000000000000004">
      <c r="A311">
        <v>310</v>
      </c>
      <c r="B311">
        <v>21.824351799999999</v>
      </c>
      <c r="C311">
        <v>1.8558489090000001</v>
      </c>
      <c r="D311">
        <v>7.3293904379999999</v>
      </c>
      <c r="E311">
        <v>37.420435349999998</v>
      </c>
      <c r="F311">
        <v>6.2387752049999996</v>
      </c>
      <c r="G311">
        <v>12.952116759999999</v>
      </c>
      <c r="H311">
        <v>21.824351799999999</v>
      </c>
      <c r="I311">
        <v>1.8558489090000001</v>
      </c>
      <c r="J311">
        <v>7.3293904379999999</v>
      </c>
      <c r="K311">
        <v>37.420435349999998</v>
      </c>
      <c r="L311">
        <v>6.2387752049999996</v>
      </c>
      <c r="M311">
        <v>12.952116759999999</v>
      </c>
      <c r="N311">
        <v>3.8394079999999999E-3</v>
      </c>
      <c r="O311">
        <v>0.99878263499999997</v>
      </c>
      <c r="P311">
        <v>489.352263103697</v>
      </c>
      <c r="Q311">
        <v>1.5897663442800001</v>
      </c>
      <c r="R311">
        <v>0.81723750721870203</v>
      </c>
      <c r="S311">
        <v>7.4744993407463295E-2</v>
      </c>
      <c r="T311">
        <v>0.37561801782731502</v>
      </c>
      <c r="U311">
        <v>0.51720830281701202</v>
      </c>
      <c r="V311">
        <v>0.30424125323652601</v>
      </c>
      <c r="W311">
        <v>0.304570775596404</v>
      </c>
      <c r="X311">
        <v>0</v>
      </c>
      <c r="Y311">
        <v>0</v>
      </c>
      <c r="Z311">
        <v>0.41916266351470599</v>
      </c>
      <c r="AA311" s="1">
        <v>3.5363361429000803E-5</v>
      </c>
    </row>
    <row r="312" spans="1:27" x14ac:dyDescent="0.55000000000000004">
      <c r="A312">
        <v>311</v>
      </c>
      <c r="B312">
        <v>21.757281290000002</v>
      </c>
      <c r="C312">
        <v>1.4586722519999999</v>
      </c>
      <c r="D312">
        <v>7.0598531639999997</v>
      </c>
      <c r="E312">
        <v>38.542531009999998</v>
      </c>
      <c r="F312">
        <v>5.9918547789999996</v>
      </c>
      <c r="G312">
        <v>12.902897830000001</v>
      </c>
      <c r="H312">
        <v>21.757281290000002</v>
      </c>
      <c r="I312">
        <v>1.4586722519999999</v>
      </c>
      <c r="J312">
        <v>7.0598531639999997</v>
      </c>
      <c r="K312">
        <v>38.542531009999998</v>
      </c>
      <c r="L312">
        <v>5.9918547789999996</v>
      </c>
      <c r="M312">
        <v>12.902897830000001</v>
      </c>
      <c r="N312">
        <v>5.1444989000000003E-2</v>
      </c>
      <c r="O312">
        <v>30.789102549999999</v>
      </c>
      <c r="P312">
        <v>236.68462410171901</v>
      </c>
      <c r="Q312">
        <v>2.47658976087</v>
      </c>
      <c r="R312">
        <v>0.81470374095372899</v>
      </c>
      <c r="S312">
        <v>5.8601518747713799E-2</v>
      </c>
      <c r="T312">
        <v>0.36179599751601199</v>
      </c>
      <c r="U312">
        <v>0.54923022741093896</v>
      </c>
      <c r="V312">
        <v>0.292097320983914</v>
      </c>
      <c r="W312">
        <v>0.30186121443442199</v>
      </c>
      <c r="X312">
        <v>6.7470120335009404E-2</v>
      </c>
      <c r="Y312">
        <v>0.38640147942849801</v>
      </c>
      <c r="Z312">
        <v>0.20273607568957</v>
      </c>
      <c r="AA312" s="1">
        <v>5.5861190760496103E-5</v>
      </c>
    </row>
    <row r="313" spans="1:27" x14ac:dyDescent="0.55000000000000004">
      <c r="A313">
        <v>312</v>
      </c>
      <c r="B313">
        <v>21.193702170000002</v>
      </c>
      <c r="C313">
        <v>4.9495380859999996</v>
      </c>
      <c r="D313">
        <v>8.5565698339999994</v>
      </c>
      <c r="E313">
        <v>38.466777620000002</v>
      </c>
      <c r="F313">
        <v>4.4456083829999997</v>
      </c>
      <c r="G313">
        <v>9.9061633750000002</v>
      </c>
      <c r="H313">
        <v>21.193702170000002</v>
      </c>
      <c r="I313">
        <v>4.9495380859999996</v>
      </c>
      <c r="J313">
        <v>8.5565698339999994</v>
      </c>
      <c r="K313">
        <v>38.466777620000002</v>
      </c>
      <c r="L313">
        <v>4.4456083829999997</v>
      </c>
      <c r="M313">
        <v>9.9061633750000002</v>
      </c>
      <c r="N313">
        <v>9.0959719999999994E-2</v>
      </c>
      <c r="O313">
        <v>29.586116789999998</v>
      </c>
      <c r="P313">
        <v>7.3963945031787199</v>
      </c>
      <c r="Q313">
        <v>99.4755986057</v>
      </c>
      <c r="R313">
        <v>0.79341304610290597</v>
      </c>
      <c r="S313">
        <v>0.20048977712983801</v>
      </c>
      <c r="T313">
        <v>0.43854845518539598</v>
      </c>
      <c r="U313">
        <v>0.54706840696301595</v>
      </c>
      <c r="V313">
        <v>0.216050507915202</v>
      </c>
      <c r="W313">
        <v>0.13688738643692</v>
      </c>
      <c r="X313">
        <v>0.12347329474381501</v>
      </c>
      <c r="Y313">
        <v>0.37079790488744901</v>
      </c>
      <c r="Z313">
        <v>6.3355023652990798E-3</v>
      </c>
      <c r="AA313">
        <v>2.29787362686732E-3</v>
      </c>
    </row>
    <row r="314" spans="1:27" x14ac:dyDescent="0.55000000000000004">
      <c r="A314">
        <v>313</v>
      </c>
      <c r="B314">
        <v>20.664523760000002</v>
      </c>
      <c r="C314">
        <v>3.3444944940000001</v>
      </c>
      <c r="D314">
        <v>7.1383461219999997</v>
      </c>
      <c r="E314">
        <v>37.825464320000002</v>
      </c>
      <c r="F314">
        <v>4.6169831979999998</v>
      </c>
      <c r="G314">
        <v>10.06540781</v>
      </c>
      <c r="H314">
        <v>20.664523760000002</v>
      </c>
      <c r="I314">
        <v>3.3444944940000001</v>
      </c>
      <c r="J314">
        <v>7.1383461219999997</v>
      </c>
      <c r="K314">
        <v>37.825464320000002</v>
      </c>
      <c r="L314">
        <v>4.6169831979999998</v>
      </c>
      <c r="M314">
        <v>10.06540781</v>
      </c>
      <c r="N314">
        <v>7.4958897999999996E-2</v>
      </c>
      <c r="O314">
        <v>36.518653870000001</v>
      </c>
      <c r="P314">
        <v>9.8618593375716301</v>
      </c>
      <c r="Q314">
        <v>128.06649135399999</v>
      </c>
      <c r="R314">
        <v>0.77342192924081599</v>
      </c>
      <c r="S314">
        <v>0.135251853151729</v>
      </c>
      <c r="T314">
        <v>0.36582115976414797</v>
      </c>
      <c r="U314">
        <v>0.52876686025381403</v>
      </c>
      <c r="V314">
        <v>0.22447898901284899</v>
      </c>
      <c r="W314">
        <v>0.14565398368594101</v>
      </c>
      <c r="X314">
        <v>0.100795756456885</v>
      </c>
      <c r="Y314">
        <v>0.46071780475922303</v>
      </c>
      <c r="Z314">
        <v>8.4473364870654398E-3</v>
      </c>
      <c r="AA314">
        <v>2.9587168443854302E-3</v>
      </c>
    </row>
    <row r="315" spans="1:27" x14ac:dyDescent="0.55000000000000004">
      <c r="A315">
        <v>314</v>
      </c>
      <c r="B315">
        <v>20.82191594</v>
      </c>
      <c r="C315">
        <v>3.8329742580000001</v>
      </c>
      <c r="D315">
        <v>7.4742817759999998</v>
      </c>
      <c r="E315">
        <v>40.542552950000001</v>
      </c>
      <c r="F315">
        <v>4.744497902</v>
      </c>
      <c r="G315">
        <v>10.71054665</v>
      </c>
      <c r="H315">
        <v>20.82191594</v>
      </c>
      <c r="I315">
        <v>3.8329742580000001</v>
      </c>
      <c r="J315">
        <v>7.4742817759999998</v>
      </c>
      <c r="K315">
        <v>40.542552950000001</v>
      </c>
      <c r="L315">
        <v>4.744497902</v>
      </c>
      <c r="M315">
        <v>10.71054665</v>
      </c>
      <c r="N315">
        <v>7.2089038999999994E-2</v>
      </c>
      <c r="O315">
        <v>29.814811710000001</v>
      </c>
      <c r="P315">
        <v>14.792789006357401</v>
      </c>
      <c r="Q315">
        <v>0.76322471250000001</v>
      </c>
      <c r="R315">
        <v>0.77936783595979797</v>
      </c>
      <c r="S315">
        <v>0.15510639533831699</v>
      </c>
      <c r="T315">
        <v>0.38304812568233498</v>
      </c>
      <c r="U315">
        <v>0.60630606687090105</v>
      </c>
      <c r="V315">
        <v>0.23075036133985</v>
      </c>
      <c r="W315">
        <v>0.18116965103080299</v>
      </c>
      <c r="X315">
        <v>9.6728381833843996E-2</v>
      </c>
      <c r="Y315">
        <v>0.37376423944437598</v>
      </c>
      <c r="Z315">
        <v>1.26710047305982E-2</v>
      </c>
      <c r="AA315" s="1">
        <v>1.625887119266E-5</v>
      </c>
    </row>
    <row r="316" spans="1:27" x14ac:dyDescent="0.55000000000000004">
      <c r="A316">
        <v>315</v>
      </c>
      <c r="B316">
        <v>20.656838990000001</v>
      </c>
      <c r="C316">
        <v>2.2255196740000001</v>
      </c>
      <c r="D316">
        <v>6.1630317200000002</v>
      </c>
      <c r="E316">
        <v>38.305931389999998</v>
      </c>
      <c r="F316">
        <v>4.7952833520000002</v>
      </c>
      <c r="G316">
        <v>10.453994209999999</v>
      </c>
      <c r="H316">
        <v>20.656838990000001</v>
      </c>
      <c r="I316">
        <v>2.2255196740000001</v>
      </c>
      <c r="J316">
        <v>6.1630317200000002</v>
      </c>
      <c r="K316">
        <v>38.305931389999998</v>
      </c>
      <c r="L316">
        <v>4.7952833520000002</v>
      </c>
      <c r="M316">
        <v>10.453994209999999</v>
      </c>
      <c r="N316">
        <v>6.5170153999999994E-2</v>
      </c>
      <c r="O316">
        <v>26.819961549999999</v>
      </c>
      <c r="P316">
        <v>14.792789006357401</v>
      </c>
      <c r="Q316">
        <v>2.9766972921699999</v>
      </c>
      <c r="R316">
        <v>0.77313161668795105</v>
      </c>
      <c r="S316">
        <v>8.9770475197617203E-2</v>
      </c>
      <c r="T316">
        <v>0.31580649843626601</v>
      </c>
      <c r="U316">
        <v>0.54247824051653204</v>
      </c>
      <c r="V316">
        <v>0.23324806910023799</v>
      </c>
      <c r="W316">
        <v>0.16704613133145799</v>
      </c>
      <c r="X316">
        <v>8.6922430646438203E-2</v>
      </c>
      <c r="Y316">
        <v>0.33491891868942902</v>
      </c>
      <c r="Z316">
        <v>1.26710047305982E-2</v>
      </c>
      <c r="AA316" s="1">
        <v>6.7420559437746699E-5</v>
      </c>
    </row>
    <row r="317" spans="1:27" x14ac:dyDescent="0.55000000000000004">
      <c r="A317">
        <v>316</v>
      </c>
      <c r="B317">
        <v>20.681682469999998</v>
      </c>
      <c r="C317">
        <v>2.169608894</v>
      </c>
      <c r="D317">
        <v>6.1167186310000004</v>
      </c>
      <c r="E317">
        <v>43.941834729999997</v>
      </c>
      <c r="F317">
        <v>5.026622937</v>
      </c>
      <c r="G317">
        <v>11.26739796</v>
      </c>
      <c r="H317">
        <v>20.681682469999998</v>
      </c>
      <c r="I317">
        <v>2.169608894</v>
      </c>
      <c r="J317">
        <v>6.1167186310000004</v>
      </c>
      <c r="K317">
        <v>43.941834729999997</v>
      </c>
      <c r="L317">
        <v>5.026622937</v>
      </c>
      <c r="M317">
        <v>11.26739796</v>
      </c>
      <c r="N317">
        <v>6.6968657000000001E-2</v>
      </c>
      <c r="O317">
        <v>27.821977619999998</v>
      </c>
      <c r="P317">
        <v>14.792789006357401</v>
      </c>
      <c r="Q317">
        <v>5.4332123244300004</v>
      </c>
      <c r="R317">
        <v>0.77407014498493998</v>
      </c>
      <c r="S317">
        <v>8.7497949246685497E-2</v>
      </c>
      <c r="T317">
        <v>0.31343153764758802</v>
      </c>
      <c r="U317">
        <v>0.70331343327731899</v>
      </c>
      <c r="V317">
        <v>0.24462571125442401</v>
      </c>
      <c r="W317">
        <v>0.21182498389916901</v>
      </c>
      <c r="X317">
        <v>8.9471400983190896E-2</v>
      </c>
      <c r="Y317">
        <v>0.347915774478955</v>
      </c>
      <c r="Z317">
        <v>1.26710047305982E-2</v>
      </c>
      <c r="AA317">
        <v>1.2419987416889701E-4</v>
      </c>
    </row>
    <row r="318" spans="1:27" x14ac:dyDescent="0.55000000000000004">
      <c r="A318">
        <v>317</v>
      </c>
      <c r="B318">
        <v>21.510968030000001</v>
      </c>
      <c r="C318">
        <v>2.833040478</v>
      </c>
      <c r="D318">
        <v>6.7957588800000002</v>
      </c>
      <c r="E318">
        <v>40.083875599999999</v>
      </c>
      <c r="F318">
        <v>4.8782409710000003</v>
      </c>
      <c r="G318">
        <v>10.81668805</v>
      </c>
      <c r="H318">
        <v>21.510968030000001</v>
      </c>
      <c r="I318">
        <v>2.833040478</v>
      </c>
      <c r="J318">
        <v>6.7957588800000002</v>
      </c>
      <c r="K318">
        <v>40.083875599999999</v>
      </c>
      <c r="L318">
        <v>4.8782409710000003</v>
      </c>
      <c r="M318">
        <v>10.81668805</v>
      </c>
      <c r="N318">
        <v>6.6713884000000001E-2</v>
      </c>
      <c r="O318">
        <v>25.076623919999999</v>
      </c>
      <c r="P318">
        <v>3.69819725158936</v>
      </c>
      <c r="Q318">
        <v>81.149638315299995</v>
      </c>
      <c r="R318">
        <v>0.80539860477982095</v>
      </c>
      <c r="S318">
        <v>0.114463509221126</v>
      </c>
      <c r="T318">
        <v>0.34825309673878202</v>
      </c>
      <c r="U318">
        <v>0.59321651306704604</v>
      </c>
      <c r="V318">
        <v>0.23732805438656601</v>
      </c>
      <c r="W318">
        <v>0.18701286247644799</v>
      </c>
      <c r="X318">
        <v>8.9110318004955294E-2</v>
      </c>
      <c r="Y318">
        <v>0.31230659893934098</v>
      </c>
      <c r="Z318">
        <v>3.1677511826495399E-3</v>
      </c>
      <c r="AA318">
        <v>1.87429166078348E-3</v>
      </c>
    </row>
    <row r="319" spans="1:27" x14ac:dyDescent="0.55000000000000004">
      <c r="A319">
        <v>318</v>
      </c>
      <c r="B319">
        <v>21.53279805</v>
      </c>
      <c r="C319">
        <v>3.1843656679999999</v>
      </c>
      <c r="D319">
        <v>7.0627107609999999</v>
      </c>
      <c r="E319">
        <v>39.858465760000001</v>
      </c>
      <c r="F319">
        <v>4.675572893</v>
      </c>
      <c r="G319">
        <v>10.842595810000001</v>
      </c>
      <c r="H319">
        <v>21.53279805</v>
      </c>
      <c r="I319">
        <v>3.1843656679999999</v>
      </c>
      <c r="J319">
        <v>7.0627107609999999</v>
      </c>
      <c r="K319">
        <v>39.858465760000001</v>
      </c>
      <c r="L319">
        <v>4.675572893</v>
      </c>
      <c r="M319">
        <v>10.842595810000001</v>
      </c>
      <c r="N319">
        <v>6.2657736000000006E-2</v>
      </c>
      <c r="O319">
        <v>22.478145600000001</v>
      </c>
      <c r="P319">
        <v>14.792789006357401</v>
      </c>
      <c r="Q319">
        <v>0.50860809196000001</v>
      </c>
      <c r="R319">
        <v>0.80622329163906303</v>
      </c>
      <c r="S319">
        <v>0.12874332451776599</v>
      </c>
      <c r="T319">
        <v>0.361942536668796</v>
      </c>
      <c r="U319">
        <v>0.58678385571303004</v>
      </c>
      <c r="V319">
        <v>0.22736052173295401</v>
      </c>
      <c r="W319">
        <v>0.18843911575521599</v>
      </c>
      <c r="X319">
        <v>8.3361647619930396E-2</v>
      </c>
      <c r="Y319">
        <v>0.27860250076329901</v>
      </c>
      <c r="Z319">
        <v>1.26710047305982E-2</v>
      </c>
      <c r="AA319" s="1">
        <v>1.03737220917721E-5</v>
      </c>
    </row>
    <row r="320" spans="1:27" x14ac:dyDescent="0.55000000000000004">
      <c r="A320">
        <v>319</v>
      </c>
      <c r="B320">
        <v>21.177961400000001</v>
      </c>
      <c r="C320">
        <v>1.9780957539999999</v>
      </c>
      <c r="D320">
        <v>6.0224568740000004</v>
      </c>
      <c r="E320">
        <v>39.056794439999997</v>
      </c>
      <c r="F320">
        <v>4.791032822</v>
      </c>
      <c r="G320">
        <v>10.671833120000001</v>
      </c>
      <c r="H320">
        <v>21.177961400000001</v>
      </c>
      <c r="I320">
        <v>1.9780957539999999</v>
      </c>
      <c r="J320">
        <v>6.0224568740000004</v>
      </c>
      <c r="K320">
        <v>39.056794439999997</v>
      </c>
      <c r="L320">
        <v>4.791032822</v>
      </c>
      <c r="M320">
        <v>10.671833120000001</v>
      </c>
      <c r="N320">
        <v>6.8277835999999995E-2</v>
      </c>
      <c r="O320">
        <v>26.100408550000001</v>
      </c>
      <c r="P320">
        <v>14.792789006357401</v>
      </c>
      <c r="Q320">
        <v>5.76372445275</v>
      </c>
      <c r="R320">
        <v>0.79281839680009503</v>
      </c>
      <c r="S320">
        <v>7.9713787040498502E-2</v>
      </c>
      <c r="T320">
        <v>0.308597742675568</v>
      </c>
      <c r="U320">
        <v>0.56390607490229705</v>
      </c>
      <c r="V320">
        <v>0.2330390213953</v>
      </c>
      <c r="W320">
        <v>0.17903842474589199</v>
      </c>
      <c r="X320">
        <v>9.1326865464762194E-2</v>
      </c>
      <c r="Y320">
        <v>0.32558580831933098</v>
      </c>
      <c r="Z320">
        <v>1.26710047305982E-2</v>
      </c>
      <c r="AA320">
        <v>1.3183925431104899E-4</v>
      </c>
    </row>
    <row r="321" spans="1:27" x14ac:dyDescent="0.55000000000000004">
      <c r="A321">
        <v>320</v>
      </c>
      <c r="B321">
        <v>21.761095099999999</v>
      </c>
      <c r="C321">
        <v>4.9077323079999999</v>
      </c>
      <c r="D321">
        <v>8.3965954590000003</v>
      </c>
      <c r="E321">
        <v>43.203704680000001</v>
      </c>
      <c r="F321">
        <v>5.2368595429999996</v>
      </c>
      <c r="G321">
        <v>12.0380831</v>
      </c>
      <c r="H321">
        <v>21.761095099999999</v>
      </c>
      <c r="I321">
        <v>4.9077323079999999</v>
      </c>
      <c r="J321">
        <v>8.3965954590000003</v>
      </c>
      <c r="K321">
        <v>43.203704680000001</v>
      </c>
      <c r="L321">
        <v>5.2368595429999996</v>
      </c>
      <c r="M321">
        <v>12.0380831</v>
      </c>
      <c r="N321">
        <v>6.9809720000000006E-2</v>
      </c>
      <c r="O321">
        <v>30.057550429999999</v>
      </c>
      <c r="P321">
        <v>110.94591754768101</v>
      </c>
      <c r="Q321">
        <v>5.6502558185299998</v>
      </c>
      <c r="R321">
        <v>0.81484781773380699</v>
      </c>
      <c r="S321">
        <v>0.19879055713319499</v>
      </c>
      <c r="T321">
        <v>0.43034488086068901</v>
      </c>
      <c r="U321">
        <v>0.68224896823731396</v>
      </c>
      <c r="V321">
        <v>0.25496547593749302</v>
      </c>
      <c r="W321">
        <v>0.25425212572164702</v>
      </c>
      <c r="X321">
        <v>9.3497963803406095E-2</v>
      </c>
      <c r="Y321">
        <v>0.37691273200136099</v>
      </c>
      <c r="Z321">
        <v>9.5032535479486105E-2</v>
      </c>
      <c r="AA321">
        <v>1.2921656680053799E-4</v>
      </c>
    </row>
    <row r="322" spans="1:27" x14ac:dyDescent="0.55000000000000004">
      <c r="A322">
        <v>321</v>
      </c>
      <c r="B322">
        <v>19.37987635</v>
      </c>
      <c r="C322">
        <v>2.261946209</v>
      </c>
      <c r="D322">
        <v>6.0207058890000003</v>
      </c>
      <c r="E322">
        <v>37.77692218</v>
      </c>
      <c r="F322">
        <v>4.2501603340000003</v>
      </c>
      <c r="G322">
        <v>10.92668628</v>
      </c>
      <c r="H322">
        <v>19.37987635</v>
      </c>
      <c r="I322">
        <v>2.261946209</v>
      </c>
      <c r="J322">
        <v>6.0207058890000003</v>
      </c>
      <c r="K322">
        <v>37.77692218</v>
      </c>
      <c r="L322">
        <v>4.2501603340000003</v>
      </c>
      <c r="M322">
        <v>10.92668628</v>
      </c>
      <c r="N322">
        <v>4.6092703999999998E-2</v>
      </c>
      <c r="O322">
        <v>20.030305859999999</v>
      </c>
      <c r="P322">
        <v>0</v>
      </c>
      <c r="Q322">
        <v>1.2418443001499999</v>
      </c>
      <c r="R322">
        <v>0.72489096876589598</v>
      </c>
      <c r="S322">
        <v>9.1251052755111903E-2</v>
      </c>
      <c r="T322">
        <v>0.30850795119747099</v>
      </c>
      <c r="U322">
        <v>0.52738158375545596</v>
      </c>
      <c r="V322">
        <v>0.20643806756585201</v>
      </c>
      <c r="W322">
        <v>0.19306839704200601</v>
      </c>
      <c r="X322">
        <v>5.9884469547189699E-2</v>
      </c>
      <c r="Y322">
        <v>0.24685229131141501</v>
      </c>
      <c r="Z322">
        <v>0</v>
      </c>
      <c r="AA322" s="1">
        <v>2.7321572558941198E-5</v>
      </c>
    </row>
    <row r="323" spans="1:27" x14ac:dyDescent="0.55000000000000004">
      <c r="A323">
        <v>322</v>
      </c>
      <c r="B323">
        <v>18.68499568</v>
      </c>
      <c r="C323">
        <v>1.925087252</v>
      </c>
      <c r="D323">
        <v>5.4190404560000003</v>
      </c>
      <c r="E323">
        <v>34.202201610000003</v>
      </c>
      <c r="F323">
        <v>3.820584701</v>
      </c>
      <c r="G323">
        <v>10.35669362</v>
      </c>
      <c r="H323">
        <v>18.68499568</v>
      </c>
      <c r="I323">
        <v>1.925087252</v>
      </c>
      <c r="J323">
        <v>5.4190404560000003</v>
      </c>
      <c r="K323">
        <v>34.202201610000003</v>
      </c>
      <c r="L323">
        <v>3.820584701</v>
      </c>
      <c r="M323">
        <v>10.35669362</v>
      </c>
      <c r="N323">
        <v>6.1325200000000003E-2</v>
      </c>
      <c r="O323">
        <v>21.157789229999999</v>
      </c>
      <c r="P323">
        <v>0</v>
      </c>
      <c r="Q323">
        <v>129.11536844</v>
      </c>
      <c r="R323">
        <v>0.69864000988951802</v>
      </c>
      <c r="S323">
        <v>7.7559225855428002E-2</v>
      </c>
      <c r="T323">
        <v>0.277654215414957</v>
      </c>
      <c r="U323">
        <v>0.42536761416493002</v>
      </c>
      <c r="V323">
        <v>0.185310866916503</v>
      </c>
      <c r="W323">
        <v>0.161689617085782</v>
      </c>
      <c r="X323">
        <v>8.1473079885178198E-2</v>
      </c>
      <c r="Y323">
        <v>0.261476546554128</v>
      </c>
      <c r="Z323">
        <v>0</v>
      </c>
      <c r="AA323">
        <v>2.9829603443836802E-3</v>
      </c>
    </row>
    <row r="324" spans="1:27" x14ac:dyDescent="0.55000000000000004">
      <c r="A324">
        <v>323</v>
      </c>
      <c r="B324">
        <v>18.631043900000002</v>
      </c>
      <c r="C324">
        <v>0.61857129</v>
      </c>
      <c r="D324">
        <v>4.4778798709999998</v>
      </c>
      <c r="E324">
        <v>35.27023062</v>
      </c>
      <c r="F324">
        <v>3.8787771150000001</v>
      </c>
      <c r="G324">
        <v>10.60463332</v>
      </c>
      <c r="H324">
        <v>18.631043900000002</v>
      </c>
      <c r="I324">
        <v>0.61857129</v>
      </c>
      <c r="J324">
        <v>4.4778798709999998</v>
      </c>
      <c r="K324">
        <v>35.27023062</v>
      </c>
      <c r="L324">
        <v>3.8787771150000001</v>
      </c>
      <c r="M324">
        <v>10.60463332</v>
      </c>
      <c r="N324">
        <v>7.4867867000000005E-2</v>
      </c>
      <c r="O324">
        <v>32.758964540000001</v>
      </c>
      <c r="P324">
        <v>0</v>
      </c>
      <c r="Q324">
        <v>135.59495625100001</v>
      </c>
      <c r="R324">
        <v>0.69660183841744705</v>
      </c>
      <c r="S324">
        <v>2.4455129848332501E-2</v>
      </c>
      <c r="T324">
        <v>0.229390980690441</v>
      </c>
      <c r="U324">
        <v>0.455846605967061</v>
      </c>
      <c r="V324">
        <v>0.18817286073645501</v>
      </c>
      <c r="W324">
        <v>0.17533899511235501</v>
      </c>
      <c r="X324">
        <v>0.100666740648335</v>
      </c>
      <c r="Y324">
        <v>0.41195198004003097</v>
      </c>
      <c r="Z324">
        <v>0</v>
      </c>
      <c r="AA324">
        <v>3.1327280237251E-3</v>
      </c>
    </row>
    <row r="325" spans="1:27" x14ac:dyDescent="0.55000000000000004">
      <c r="A325">
        <v>324</v>
      </c>
      <c r="B325">
        <v>18.615261189999998</v>
      </c>
      <c r="C325">
        <v>-3.9577507999999997E-2</v>
      </c>
      <c r="D325">
        <v>4.01864474</v>
      </c>
      <c r="E325">
        <v>35.01252238</v>
      </c>
      <c r="F325">
        <v>4.011964496</v>
      </c>
      <c r="G325">
        <v>10.55948551</v>
      </c>
      <c r="H325">
        <v>18.615261189999998</v>
      </c>
      <c r="I325">
        <v>3.9577507999999997E-2</v>
      </c>
      <c r="J325">
        <v>4.01864474</v>
      </c>
      <c r="K325">
        <v>35.01252238</v>
      </c>
      <c r="L325">
        <v>4.011964496</v>
      </c>
      <c r="M325">
        <v>10.55948551</v>
      </c>
      <c r="N325">
        <v>6.7022465000000003E-2</v>
      </c>
      <c r="O325">
        <v>26.868328089999999</v>
      </c>
      <c r="P325">
        <v>0</v>
      </c>
      <c r="Q325">
        <v>116.83040845799999</v>
      </c>
      <c r="R325">
        <v>0.69600560471998696</v>
      </c>
      <c r="S325">
        <v>9.2159311314234495E-4</v>
      </c>
      <c r="T325">
        <v>0.20584114947731499</v>
      </c>
      <c r="U325">
        <v>0.44849222957769602</v>
      </c>
      <c r="V325">
        <v>0.194723224179319</v>
      </c>
      <c r="W325">
        <v>0.17285355399194599</v>
      </c>
      <c r="X325">
        <v>8.9547661626559194E-2</v>
      </c>
      <c r="Y325">
        <v>0.33554626685702699</v>
      </c>
      <c r="Z325">
        <v>0</v>
      </c>
      <c r="AA325">
        <v>2.6990086485392398E-3</v>
      </c>
    </row>
    <row r="326" spans="1:27" x14ac:dyDescent="0.55000000000000004">
      <c r="A326">
        <v>325</v>
      </c>
      <c r="B326">
        <v>19.649912839999999</v>
      </c>
      <c r="C326">
        <v>2.6551352760000002</v>
      </c>
      <c r="D326">
        <v>6.3661521700000003</v>
      </c>
      <c r="E326">
        <v>38.481963610000001</v>
      </c>
      <c r="F326">
        <v>4.3317974189999999</v>
      </c>
      <c r="G326">
        <v>11.171460079999999</v>
      </c>
      <c r="H326">
        <v>19.649912839999999</v>
      </c>
      <c r="I326">
        <v>2.6551352760000002</v>
      </c>
      <c r="J326">
        <v>6.3661521700000003</v>
      </c>
      <c r="K326">
        <v>38.481963610000001</v>
      </c>
      <c r="L326">
        <v>4.3317974189999999</v>
      </c>
      <c r="M326">
        <v>11.171460079999999</v>
      </c>
      <c r="N326">
        <v>5.7677902000000003E-2</v>
      </c>
      <c r="O326">
        <v>26.47497177</v>
      </c>
      <c r="P326">
        <v>14.792789006357401</v>
      </c>
      <c r="Q326">
        <v>0.73395278261800001</v>
      </c>
      <c r="R326">
        <v>0.73509231282416698</v>
      </c>
      <c r="S326">
        <v>0.107232449515811</v>
      </c>
      <c r="T326">
        <v>0.32622262732217699</v>
      </c>
      <c r="U326">
        <v>0.547501778772567</v>
      </c>
      <c r="V326">
        <v>0.210453106927321</v>
      </c>
      <c r="W326">
        <v>0.206543488474321</v>
      </c>
      <c r="X326">
        <v>7.6303861701334602E-2</v>
      </c>
      <c r="Y326">
        <v>0.33044415770129298</v>
      </c>
      <c r="Z326">
        <v>1.26710047305982E-2</v>
      </c>
      <c r="AA326" s="1">
        <v>1.5582286641891301E-5</v>
      </c>
    </row>
    <row r="327" spans="1:27" x14ac:dyDescent="0.55000000000000004">
      <c r="A327">
        <v>326</v>
      </c>
      <c r="B327">
        <v>19.92661927</v>
      </c>
      <c r="C327">
        <v>1.355468731</v>
      </c>
      <c r="D327">
        <v>5.5134470530000002</v>
      </c>
      <c r="E327">
        <v>42.35131277</v>
      </c>
      <c r="F327">
        <v>4.6436661060000004</v>
      </c>
      <c r="G327">
        <v>11.56059615</v>
      </c>
      <c r="H327">
        <v>19.92661927</v>
      </c>
      <c r="I327">
        <v>1.355468731</v>
      </c>
      <c r="J327">
        <v>5.5134470530000002</v>
      </c>
      <c r="K327">
        <v>42.35131277</v>
      </c>
      <c r="L327">
        <v>4.6436661060000004</v>
      </c>
      <c r="M327">
        <v>11.56059615</v>
      </c>
      <c r="N327">
        <v>6.6400303999999993E-2</v>
      </c>
      <c r="O327">
        <v>34.08480453</v>
      </c>
      <c r="P327">
        <v>14.792789006357401</v>
      </c>
      <c r="Q327">
        <v>16.5385236037</v>
      </c>
      <c r="R327">
        <v>0.74554563154255804</v>
      </c>
      <c r="S327">
        <v>5.4406752019364901E-2</v>
      </c>
      <c r="T327">
        <v>0.28249543786219</v>
      </c>
      <c r="U327">
        <v>0.65792374317896696</v>
      </c>
      <c r="V327">
        <v>0.225791296108312</v>
      </c>
      <c r="W327">
        <v>0.22796589611297299</v>
      </c>
      <c r="X327">
        <v>8.8665889433972203E-2</v>
      </c>
      <c r="Y327">
        <v>0.4291490606717</v>
      </c>
      <c r="Z327">
        <v>1.26710047305982E-2</v>
      </c>
      <c r="AA327">
        <v>3.8088544540798699E-4</v>
      </c>
    </row>
    <row r="328" spans="1:27" x14ac:dyDescent="0.55000000000000004">
      <c r="A328">
        <v>327</v>
      </c>
      <c r="B328">
        <v>19.231009329999999</v>
      </c>
      <c r="C328">
        <v>-0.192803224</v>
      </c>
      <c r="D328">
        <v>4.1139892290000004</v>
      </c>
      <c r="E328">
        <v>38.43057769</v>
      </c>
      <c r="F328">
        <v>4.4597038869999999</v>
      </c>
      <c r="G328">
        <v>10.757031680000001</v>
      </c>
      <c r="H328">
        <v>19.231009329999999</v>
      </c>
      <c r="I328">
        <v>0.192803224</v>
      </c>
      <c r="J328">
        <v>4.1139892290000004</v>
      </c>
      <c r="K328">
        <v>38.43057769</v>
      </c>
      <c r="L328">
        <v>4.4597038869999999</v>
      </c>
      <c r="M328">
        <v>10.757031680000001</v>
      </c>
      <c r="N328">
        <v>7.6115637999999999E-2</v>
      </c>
      <c r="O328">
        <v>27.177669529999999</v>
      </c>
      <c r="P328">
        <v>14.792789006357401</v>
      </c>
      <c r="Q328">
        <v>8.4003381305900007</v>
      </c>
      <c r="R328">
        <v>0.71926712255922398</v>
      </c>
      <c r="S328">
        <v>7.1495408534547203E-3</v>
      </c>
      <c r="T328">
        <v>0.21073046754442901</v>
      </c>
      <c r="U328">
        <v>0.54603534759910599</v>
      </c>
      <c r="V328">
        <v>0.21674374681979799</v>
      </c>
      <c r="W328">
        <v>0.18372870771695199</v>
      </c>
      <c r="X328">
        <v>0.102435173209226</v>
      </c>
      <c r="Y328">
        <v>0.33955864370983002</v>
      </c>
      <c r="Z328">
        <v>1.26710047305982E-2</v>
      </c>
      <c r="AA328">
        <v>1.9278132707369999E-4</v>
      </c>
    </row>
    <row r="329" spans="1:27" x14ac:dyDescent="0.55000000000000004">
      <c r="A329">
        <v>328</v>
      </c>
      <c r="B329">
        <v>19.080834190000001</v>
      </c>
      <c r="C329">
        <v>-1.4288057279999999</v>
      </c>
      <c r="D329">
        <v>3.1206992320000002</v>
      </c>
      <c r="E329">
        <v>38.432355129999998</v>
      </c>
      <c r="F329">
        <v>4.4759562150000001</v>
      </c>
      <c r="G329">
        <v>10.656952950000001</v>
      </c>
      <c r="H329">
        <v>19.080834190000001</v>
      </c>
      <c r="I329">
        <v>1.4288057279999999</v>
      </c>
      <c r="J329">
        <v>3.1206992320000002</v>
      </c>
      <c r="K329">
        <v>38.432355129999998</v>
      </c>
      <c r="L329">
        <v>4.4759562150000001</v>
      </c>
      <c r="M329">
        <v>10.656952950000001</v>
      </c>
      <c r="N329">
        <v>7.2045929999999994E-2</v>
      </c>
      <c r="O329">
        <v>26.94180489</v>
      </c>
      <c r="P329">
        <v>1.84909862579468</v>
      </c>
      <c r="Q329">
        <v>312.96256731699998</v>
      </c>
      <c r="R329">
        <v>0.71359385865278402</v>
      </c>
      <c r="S329">
        <v>5.7387576626818197E-2</v>
      </c>
      <c r="T329">
        <v>0.159794007774682</v>
      </c>
      <c r="U329">
        <v>0.54608607148271004</v>
      </c>
      <c r="V329">
        <v>0.21754306169777901</v>
      </c>
      <c r="W329">
        <v>0.17821925353035201</v>
      </c>
      <c r="X329">
        <v>9.6667284597838798E-2</v>
      </c>
      <c r="Y329">
        <v>0.33649931282312201</v>
      </c>
      <c r="Z329">
        <v>1.58387559132477E-3</v>
      </c>
      <c r="AA329">
        <v>7.2323615613076398E-3</v>
      </c>
    </row>
    <row r="330" spans="1:27" x14ac:dyDescent="0.55000000000000004">
      <c r="A330">
        <v>329</v>
      </c>
      <c r="B330">
        <v>21.504940019999999</v>
      </c>
      <c r="C330">
        <v>0.57846470000000005</v>
      </c>
      <c r="D330">
        <v>5.201073697</v>
      </c>
      <c r="E330">
        <v>46.174216260000001</v>
      </c>
      <c r="F330">
        <v>6.2516415590000003</v>
      </c>
      <c r="G330">
        <v>14.20626904</v>
      </c>
      <c r="H330">
        <v>21.504940019999999</v>
      </c>
      <c r="I330">
        <v>0.57846470000000005</v>
      </c>
      <c r="J330">
        <v>5.201073697</v>
      </c>
      <c r="K330">
        <v>46.174216260000001</v>
      </c>
      <c r="L330">
        <v>6.2516415590000003</v>
      </c>
      <c r="M330">
        <v>14.20626904</v>
      </c>
      <c r="N330">
        <v>2.4605103E-2</v>
      </c>
      <c r="O330">
        <v>10.866606709999999</v>
      </c>
      <c r="P330">
        <v>110.94591754768101</v>
      </c>
      <c r="Q330">
        <v>0.521333275283</v>
      </c>
      <c r="R330">
        <v>0.80517088072668697</v>
      </c>
      <c r="S330">
        <v>2.2824974329515201E-2</v>
      </c>
      <c r="T330">
        <v>0.26647675960197298</v>
      </c>
      <c r="U330">
        <v>0.767020259323269</v>
      </c>
      <c r="V330">
        <v>0.30487404062412798</v>
      </c>
      <c r="W330">
        <v>0.37361336366362002</v>
      </c>
      <c r="X330">
        <v>2.9430665713125199E-2</v>
      </c>
      <c r="Y330">
        <v>0.12799264432874599</v>
      </c>
      <c r="Z330">
        <v>9.5032535479486105E-2</v>
      </c>
      <c r="AA330" s="1">
        <v>1.0667849007105301E-5</v>
      </c>
    </row>
    <row r="331" spans="1:27" x14ac:dyDescent="0.55000000000000004">
      <c r="A331">
        <v>330</v>
      </c>
      <c r="B331">
        <v>21.172992319999999</v>
      </c>
      <c r="C331">
        <v>-5.2299988969999998</v>
      </c>
      <c r="D331">
        <v>1.2342559399999999</v>
      </c>
      <c r="E331">
        <v>43.789117259999998</v>
      </c>
      <c r="F331">
        <v>6.6017444550000004</v>
      </c>
      <c r="G331">
        <v>14.56279883</v>
      </c>
      <c r="H331">
        <v>21.172992319999999</v>
      </c>
      <c r="I331">
        <v>5.2299988969999998</v>
      </c>
      <c r="J331">
        <v>1.2342559399999999</v>
      </c>
      <c r="K331">
        <v>43.789117259999998</v>
      </c>
      <c r="L331">
        <v>6.6017444550000004</v>
      </c>
      <c r="M331">
        <v>14.56279883</v>
      </c>
      <c r="N331">
        <v>7.0400520999999994E-2</v>
      </c>
      <c r="O331">
        <v>24.10377884</v>
      </c>
      <c r="P331">
        <v>110.94591754768101</v>
      </c>
      <c r="Q331">
        <v>4.3474815074700004</v>
      </c>
      <c r="R331">
        <v>0.79263067663407905</v>
      </c>
      <c r="S331">
        <v>0.21188926880598499</v>
      </c>
      <c r="T331">
        <v>6.3056153632305503E-2</v>
      </c>
      <c r="U331">
        <v>0.698955242186449</v>
      </c>
      <c r="V331">
        <v>0.322092647927467</v>
      </c>
      <c r="W331">
        <v>0.393240756458903</v>
      </c>
      <c r="X331">
        <v>9.4335290304348104E-2</v>
      </c>
      <c r="Y331">
        <v>0.29968811148303598</v>
      </c>
      <c r="Z331">
        <v>9.5032535479486105E-2</v>
      </c>
      <c r="AA331" s="1">
        <v>9.9104545640512297E-5</v>
      </c>
    </row>
    <row r="332" spans="1:27" x14ac:dyDescent="0.55000000000000004">
      <c r="A332">
        <v>331</v>
      </c>
      <c r="B332">
        <v>20.463462379999999</v>
      </c>
      <c r="C332">
        <v>-2.9475471899999999</v>
      </c>
      <c r="D332">
        <v>3.236960582</v>
      </c>
      <c r="E332">
        <v>40.268931449999997</v>
      </c>
      <c r="F332">
        <v>6.6659421590000001</v>
      </c>
      <c r="G332">
        <v>14.272213519999999</v>
      </c>
      <c r="H332">
        <v>20.463462379999999</v>
      </c>
      <c r="I332">
        <v>2.9475471899999999</v>
      </c>
      <c r="J332">
        <v>3.236960582</v>
      </c>
      <c r="K332">
        <v>40.268931449999997</v>
      </c>
      <c r="L332">
        <v>6.6659421590000001</v>
      </c>
      <c r="M332">
        <v>14.272213519999999</v>
      </c>
      <c r="N332">
        <v>4.0924042000000001E-2</v>
      </c>
      <c r="O332">
        <v>25.956878660000001</v>
      </c>
      <c r="P332">
        <v>251.477413108077</v>
      </c>
      <c r="Q332">
        <v>0.605512695313</v>
      </c>
      <c r="R332">
        <v>0.76582630276007402</v>
      </c>
      <c r="S332">
        <v>0.11911770067715501</v>
      </c>
      <c r="T332">
        <v>0.16575595402898599</v>
      </c>
      <c r="U332">
        <v>0.59849756412677901</v>
      </c>
      <c r="V332">
        <v>0.32524999129017901</v>
      </c>
      <c r="W332">
        <v>0.37724368642470102</v>
      </c>
      <c r="X332">
        <v>5.2559062740139197E-2</v>
      </c>
      <c r="Y332">
        <v>0.32372412432276898</v>
      </c>
      <c r="Z332">
        <v>0.21540708042016901</v>
      </c>
      <c r="AA332" s="1">
        <v>1.26135524613894E-5</v>
      </c>
    </row>
    <row r="333" spans="1:27" x14ac:dyDescent="0.55000000000000004">
      <c r="A333">
        <v>332</v>
      </c>
      <c r="B333">
        <v>19.980854140000002</v>
      </c>
      <c r="C333">
        <v>-3.506514497</v>
      </c>
      <c r="D333">
        <v>3.0393560009999998</v>
      </c>
      <c r="E333">
        <v>38.82706469</v>
      </c>
      <c r="F333">
        <v>7.0182845880000002</v>
      </c>
      <c r="G333">
        <v>14.197571460000001</v>
      </c>
      <c r="H333">
        <v>19.980854140000002</v>
      </c>
      <c r="I333">
        <v>3.506514497</v>
      </c>
      <c r="J333">
        <v>3.0393560009999998</v>
      </c>
      <c r="K333">
        <v>38.82706469</v>
      </c>
      <c r="L333">
        <v>7.0182845880000002</v>
      </c>
      <c r="M333">
        <v>14.197571460000001</v>
      </c>
      <c r="N333">
        <v>6.8737014999999999E-2</v>
      </c>
      <c r="O333">
        <v>29.37805367</v>
      </c>
      <c r="P333">
        <v>251.477413108077</v>
      </c>
      <c r="Q333">
        <v>5.3060215857799999</v>
      </c>
      <c r="R333">
        <v>0.74759449748962203</v>
      </c>
      <c r="S333">
        <v>0.141837249767329</v>
      </c>
      <c r="T333">
        <v>0.15562268195252901</v>
      </c>
      <c r="U333">
        <v>0.55735013765583996</v>
      </c>
      <c r="V333">
        <v>0.34257874232471902</v>
      </c>
      <c r="W333">
        <v>0.373134551447035</v>
      </c>
      <c r="X333">
        <v>9.1977647615395106E-2</v>
      </c>
      <c r="Y333">
        <v>0.36809917934130199</v>
      </c>
      <c r="Z333">
        <v>0.21540708042016901</v>
      </c>
      <c r="AA333">
        <v>1.21260017141419E-4</v>
      </c>
    </row>
    <row r="334" spans="1:27" x14ac:dyDescent="0.55000000000000004">
      <c r="A334">
        <v>333</v>
      </c>
      <c r="B334">
        <v>19.37447332</v>
      </c>
      <c r="C334">
        <v>-4.8932508319999997</v>
      </c>
      <c r="D334">
        <v>2.1967169449999999</v>
      </c>
      <c r="E334">
        <v>38.555461979999997</v>
      </c>
      <c r="F334">
        <v>7.0676170169999999</v>
      </c>
      <c r="G334">
        <v>14.077273269999999</v>
      </c>
      <c r="H334">
        <v>19.37447332</v>
      </c>
      <c r="I334">
        <v>4.8932508319999997</v>
      </c>
      <c r="J334">
        <v>2.1967169449999999</v>
      </c>
      <c r="K334">
        <v>38.555461979999997</v>
      </c>
      <c r="L334">
        <v>7.0676170169999999</v>
      </c>
      <c r="M334">
        <v>14.077273269999999</v>
      </c>
      <c r="N334">
        <v>6.6921875000000006E-2</v>
      </c>
      <c r="O334">
        <v>27.215213779999999</v>
      </c>
      <c r="P334">
        <v>251.477413108077</v>
      </c>
      <c r="Q334">
        <v>18.498288731900001</v>
      </c>
      <c r="R334">
        <v>0.72468685498857999</v>
      </c>
      <c r="S334">
        <v>0.198201949175699</v>
      </c>
      <c r="T334">
        <v>0.11241168566142</v>
      </c>
      <c r="U334">
        <v>0.54959924634669199</v>
      </c>
      <c r="V334">
        <v>0.34500498824263598</v>
      </c>
      <c r="W334">
        <v>0.36651199172294602</v>
      </c>
      <c r="X334">
        <v>8.9405098102242703E-2</v>
      </c>
      <c r="Y334">
        <v>0.34004561913625803</v>
      </c>
      <c r="Z334">
        <v>0.21540708042016901</v>
      </c>
      <c r="AA334">
        <v>4.2618299887373198E-4</v>
      </c>
    </row>
    <row r="335" spans="1:27" x14ac:dyDescent="0.55000000000000004">
      <c r="A335">
        <v>334</v>
      </c>
      <c r="B335">
        <v>19.25312186</v>
      </c>
      <c r="C335">
        <v>-2.7479024949999999</v>
      </c>
      <c r="D335">
        <v>3.5586518310000002</v>
      </c>
      <c r="E335">
        <v>37.126927100000003</v>
      </c>
      <c r="F335">
        <v>7.2175003880000004</v>
      </c>
      <c r="G335">
        <v>13.7401178</v>
      </c>
      <c r="H335">
        <v>19.25312186</v>
      </c>
      <c r="I335">
        <v>2.7479024949999999</v>
      </c>
      <c r="J335">
        <v>3.5586518310000002</v>
      </c>
      <c r="K335">
        <v>37.126927100000003</v>
      </c>
      <c r="L335">
        <v>7.2175003880000004</v>
      </c>
      <c r="M335">
        <v>13.7401178</v>
      </c>
      <c r="N335">
        <v>6.4697756999999995E-2</v>
      </c>
      <c r="O335">
        <v>34.737789149999998</v>
      </c>
      <c r="P335">
        <v>251.477413108077</v>
      </c>
      <c r="Q335">
        <v>4.5572253427599998</v>
      </c>
      <c r="R335">
        <v>0.72010248198242299</v>
      </c>
      <c r="S335">
        <v>0.111003026720659</v>
      </c>
      <c r="T335">
        <v>0.18225245898973</v>
      </c>
      <c r="U335">
        <v>0.50883227982339696</v>
      </c>
      <c r="V335">
        <v>0.35237648655366299</v>
      </c>
      <c r="W335">
        <v>0.34795117849393498</v>
      </c>
      <c r="X335">
        <v>8.6252914976922501E-2</v>
      </c>
      <c r="Y335">
        <v>0.43761873216002201</v>
      </c>
      <c r="Z335">
        <v>0.21540708042016901</v>
      </c>
      <c r="AA335">
        <v>1.0395251566327E-4</v>
      </c>
    </row>
    <row r="336" spans="1:27" x14ac:dyDescent="0.55000000000000004">
      <c r="A336">
        <v>335</v>
      </c>
      <c r="B336">
        <v>20.645215090000001</v>
      </c>
      <c r="C336">
        <v>-0.28829680299999999</v>
      </c>
      <c r="D336">
        <v>4.8693730840000002</v>
      </c>
      <c r="E336">
        <v>46.486927600000001</v>
      </c>
      <c r="F336">
        <v>5.8176523610000004</v>
      </c>
      <c r="G336">
        <v>14.11799948</v>
      </c>
      <c r="H336">
        <v>20.645215090000001</v>
      </c>
      <c r="I336">
        <v>0.28829680299999999</v>
      </c>
      <c r="J336">
        <v>4.8693730840000002</v>
      </c>
      <c r="K336">
        <v>46.486927600000001</v>
      </c>
      <c r="L336">
        <v>5.8176523610000004</v>
      </c>
      <c r="M336">
        <v>14.11799948</v>
      </c>
      <c r="N336">
        <v>4.1522684999999997E-2</v>
      </c>
      <c r="O336">
        <v>17.04885483</v>
      </c>
      <c r="P336">
        <v>125.738706554038</v>
      </c>
      <c r="Q336">
        <v>0.51436490777199995</v>
      </c>
      <c r="R336">
        <v>0.77269249305988497</v>
      </c>
      <c r="S336">
        <v>1.10309325354319E-2</v>
      </c>
      <c r="T336">
        <v>0.24946696892583201</v>
      </c>
      <c r="U336">
        <v>0.77594429254620001</v>
      </c>
      <c r="V336">
        <v>0.28352977395387202</v>
      </c>
      <c r="W336">
        <v>0.36875401845718703</v>
      </c>
      <c r="X336">
        <v>5.3407503498539198E-2</v>
      </c>
      <c r="Y336">
        <v>0.20818076673152799</v>
      </c>
      <c r="Z336">
        <v>0.10770354021008401</v>
      </c>
      <c r="AA336" s="1">
        <v>1.0506783787933599E-5</v>
      </c>
    </row>
    <row r="337" spans="1:27" x14ac:dyDescent="0.55000000000000004">
      <c r="A337">
        <v>336</v>
      </c>
      <c r="B337">
        <v>20.318883329999998</v>
      </c>
      <c r="C337">
        <v>-0.19945178899999999</v>
      </c>
      <c r="D337">
        <v>5.0352719590000001</v>
      </c>
      <c r="E337">
        <v>40.463733220000002</v>
      </c>
      <c r="F337">
        <v>5.2770879070000003</v>
      </c>
      <c r="G337">
        <v>12.96319808</v>
      </c>
      <c r="H337">
        <v>20.318883329999998</v>
      </c>
      <c r="I337">
        <v>0.19945178899999999</v>
      </c>
      <c r="J337">
        <v>5.0352719590000001</v>
      </c>
      <c r="K337">
        <v>40.463733220000002</v>
      </c>
      <c r="L337">
        <v>5.2770879070000003</v>
      </c>
      <c r="M337">
        <v>12.96319808</v>
      </c>
      <c r="N337">
        <v>6.0846670999999998E-2</v>
      </c>
      <c r="O337">
        <v>22.259925840000001</v>
      </c>
      <c r="P337">
        <v>17.962672364862598</v>
      </c>
      <c r="Q337">
        <v>208.03167984699999</v>
      </c>
      <c r="R337">
        <v>0.76036444598409503</v>
      </c>
      <c r="S337">
        <v>7.4197756185385997E-3</v>
      </c>
      <c r="T337">
        <v>0.25797435488341303</v>
      </c>
      <c r="U337">
        <v>0.60405674041813395</v>
      </c>
      <c r="V337">
        <v>0.256943969717709</v>
      </c>
      <c r="W337">
        <v>0.305180815560611</v>
      </c>
      <c r="X337">
        <v>8.07948734955998E-2</v>
      </c>
      <c r="Y337">
        <v>0.27577203642638898</v>
      </c>
      <c r="Z337">
        <v>1.5386220030012001E-2</v>
      </c>
      <c r="AA337">
        <v>4.8070135351663901E-3</v>
      </c>
    </row>
    <row r="338" spans="1:27" x14ac:dyDescent="0.55000000000000004">
      <c r="A338">
        <v>337</v>
      </c>
      <c r="B338">
        <v>16.71146375</v>
      </c>
      <c r="C338">
        <v>0.99438772200000003</v>
      </c>
      <c r="D338">
        <v>6.4529448790000004</v>
      </c>
      <c r="E338">
        <v>26.259453319999999</v>
      </c>
      <c r="F338">
        <v>4.057278138</v>
      </c>
      <c r="G338">
        <v>9.0392839840000008</v>
      </c>
      <c r="H338">
        <v>16.71146375</v>
      </c>
      <c r="I338">
        <v>0.99438772200000003</v>
      </c>
      <c r="J338">
        <v>6.4529448790000004</v>
      </c>
      <c r="K338">
        <v>26.259453319999999</v>
      </c>
      <c r="L338">
        <v>4.057278138</v>
      </c>
      <c r="M338">
        <v>9.0392839840000008</v>
      </c>
      <c r="N338">
        <v>6.5881677E-2</v>
      </c>
      <c r="O338">
        <v>26.63552284</v>
      </c>
      <c r="P338">
        <v>301.866624537257</v>
      </c>
      <c r="Q338">
        <v>13.839375216100001</v>
      </c>
      <c r="R338">
        <v>0.62408461099541801</v>
      </c>
      <c r="S338">
        <v>3.9730405823852601E-2</v>
      </c>
      <c r="T338">
        <v>0.33067340538662698</v>
      </c>
      <c r="U338">
        <v>0.19870058756674799</v>
      </c>
      <c r="V338">
        <v>0.19695181987503199</v>
      </c>
      <c r="W338">
        <v>8.9164635658384797E-2</v>
      </c>
      <c r="X338">
        <v>8.7930853218386798E-2</v>
      </c>
      <c r="Y338">
        <v>0.33252661841836001</v>
      </c>
      <c r="Z338">
        <v>0.258568781443273</v>
      </c>
      <c r="AA338">
        <v>3.1849795996906301E-4</v>
      </c>
    </row>
    <row r="339" spans="1:27" x14ac:dyDescent="0.55000000000000004">
      <c r="A339">
        <v>338</v>
      </c>
      <c r="B339">
        <v>16.35127082</v>
      </c>
      <c r="C339">
        <v>1.038623109</v>
      </c>
      <c r="D339">
        <v>6.6135015910000003</v>
      </c>
      <c r="E339">
        <v>25.86490774</v>
      </c>
      <c r="F339">
        <v>4.280261565</v>
      </c>
      <c r="G339">
        <v>8.8624057730000008</v>
      </c>
      <c r="H339">
        <v>16.35127082</v>
      </c>
      <c r="I339">
        <v>1.038623109</v>
      </c>
      <c r="J339">
        <v>6.6135015910000003</v>
      </c>
      <c r="K339">
        <v>25.86490774</v>
      </c>
      <c r="L339">
        <v>4.280261565</v>
      </c>
      <c r="M339">
        <v>8.8624057730000008</v>
      </c>
      <c r="N339">
        <v>7.1956769000000004E-2</v>
      </c>
      <c r="O339">
        <v>35.611888890000003</v>
      </c>
      <c r="P339">
        <v>301.866624537257</v>
      </c>
      <c r="Q339">
        <v>10.0503561034</v>
      </c>
      <c r="R339">
        <v>0.61047736848428003</v>
      </c>
      <c r="S339">
        <v>4.1528378681806102E-2</v>
      </c>
      <c r="T339">
        <v>0.33890684227439499</v>
      </c>
      <c r="U339">
        <v>0.18744120099035999</v>
      </c>
      <c r="V339">
        <v>0.20791849312604599</v>
      </c>
      <c r="W339">
        <v>7.9427277879041594E-2</v>
      </c>
      <c r="X339">
        <v>9.6540919090416594E-2</v>
      </c>
      <c r="Y339">
        <v>0.44895642284839898</v>
      </c>
      <c r="Z339">
        <v>0.258568781443273</v>
      </c>
      <c r="AA339">
        <v>2.3091945713189099E-4</v>
      </c>
    </row>
    <row r="340" spans="1:27" x14ac:dyDescent="0.55000000000000004">
      <c r="A340">
        <v>339</v>
      </c>
      <c r="B340">
        <v>17.344485250000002</v>
      </c>
      <c r="C340">
        <v>-1.159981983</v>
      </c>
      <c r="D340">
        <v>5.4535512800000001</v>
      </c>
      <c r="E340">
        <v>27.399451849999998</v>
      </c>
      <c r="F340">
        <v>7.9483517929999996</v>
      </c>
      <c r="G340">
        <v>12.132436970000001</v>
      </c>
      <c r="H340">
        <v>17.344485250000002</v>
      </c>
      <c r="I340">
        <v>1.159981983</v>
      </c>
      <c r="J340">
        <v>5.4535512800000001</v>
      </c>
      <c r="K340">
        <v>27.399451849999998</v>
      </c>
      <c r="L340">
        <v>7.9483517929999996</v>
      </c>
      <c r="M340">
        <v>12.132436970000001</v>
      </c>
      <c r="N340">
        <v>8.5017458000000004E-2</v>
      </c>
      <c r="O340">
        <v>20.691194530000001</v>
      </c>
      <c r="P340">
        <v>169.052405637265</v>
      </c>
      <c r="Q340">
        <v>7.3266975327499999</v>
      </c>
      <c r="R340">
        <v>0.64799867578637405</v>
      </c>
      <c r="S340">
        <v>4.6461080220594503E-2</v>
      </c>
      <c r="T340">
        <v>0.279423949534505</v>
      </c>
      <c r="U340">
        <v>0.231233417223043</v>
      </c>
      <c r="V340">
        <v>0.38832090027764499</v>
      </c>
      <c r="W340">
        <v>0.25944641949509301</v>
      </c>
      <c r="X340">
        <v>0.11505148528827799</v>
      </c>
      <c r="Y340">
        <v>0.25542448390800898</v>
      </c>
      <c r="Z340">
        <v>0.144804595714046</v>
      </c>
      <c r="AA340">
        <v>1.6796544904635699E-4</v>
      </c>
    </row>
    <row r="341" spans="1:27" x14ac:dyDescent="0.55000000000000004">
      <c r="A341">
        <v>340</v>
      </c>
      <c r="B341">
        <v>17.241629209999999</v>
      </c>
      <c r="C341">
        <v>-1.485634508</v>
      </c>
      <c r="D341">
        <v>5.286354062</v>
      </c>
      <c r="E341">
        <v>27.68682321</v>
      </c>
      <c r="F341">
        <v>8.8689794489999993</v>
      </c>
      <c r="G341">
        <v>12.63981633</v>
      </c>
      <c r="H341">
        <v>17.241629209999999</v>
      </c>
      <c r="I341">
        <v>1.485634508</v>
      </c>
      <c r="J341">
        <v>5.286354062</v>
      </c>
      <c r="K341">
        <v>27.68682321</v>
      </c>
      <c r="L341">
        <v>8.8689794489999993</v>
      </c>
      <c r="M341">
        <v>12.63981633</v>
      </c>
      <c r="N341">
        <v>0.14041420800000001</v>
      </c>
      <c r="O341">
        <v>37.456756589999998</v>
      </c>
      <c r="P341">
        <v>526.40489269728801</v>
      </c>
      <c r="Q341">
        <v>22.184422207499999</v>
      </c>
      <c r="R341">
        <v>0.64411301628713002</v>
      </c>
      <c r="S341">
        <v>5.9697415218048597E-2</v>
      </c>
      <c r="T341">
        <v>0.27084998383063902</v>
      </c>
      <c r="U341">
        <v>0.23943430806364599</v>
      </c>
      <c r="V341">
        <v>0.43359880646570798</v>
      </c>
      <c r="W341">
        <v>0.28737826214683798</v>
      </c>
      <c r="X341">
        <v>0.19356382166052799</v>
      </c>
      <c r="Y341">
        <v>0.47288565928036203</v>
      </c>
      <c r="Z341">
        <v>0.45090069781369602</v>
      </c>
      <c r="AA341">
        <v>5.1138342712414196E-4</v>
      </c>
    </row>
    <row r="342" spans="1:27" x14ac:dyDescent="0.55000000000000004">
      <c r="A342">
        <v>341</v>
      </c>
      <c r="B342">
        <v>17.367962080000002</v>
      </c>
      <c r="C342">
        <v>-0.86533018299999998</v>
      </c>
      <c r="D342">
        <v>5.7446659010000003</v>
      </c>
      <c r="E342">
        <v>27.119770970000001</v>
      </c>
      <c r="F342">
        <v>8.1302020250000009</v>
      </c>
      <c r="G342">
        <v>11.597231450000001</v>
      </c>
      <c r="H342">
        <v>17.367962080000002</v>
      </c>
      <c r="I342">
        <v>0.86533018299999998</v>
      </c>
      <c r="J342">
        <v>5.7446659010000003</v>
      </c>
      <c r="K342">
        <v>27.119770970000001</v>
      </c>
      <c r="L342">
        <v>8.1302020250000009</v>
      </c>
      <c r="M342">
        <v>11.597231450000001</v>
      </c>
      <c r="N342">
        <v>0.124476589</v>
      </c>
      <c r="O342">
        <v>31.707578659999999</v>
      </c>
      <c r="P342">
        <v>42.263101409316199</v>
      </c>
      <c r="Q342">
        <v>74.091119479699998</v>
      </c>
      <c r="R342">
        <v>0.64888557525772905</v>
      </c>
      <c r="S342">
        <v>3.4484787598871802E-2</v>
      </c>
      <c r="T342">
        <v>0.29435246811994997</v>
      </c>
      <c r="U342">
        <v>0.223251994275802</v>
      </c>
      <c r="V342">
        <v>0.39726457874647197</v>
      </c>
      <c r="W342">
        <v>0.22998271334239201</v>
      </c>
      <c r="X342">
        <v>0.170975859299907</v>
      </c>
      <c r="Y342">
        <v>0.39831476296275897</v>
      </c>
      <c r="Z342">
        <v>3.6201148928511603E-2</v>
      </c>
      <c r="AA342">
        <v>1.71114270495008E-3</v>
      </c>
    </row>
    <row r="343" spans="1:27" x14ac:dyDescent="0.55000000000000004">
      <c r="A343">
        <v>342</v>
      </c>
      <c r="B343">
        <v>17.088063900000002</v>
      </c>
      <c r="C343">
        <v>-2.7812164610000001</v>
      </c>
      <c r="D343">
        <v>4.5197364029999996</v>
      </c>
      <c r="E343">
        <v>29.158245390000001</v>
      </c>
      <c r="F343">
        <v>10.67940274</v>
      </c>
      <c r="G343">
        <v>15.52282158</v>
      </c>
      <c r="H343">
        <v>17.088063900000002</v>
      </c>
      <c r="I343">
        <v>2.7812164610000001</v>
      </c>
      <c r="J343">
        <v>4.5197364029999996</v>
      </c>
      <c r="K343">
        <v>29.158245390000001</v>
      </c>
      <c r="L343">
        <v>10.67940274</v>
      </c>
      <c r="M343">
        <v>15.52282158</v>
      </c>
      <c r="N343">
        <v>0.113306157</v>
      </c>
      <c r="O343">
        <v>39.984790799999999</v>
      </c>
      <c r="P343">
        <v>289.526205305784</v>
      </c>
      <c r="Q343">
        <v>4.4177926418300002</v>
      </c>
      <c r="R343">
        <v>0.638311679724338</v>
      </c>
      <c r="S343">
        <v>0.11235709211311901</v>
      </c>
      <c r="T343">
        <v>0.23153740677422199</v>
      </c>
      <c r="U343">
        <v>0.28142517548558399</v>
      </c>
      <c r="V343">
        <v>0.52263825188791102</v>
      </c>
      <c r="W343">
        <v>0.446091160927653</v>
      </c>
      <c r="X343">
        <v>0.15514430393596601</v>
      </c>
      <c r="Y343">
        <v>0.505676047620502</v>
      </c>
      <c r="Z343">
        <v>0.24799839404760601</v>
      </c>
      <c r="AA343">
        <v>1.0072970077878901E-4</v>
      </c>
    </row>
    <row r="344" spans="1:27" x14ac:dyDescent="0.55000000000000004">
      <c r="A344">
        <v>343</v>
      </c>
      <c r="B344">
        <v>21.373767959999999</v>
      </c>
      <c r="C344">
        <v>-1.69877666</v>
      </c>
      <c r="D344">
        <v>3.8090670069999999</v>
      </c>
      <c r="E344">
        <v>34.437301769999998</v>
      </c>
      <c r="F344">
        <v>12.011093170000001</v>
      </c>
      <c r="G344">
        <v>17.59543485</v>
      </c>
      <c r="H344">
        <v>21.373767959999999</v>
      </c>
      <c r="I344">
        <v>1.69877666</v>
      </c>
      <c r="J344">
        <v>3.8090670069999999</v>
      </c>
      <c r="K344">
        <v>34.437301769999998</v>
      </c>
      <c r="L344">
        <v>12.011093170000001</v>
      </c>
      <c r="M344">
        <v>17.59543485</v>
      </c>
      <c r="N344">
        <v>8.1970504999999999E-2</v>
      </c>
      <c r="O344">
        <v>24.81790161</v>
      </c>
      <c r="P344">
        <v>0</v>
      </c>
      <c r="Q344">
        <v>9.5539078394000008</v>
      </c>
      <c r="R344">
        <v>0.80021550852905499</v>
      </c>
      <c r="S344">
        <v>6.8360701111349398E-2</v>
      </c>
      <c r="T344">
        <v>0.195093887551965</v>
      </c>
      <c r="U344">
        <v>0.432076810059637</v>
      </c>
      <c r="V344">
        <v>0.58813286740170001</v>
      </c>
      <c r="W344">
        <v>0.56019100869355098</v>
      </c>
      <c r="X344">
        <v>0.110733120062043</v>
      </c>
      <c r="Y344">
        <v>0.308950787936626</v>
      </c>
      <c r="Z344">
        <v>0</v>
      </c>
      <c r="AA344">
        <v>2.1944466790438301E-4</v>
      </c>
    </row>
    <row r="345" spans="1:27" x14ac:dyDescent="0.55000000000000004">
      <c r="A345">
        <v>344</v>
      </c>
      <c r="B345">
        <v>20.662227130000002</v>
      </c>
      <c r="C345">
        <v>-2.4598999199999998</v>
      </c>
      <c r="D345">
        <v>3.5016652509999999</v>
      </c>
      <c r="E345">
        <v>40.444615370000001</v>
      </c>
      <c r="F345">
        <v>6.1802827340000004</v>
      </c>
      <c r="G345">
        <v>13.834826959999999</v>
      </c>
      <c r="H345">
        <v>20.662227130000002</v>
      </c>
      <c r="I345">
        <v>2.4598999199999998</v>
      </c>
      <c r="J345">
        <v>3.5016652509999999</v>
      </c>
      <c r="K345">
        <v>40.444615370000001</v>
      </c>
      <c r="L345">
        <v>6.1802827340000004</v>
      </c>
      <c r="M345">
        <v>13.834826959999999</v>
      </c>
      <c r="N345">
        <v>4.1341383000000002E-2</v>
      </c>
      <c r="O345">
        <v>22.699823380000002</v>
      </c>
      <c r="P345">
        <v>125.738706554038</v>
      </c>
      <c r="Q345">
        <v>0.998688124781</v>
      </c>
      <c r="R345">
        <v>0.77333516795605595</v>
      </c>
      <c r="S345">
        <v>9.9296995690101406E-2</v>
      </c>
      <c r="T345">
        <v>0.179330155686211</v>
      </c>
      <c r="U345">
        <v>0.60351116273441097</v>
      </c>
      <c r="V345">
        <v>0.30136450214461002</v>
      </c>
      <c r="W345">
        <v>0.35316503140825001</v>
      </c>
      <c r="X345">
        <v>5.3150549009170003E-2</v>
      </c>
      <c r="Y345">
        <v>0.281477818060757</v>
      </c>
      <c r="Z345">
        <v>0.10770354021008401</v>
      </c>
      <c r="AA345" s="1">
        <v>2.1701317511123501E-5</v>
      </c>
    </row>
    <row r="346" spans="1:27" x14ac:dyDescent="0.55000000000000004">
      <c r="A346">
        <v>345</v>
      </c>
      <c r="B346">
        <v>20.457098850000001</v>
      </c>
      <c r="C346">
        <v>-2.2766007680000002</v>
      </c>
      <c r="D346">
        <v>3.8010170539999999</v>
      </c>
      <c r="E346">
        <v>42.064030760000001</v>
      </c>
      <c r="F346">
        <v>6.8937296740000003</v>
      </c>
      <c r="G346">
        <v>15.000031829999999</v>
      </c>
      <c r="H346">
        <v>20.457098850000001</v>
      </c>
      <c r="I346">
        <v>2.2766007680000002</v>
      </c>
      <c r="J346">
        <v>3.8010170539999999</v>
      </c>
      <c r="K346">
        <v>42.064030760000001</v>
      </c>
      <c r="L346">
        <v>6.8937296740000003</v>
      </c>
      <c r="M346">
        <v>15.000031829999999</v>
      </c>
      <c r="N346">
        <v>4.5803599E-2</v>
      </c>
      <c r="O346">
        <v>17.139656070000001</v>
      </c>
      <c r="P346">
        <v>125.738706554038</v>
      </c>
      <c r="Q346">
        <v>1.62837007612</v>
      </c>
      <c r="R346">
        <v>0.76558590354974798</v>
      </c>
      <c r="S346">
        <v>9.1846695771127099E-2</v>
      </c>
      <c r="T346">
        <v>0.19468108151508601</v>
      </c>
      <c r="U346">
        <v>0.64972540217352104</v>
      </c>
      <c r="V346">
        <v>0.33645293709325602</v>
      </c>
      <c r="W346">
        <v>0.41731095781307398</v>
      </c>
      <c r="X346">
        <v>5.94747287409709E-2</v>
      </c>
      <c r="Y346">
        <v>0.20935852291441101</v>
      </c>
      <c r="Z346">
        <v>0.10770354021008401</v>
      </c>
      <c r="AA346" s="1">
        <v>3.6255639070763801E-5</v>
      </c>
    </row>
    <row r="347" spans="1:27" x14ac:dyDescent="0.55000000000000004">
      <c r="A347">
        <v>346</v>
      </c>
      <c r="B347">
        <v>20.449944810000002</v>
      </c>
      <c r="C347">
        <v>-2.9039273099999998</v>
      </c>
      <c r="D347">
        <v>3.5895317709999999</v>
      </c>
      <c r="E347">
        <v>39.72619692</v>
      </c>
      <c r="F347">
        <v>6.0046433329999997</v>
      </c>
      <c r="G347">
        <v>14.60772586</v>
      </c>
      <c r="H347">
        <v>20.449944810000002</v>
      </c>
      <c r="I347">
        <v>2.9039273099999998</v>
      </c>
      <c r="J347">
        <v>3.5895317709999999</v>
      </c>
      <c r="K347">
        <v>39.72619692</v>
      </c>
      <c r="L347">
        <v>6.0046433329999997</v>
      </c>
      <c r="M347">
        <v>14.60772586</v>
      </c>
      <c r="N347">
        <v>6.4195529000000001E-2</v>
      </c>
      <c r="O347">
        <v>26.288860320000001</v>
      </c>
      <c r="P347">
        <v>31.4346766385096</v>
      </c>
      <c r="Q347">
        <v>86.918422793299996</v>
      </c>
      <c r="R347">
        <v>0.76531564072916902</v>
      </c>
      <c r="S347">
        <v>0.11734474545677399</v>
      </c>
      <c r="T347">
        <v>0.183835999371948</v>
      </c>
      <c r="U347">
        <v>0.58300921958208995</v>
      </c>
      <c r="V347">
        <v>0.29272628204598899</v>
      </c>
      <c r="W347">
        <v>0.39571404337536398</v>
      </c>
      <c r="X347">
        <v>8.55411206266843E-2</v>
      </c>
      <c r="Y347">
        <v>0.32803016081157299</v>
      </c>
      <c r="Z347">
        <v>2.6925885052521099E-2</v>
      </c>
      <c r="AA347">
        <v>2.0076299978956302E-3</v>
      </c>
    </row>
    <row r="348" spans="1:27" x14ac:dyDescent="0.55000000000000004">
      <c r="A348">
        <v>347</v>
      </c>
      <c r="B348">
        <v>20.69090293</v>
      </c>
      <c r="C348">
        <v>-1.272888824</v>
      </c>
      <c r="D348">
        <v>4.6717820750000003</v>
      </c>
      <c r="E348">
        <v>37.685327690000001</v>
      </c>
      <c r="F348">
        <v>6.2248199099999999</v>
      </c>
      <c r="G348">
        <v>14.917897959999999</v>
      </c>
      <c r="H348">
        <v>20.69090293</v>
      </c>
      <c r="I348">
        <v>1.272888824</v>
      </c>
      <c r="J348">
        <v>4.6717820750000003</v>
      </c>
      <c r="K348">
        <v>37.685327690000001</v>
      </c>
      <c r="L348">
        <v>6.2248199099999999</v>
      </c>
      <c r="M348">
        <v>14.917897959999999</v>
      </c>
      <c r="N348">
        <v>4.9564783000000001E-2</v>
      </c>
      <c r="O348">
        <v>18.609004970000001</v>
      </c>
      <c r="P348">
        <v>125.738706554038</v>
      </c>
      <c r="Q348">
        <v>2.5797453514100002</v>
      </c>
      <c r="R348">
        <v>0.77441847229742899</v>
      </c>
      <c r="S348">
        <v>5.1050243995634403E-2</v>
      </c>
      <c r="T348">
        <v>0.23933439282903299</v>
      </c>
      <c r="U348">
        <v>0.52476769622647301</v>
      </c>
      <c r="V348">
        <v>0.30355491002956397</v>
      </c>
      <c r="W348">
        <v>0.412789389704315</v>
      </c>
      <c r="X348">
        <v>6.4805354515333605E-2</v>
      </c>
      <c r="Y348">
        <v>0.228417015417231</v>
      </c>
      <c r="Z348">
        <v>0.10770354021008401</v>
      </c>
      <c r="AA348" s="1">
        <v>5.8245504988021799E-5</v>
      </c>
    </row>
    <row r="349" spans="1:27" x14ac:dyDescent="0.55000000000000004">
      <c r="A349">
        <v>348</v>
      </c>
      <c r="B349">
        <v>20.745259040000001</v>
      </c>
      <c r="C349">
        <v>-1.2579232460000001</v>
      </c>
      <c r="D349">
        <v>4.7028469939999997</v>
      </c>
      <c r="E349">
        <v>37.946789369999998</v>
      </c>
      <c r="F349">
        <v>6.2341024230000004</v>
      </c>
      <c r="G349">
        <v>14.75485802</v>
      </c>
      <c r="H349">
        <v>20.745259040000001</v>
      </c>
      <c r="I349">
        <v>1.2579232460000001</v>
      </c>
      <c r="J349">
        <v>4.7028469939999997</v>
      </c>
      <c r="K349">
        <v>37.946789369999998</v>
      </c>
      <c r="L349">
        <v>6.2341024230000004</v>
      </c>
      <c r="M349">
        <v>14.75485802</v>
      </c>
      <c r="N349">
        <v>4.6499472E-2</v>
      </c>
      <c r="O349">
        <v>16.333528520000002</v>
      </c>
      <c r="P349">
        <v>125.738706554038</v>
      </c>
      <c r="Q349">
        <v>55.851722089900001</v>
      </c>
      <c r="R349">
        <v>0.77647191840680196</v>
      </c>
      <c r="S349">
        <v>5.0441959432698698E-2</v>
      </c>
      <c r="T349">
        <v>0.24092741903655801</v>
      </c>
      <c r="U349">
        <v>0.53222918681022802</v>
      </c>
      <c r="V349">
        <v>0.30401143851864898</v>
      </c>
      <c r="W349">
        <v>0.40381384535022402</v>
      </c>
      <c r="X349">
        <v>6.0460970985296902E-2</v>
      </c>
      <c r="Y349">
        <v>0.19890247951451301</v>
      </c>
      <c r="Z349">
        <v>0.10770354021008401</v>
      </c>
      <c r="AA349">
        <v>1.28956153353375E-3</v>
      </c>
    </row>
    <row r="350" spans="1:27" x14ac:dyDescent="0.55000000000000004">
      <c r="A350">
        <v>349</v>
      </c>
      <c r="B350">
        <v>19.456492130000001</v>
      </c>
      <c r="C350">
        <v>-1.3041235360000001</v>
      </c>
      <c r="D350">
        <v>4.513948815</v>
      </c>
      <c r="E350">
        <v>35.608218690000001</v>
      </c>
      <c r="F350">
        <v>6.8224979450000003</v>
      </c>
      <c r="G350">
        <v>13.27775493</v>
      </c>
      <c r="H350">
        <v>19.456492130000001</v>
      </c>
      <c r="I350">
        <v>1.3041235360000001</v>
      </c>
      <c r="J350">
        <v>4.513948815</v>
      </c>
      <c r="K350">
        <v>35.608218690000001</v>
      </c>
      <c r="L350">
        <v>6.8224979450000003</v>
      </c>
      <c r="M350">
        <v>13.27775493</v>
      </c>
      <c r="N350">
        <v>3.6212004999999999E-2</v>
      </c>
      <c r="O350">
        <v>23.757375719999999</v>
      </c>
      <c r="P350">
        <v>251.477413108077</v>
      </c>
      <c r="Q350">
        <v>3.9486813924100002</v>
      </c>
      <c r="R350">
        <v>0.72778533290191605</v>
      </c>
      <c r="S350">
        <v>5.2319796908147503E-2</v>
      </c>
      <c r="T350">
        <v>0.23124061606434199</v>
      </c>
      <c r="U350">
        <v>0.46549197656869701</v>
      </c>
      <c r="V350">
        <v>0.33294964939354899</v>
      </c>
      <c r="W350">
        <v>0.32249754763900801</v>
      </c>
      <c r="X350">
        <v>4.5880818367635599E-2</v>
      </c>
      <c r="Y350">
        <v>0.29519501847737001</v>
      </c>
      <c r="Z350">
        <v>0.21540708042016901</v>
      </c>
      <c r="AA350" s="1">
        <v>8.9886772921662396E-5</v>
      </c>
    </row>
    <row r="351" spans="1:27" x14ac:dyDescent="0.55000000000000004">
      <c r="A351">
        <v>350</v>
      </c>
      <c r="B351">
        <v>21.498962769999999</v>
      </c>
      <c r="C351">
        <v>-2.591804153</v>
      </c>
      <c r="D351">
        <v>3.882420175</v>
      </c>
      <c r="E351">
        <v>35.056457049999999</v>
      </c>
      <c r="F351">
        <v>6.4200167029999999</v>
      </c>
      <c r="G351">
        <v>14.60902518</v>
      </c>
      <c r="H351">
        <v>21.498962769999999</v>
      </c>
      <c r="I351">
        <v>2.591804153</v>
      </c>
      <c r="J351">
        <v>3.882420175</v>
      </c>
      <c r="K351">
        <v>35.056457049999999</v>
      </c>
      <c r="L351">
        <v>6.4200167029999999</v>
      </c>
      <c r="M351">
        <v>14.60902518</v>
      </c>
      <c r="N351">
        <v>4.7224916999999998E-2</v>
      </c>
      <c r="O351">
        <v>30.291084290000001</v>
      </c>
      <c r="P351">
        <v>125.738706554038</v>
      </c>
      <c r="Q351">
        <v>35.366716129899999</v>
      </c>
      <c r="R351">
        <v>0.80494507426707795</v>
      </c>
      <c r="S351">
        <v>0.10465831943715399</v>
      </c>
      <c r="T351">
        <v>0.19885547852952501</v>
      </c>
      <c r="U351">
        <v>0.44974601990943902</v>
      </c>
      <c r="V351">
        <v>0.31315499321635998</v>
      </c>
      <c r="W351">
        <v>0.39578557250062102</v>
      </c>
      <c r="X351">
        <v>6.1489124836553E-2</v>
      </c>
      <c r="Y351">
        <v>0.37994183102608198</v>
      </c>
      <c r="Z351">
        <v>0.10770354021008401</v>
      </c>
      <c r="AA351">
        <v>8.1607589009265896E-4</v>
      </c>
    </row>
    <row r="352" spans="1:27" x14ac:dyDescent="0.55000000000000004">
      <c r="A352">
        <v>351</v>
      </c>
      <c r="B352">
        <v>20.547666549999999</v>
      </c>
      <c r="C352">
        <v>1.0220531639999999</v>
      </c>
      <c r="D352">
        <v>6.1815639989999998</v>
      </c>
      <c r="E352">
        <v>30.335546829999998</v>
      </c>
      <c r="F352">
        <v>6.2538454979999996</v>
      </c>
      <c r="G352">
        <v>11.19410633</v>
      </c>
      <c r="H352">
        <v>20.547666549999999</v>
      </c>
      <c r="I352">
        <v>1.0220531639999999</v>
      </c>
      <c r="J352">
        <v>6.1815639989999998</v>
      </c>
      <c r="K352">
        <v>30.335546829999998</v>
      </c>
      <c r="L352">
        <v>6.2538454979999996</v>
      </c>
      <c r="M352">
        <v>11.19410633</v>
      </c>
      <c r="N352">
        <v>4.8852238999999999E-2</v>
      </c>
      <c r="O352">
        <v>32.615467070000001</v>
      </c>
      <c r="P352">
        <v>77.662142283376596</v>
      </c>
      <c r="Q352">
        <v>57.564944486199998</v>
      </c>
      <c r="R352">
        <v>0.76900733843903402</v>
      </c>
      <c r="S352">
        <v>4.0854883695365003E-2</v>
      </c>
      <c r="T352">
        <v>0.31675684394117998</v>
      </c>
      <c r="U352">
        <v>0.31502254091519599</v>
      </c>
      <c r="V352">
        <v>0.30498243378681</v>
      </c>
      <c r="W352">
        <v>0.207790191713594</v>
      </c>
      <c r="X352">
        <v>6.3795484907314598E-2</v>
      </c>
      <c r="Y352">
        <v>0.41009071655375601</v>
      </c>
      <c r="Z352">
        <v>6.65227748356403E-2</v>
      </c>
      <c r="AA352">
        <v>1.32916055587496E-3</v>
      </c>
    </row>
    <row r="353" spans="1:27" x14ac:dyDescent="0.55000000000000004">
      <c r="A353">
        <v>352</v>
      </c>
      <c r="B353">
        <v>21.69885635</v>
      </c>
      <c r="C353">
        <v>-2.4501794299999999</v>
      </c>
      <c r="D353">
        <v>3.7533769860000001</v>
      </c>
      <c r="E353">
        <v>35.402983550000002</v>
      </c>
      <c r="F353">
        <v>7.0499947890000003</v>
      </c>
      <c r="G353">
        <v>16.188481759999998</v>
      </c>
      <c r="H353">
        <v>21.69885635</v>
      </c>
      <c r="I353">
        <v>2.4501794299999999</v>
      </c>
      <c r="J353">
        <v>3.7533769860000001</v>
      </c>
      <c r="K353">
        <v>35.402983550000002</v>
      </c>
      <c r="L353">
        <v>7.0499947890000003</v>
      </c>
      <c r="M353">
        <v>16.188481759999998</v>
      </c>
      <c r="N353">
        <v>7.6867029000000003E-2</v>
      </c>
      <c r="O353">
        <v>36.629653930000003</v>
      </c>
      <c r="P353">
        <v>184.90986257946801</v>
      </c>
      <c r="Q353">
        <v>0.58802183635799998</v>
      </c>
      <c r="R353">
        <v>0.81249658400792601</v>
      </c>
      <c r="S353">
        <v>9.8901900758841699E-2</v>
      </c>
      <c r="T353">
        <v>0.19223807251022501</v>
      </c>
      <c r="U353">
        <v>0.45963505686801498</v>
      </c>
      <c r="V353">
        <v>0.34413829954280301</v>
      </c>
      <c r="W353">
        <v>0.48273655266627702</v>
      </c>
      <c r="X353">
        <v>0.103500099634315</v>
      </c>
      <c r="Y353">
        <v>0.46215755389662799</v>
      </c>
      <c r="Z353">
        <v>0.15838755913247701</v>
      </c>
      <c r="AA353" s="1">
        <v>1.2209272832532201E-5</v>
      </c>
    </row>
    <row r="354" spans="1:27" x14ac:dyDescent="0.55000000000000004">
      <c r="A354">
        <v>353</v>
      </c>
      <c r="B354">
        <v>21.623254490000001</v>
      </c>
      <c r="C354">
        <v>-2.9008214560000001</v>
      </c>
      <c r="D354">
        <v>3.4547742640000001</v>
      </c>
      <c r="E354">
        <v>38.70231828</v>
      </c>
      <c r="F354">
        <v>6.9902352859999999</v>
      </c>
      <c r="G354">
        <v>16.769181790000001</v>
      </c>
      <c r="H354">
        <v>21.623254490000001</v>
      </c>
      <c r="I354">
        <v>2.9008214560000001</v>
      </c>
      <c r="J354">
        <v>3.4547742640000001</v>
      </c>
      <c r="K354">
        <v>38.70231828</v>
      </c>
      <c r="L354">
        <v>6.9902352859999999</v>
      </c>
      <c r="M354">
        <v>16.769181790000001</v>
      </c>
      <c r="N354">
        <v>7.7290534999999994E-2</v>
      </c>
      <c r="O354">
        <v>34.573925019999997</v>
      </c>
      <c r="P354">
        <v>184.90986257946801</v>
      </c>
      <c r="Q354">
        <v>3.91892980615</v>
      </c>
      <c r="R354">
        <v>0.809640523386988</v>
      </c>
      <c r="S354">
        <v>0.117218506226794</v>
      </c>
      <c r="T354">
        <v>0.17692555996884499</v>
      </c>
      <c r="U354">
        <v>0.55379017367346195</v>
      </c>
      <c r="V354">
        <v>0.34119923383796102</v>
      </c>
      <c r="W354">
        <v>0.51470478619044702</v>
      </c>
      <c r="X354">
        <v>0.10410032339342901</v>
      </c>
      <c r="Y354">
        <v>0.435493298715939</v>
      </c>
      <c r="Z354">
        <v>0.15838755913247701</v>
      </c>
      <c r="AA354" s="1">
        <v>8.9199101705397397E-5</v>
      </c>
    </row>
    <row r="355" spans="1:27" x14ac:dyDescent="0.55000000000000004">
      <c r="A355">
        <v>354</v>
      </c>
      <c r="B355">
        <v>21.252401649999999</v>
      </c>
      <c r="C355">
        <v>-3.2805018750000001</v>
      </c>
      <c r="D355">
        <v>3.2586653870000002</v>
      </c>
      <c r="E355">
        <v>37.2930858</v>
      </c>
      <c r="F355">
        <v>5.3979308899999996</v>
      </c>
      <c r="G355">
        <v>14.835437840000001</v>
      </c>
      <c r="H355">
        <v>21.252401649999999</v>
      </c>
      <c r="I355">
        <v>3.2805018750000001</v>
      </c>
      <c r="J355">
        <v>3.2586653870000002</v>
      </c>
      <c r="K355">
        <v>37.2930858</v>
      </c>
      <c r="L355">
        <v>5.3979308899999996</v>
      </c>
      <c r="M355">
        <v>14.835437840000001</v>
      </c>
      <c r="N355">
        <v>4.3961844999999999E-2</v>
      </c>
      <c r="O355">
        <v>19.464426039999999</v>
      </c>
      <c r="P355">
        <v>184.90986257946801</v>
      </c>
      <c r="Q355">
        <v>11.762202346800001</v>
      </c>
      <c r="R355">
        <v>0.79563057452479302</v>
      </c>
      <c r="S355">
        <v>0.13265083618602799</v>
      </c>
      <c r="T355">
        <v>0.16686898841978001</v>
      </c>
      <c r="U355">
        <v>0.51357405144920099</v>
      </c>
      <c r="V355">
        <v>0.26288721638437201</v>
      </c>
      <c r="W355">
        <v>0.408249861141537</v>
      </c>
      <c r="X355">
        <v>5.6864459915400102E-2</v>
      </c>
      <c r="Y355">
        <v>0.23951243056971699</v>
      </c>
      <c r="Z355">
        <v>0.15838755913247701</v>
      </c>
      <c r="AA355">
        <v>2.7048667139637102E-4</v>
      </c>
    </row>
    <row r="356" spans="1:27" x14ac:dyDescent="0.55000000000000004">
      <c r="A356">
        <v>355</v>
      </c>
      <c r="B356">
        <v>20.162846689999999</v>
      </c>
      <c r="C356">
        <v>0.44573956399999998</v>
      </c>
      <c r="D356">
        <v>5.4029603650000002</v>
      </c>
      <c r="E356">
        <v>37.125556860000003</v>
      </c>
      <c r="F356">
        <v>4.4116233490000001</v>
      </c>
      <c r="G356">
        <v>12.72184193</v>
      </c>
      <c r="H356">
        <v>20.162846689999999</v>
      </c>
      <c r="I356">
        <v>0.44573956399999998</v>
      </c>
      <c r="J356">
        <v>5.4029603650000002</v>
      </c>
      <c r="K356">
        <v>37.125556860000003</v>
      </c>
      <c r="L356">
        <v>4.4116233490000001</v>
      </c>
      <c r="M356">
        <v>12.72184193</v>
      </c>
      <c r="N356">
        <v>5.8342613000000001E-2</v>
      </c>
      <c r="O356">
        <v>22.49393654</v>
      </c>
      <c r="P356">
        <v>125.738706554038</v>
      </c>
      <c r="Q356">
        <v>70.130791490799993</v>
      </c>
      <c r="R356">
        <v>0.75446974838105496</v>
      </c>
      <c r="S356">
        <v>1.7430284505818398E-2</v>
      </c>
      <c r="T356">
        <v>0.27682961946534601</v>
      </c>
      <c r="U356">
        <v>0.50879317645323097</v>
      </c>
      <c r="V356">
        <v>0.21437907085677699</v>
      </c>
      <c r="W356">
        <v>0.29189386986216798</v>
      </c>
      <c r="X356">
        <v>7.7245938874135098E-2</v>
      </c>
      <c r="Y356">
        <v>0.27880732040252998</v>
      </c>
      <c r="Z356">
        <v>0.10770354021008401</v>
      </c>
      <c r="AA356">
        <v>1.61960460875798E-3</v>
      </c>
    </row>
    <row r="357" spans="1:27" x14ac:dyDescent="0.55000000000000004">
      <c r="A357">
        <v>356</v>
      </c>
      <c r="B357">
        <v>20.647352250000001</v>
      </c>
      <c r="C357">
        <v>-0.68097418399999998</v>
      </c>
      <c r="D357">
        <v>4.7730190849999996</v>
      </c>
      <c r="E357">
        <v>36.752361389999997</v>
      </c>
      <c r="F357">
        <v>4.5540535630000001</v>
      </c>
      <c r="G357">
        <v>13.647754320000001</v>
      </c>
      <c r="H357">
        <v>20.647352250000001</v>
      </c>
      <c r="I357">
        <v>0.68097418399999998</v>
      </c>
      <c r="J357">
        <v>4.7730190849999996</v>
      </c>
      <c r="K357">
        <v>36.752361389999997</v>
      </c>
      <c r="L357">
        <v>4.5540535630000001</v>
      </c>
      <c r="M357">
        <v>13.647754320000001</v>
      </c>
      <c r="N357">
        <v>4.8230700000000001E-2</v>
      </c>
      <c r="O357">
        <v>17.69062233</v>
      </c>
      <c r="P357">
        <v>125.738706554038</v>
      </c>
      <c r="Q357">
        <v>29.658345959599998</v>
      </c>
      <c r="R357">
        <v>0.77277322994276898</v>
      </c>
      <c r="S357">
        <v>2.6991531523076501E-2</v>
      </c>
      <c r="T357">
        <v>0.24452588262823399</v>
      </c>
      <c r="U357">
        <v>0.49814307091843602</v>
      </c>
      <c r="V357">
        <v>0.22138401126434301</v>
      </c>
      <c r="W357">
        <v>0.34286645807856903</v>
      </c>
      <c r="X357">
        <v>6.2914594258739104E-2</v>
      </c>
      <c r="Y357">
        <v>0.216504944254854</v>
      </c>
      <c r="Z357">
        <v>0.10770354021008401</v>
      </c>
      <c r="AA357">
        <v>6.8413395517879605E-4</v>
      </c>
    </row>
    <row r="358" spans="1:27" x14ac:dyDescent="0.55000000000000004">
      <c r="A358">
        <v>357</v>
      </c>
      <c r="B358">
        <v>20.32505797</v>
      </c>
      <c r="C358">
        <v>-0.54515117800000001</v>
      </c>
      <c r="D358">
        <v>4.7605071109999999</v>
      </c>
      <c r="E358">
        <v>35.940545970000002</v>
      </c>
      <c r="F358">
        <v>4.5324800200000004</v>
      </c>
      <c r="G358">
        <v>13.403745819999999</v>
      </c>
      <c r="H358">
        <v>20.32505797</v>
      </c>
      <c r="I358">
        <v>0.54515117800000001</v>
      </c>
      <c r="J358">
        <v>4.7605071109999999</v>
      </c>
      <c r="K358">
        <v>35.940545970000002</v>
      </c>
      <c r="L358">
        <v>4.5324800200000004</v>
      </c>
      <c r="M358">
        <v>13.403745819999999</v>
      </c>
      <c r="N358">
        <v>6.2436710999999999E-2</v>
      </c>
      <c r="O358">
        <v>29.765197749999999</v>
      </c>
      <c r="P358">
        <v>30.8183104299113</v>
      </c>
      <c r="Q358">
        <v>264.28936264999999</v>
      </c>
      <c r="R358">
        <v>0.760597709374076</v>
      </c>
      <c r="S358">
        <v>2.14709269836914E-2</v>
      </c>
      <c r="T358">
        <v>0.24388426168951899</v>
      </c>
      <c r="U358">
        <v>0.474975801771857</v>
      </c>
      <c r="V358">
        <v>0.220322990720661</v>
      </c>
      <c r="W358">
        <v>0.32943349732965599</v>
      </c>
      <c r="X358">
        <v>8.30483947820531E-2</v>
      </c>
      <c r="Y358">
        <v>0.373120711358776</v>
      </c>
      <c r="Z358">
        <v>2.63979265220795E-2</v>
      </c>
      <c r="AA358">
        <v>6.1073404763689601E-3</v>
      </c>
    </row>
    <row r="359" spans="1:27" x14ac:dyDescent="0.55000000000000004">
      <c r="A359">
        <v>358</v>
      </c>
      <c r="B359">
        <v>19.94037449</v>
      </c>
      <c r="C359">
        <v>0.643097531</v>
      </c>
      <c r="D359">
        <v>5.3565993460000003</v>
      </c>
      <c r="E359">
        <v>34.72860996</v>
      </c>
      <c r="F359">
        <v>4.1311829290000004</v>
      </c>
      <c r="G359">
        <v>12.82225727</v>
      </c>
      <c r="H359">
        <v>19.94037449</v>
      </c>
      <c r="I359">
        <v>0.643097531</v>
      </c>
      <c r="J359">
        <v>5.3565993460000003</v>
      </c>
      <c r="K359">
        <v>34.72860996</v>
      </c>
      <c r="L359">
        <v>4.1311829290000004</v>
      </c>
      <c r="M359">
        <v>12.82225727</v>
      </c>
      <c r="N359">
        <v>5.2761987000000003E-2</v>
      </c>
      <c r="O359">
        <v>21.629068369999999</v>
      </c>
      <c r="P359">
        <v>36.981972515893602</v>
      </c>
      <c r="Q359">
        <v>91.655510551999996</v>
      </c>
      <c r="R359">
        <v>0.74606527143203105</v>
      </c>
      <c r="S359">
        <v>2.5452013081786001E-2</v>
      </c>
      <c r="T359">
        <v>0.27445220079978899</v>
      </c>
      <c r="U359">
        <v>0.44039004860631598</v>
      </c>
      <c r="V359">
        <v>0.200586572939355</v>
      </c>
      <c r="W359">
        <v>0.29742185483321898</v>
      </c>
      <c r="X359">
        <v>6.9336666476752004E-2</v>
      </c>
      <c r="Y359">
        <v>0.26758936969397201</v>
      </c>
      <c r="Z359">
        <v>3.1677511826495398E-2</v>
      </c>
      <c r="AA359">
        <v>2.1171219379929199E-3</v>
      </c>
    </row>
    <row r="360" spans="1:27" x14ac:dyDescent="0.55000000000000004">
      <c r="A360">
        <v>359</v>
      </c>
      <c r="B360">
        <v>18.810778679999999</v>
      </c>
      <c r="C360">
        <v>1.474340245</v>
      </c>
      <c r="D360">
        <v>5.4343750829999999</v>
      </c>
      <c r="E360">
        <v>34.790014470000003</v>
      </c>
      <c r="F360">
        <v>5.3719811660000003</v>
      </c>
      <c r="G360">
        <v>14.12371078</v>
      </c>
      <c r="H360">
        <v>18.810778679999999</v>
      </c>
      <c r="I360">
        <v>1.474340245</v>
      </c>
      <c r="J360">
        <v>5.4343750829999999</v>
      </c>
      <c r="K360">
        <v>34.790014470000003</v>
      </c>
      <c r="L360">
        <v>5.3719811660000003</v>
      </c>
      <c r="M360">
        <v>14.12371078</v>
      </c>
      <c r="N360">
        <v>6.2374867000000001E-2</v>
      </c>
      <c r="O360">
        <v>24.325344090000002</v>
      </c>
      <c r="P360">
        <v>8.6291269203751693</v>
      </c>
      <c r="Q360">
        <v>162.79599433000001</v>
      </c>
      <c r="R360">
        <v>0.70339179606360602</v>
      </c>
      <c r="S360">
        <v>5.92383533740867E-2</v>
      </c>
      <c r="T360">
        <v>0.278440583558831</v>
      </c>
      <c r="U360">
        <v>0.44214238636060998</v>
      </c>
      <c r="V360">
        <v>0.26161096842329801</v>
      </c>
      <c r="W360">
        <v>0.36906843237606801</v>
      </c>
      <c r="X360">
        <v>8.2960744930200697E-2</v>
      </c>
      <c r="Y360">
        <v>0.30256196918695599</v>
      </c>
      <c r="Z360">
        <v>7.3914194261822603E-3</v>
      </c>
      <c r="AA360">
        <v>3.76144646502063E-3</v>
      </c>
    </row>
    <row r="361" spans="1:27" x14ac:dyDescent="0.55000000000000004">
      <c r="A361">
        <v>360</v>
      </c>
      <c r="B361">
        <v>19.304900060000001</v>
      </c>
      <c r="C361">
        <v>1.159833603</v>
      </c>
      <c r="D361">
        <v>5.4487969029999999</v>
      </c>
      <c r="E361">
        <v>37.992068889999999</v>
      </c>
      <c r="F361">
        <v>6.1367172349999999</v>
      </c>
      <c r="G361">
        <v>15.63619576</v>
      </c>
      <c r="H361">
        <v>19.304900060000001</v>
      </c>
      <c r="I361">
        <v>1.159833603</v>
      </c>
      <c r="J361">
        <v>5.4487969029999999</v>
      </c>
      <c r="K361">
        <v>37.992068889999999</v>
      </c>
      <c r="L361">
        <v>6.1367172349999999</v>
      </c>
      <c r="M361">
        <v>15.63619576</v>
      </c>
      <c r="N361">
        <v>5.5911786999999998E-2</v>
      </c>
      <c r="O361">
        <v>22.984294890000001</v>
      </c>
      <c r="P361">
        <v>46.227465644867003</v>
      </c>
      <c r="Q361">
        <v>96.082917628999994</v>
      </c>
      <c r="R361">
        <v>0.72205854070958897</v>
      </c>
      <c r="S361">
        <v>4.64550492297802E-2</v>
      </c>
      <c r="T361">
        <v>0.27918014245548201</v>
      </c>
      <c r="U361">
        <v>0.53352135594230399</v>
      </c>
      <c r="V361">
        <v>0.29922188285232298</v>
      </c>
      <c r="W361">
        <v>0.452332545592041</v>
      </c>
      <c r="X361">
        <v>7.3800794013210699E-2</v>
      </c>
      <c r="Y361">
        <v>0.28516761436482102</v>
      </c>
      <c r="Z361">
        <v>3.9596889783119198E-2</v>
      </c>
      <c r="AA361">
        <v>2.2194559911400099E-3</v>
      </c>
    </row>
    <row r="362" spans="1:27" x14ac:dyDescent="0.55000000000000004">
      <c r="A362">
        <v>361</v>
      </c>
      <c r="B362">
        <v>11.476088539999999</v>
      </c>
      <c r="C362">
        <v>-12.38801207</v>
      </c>
      <c r="D362">
        <v>-5.0176550320000004</v>
      </c>
      <c r="E362">
        <v>31.245922610000001</v>
      </c>
      <c r="F362">
        <v>10.40961712</v>
      </c>
      <c r="G362">
        <v>16.781513629999999</v>
      </c>
      <c r="H362">
        <v>11.476088539999999</v>
      </c>
      <c r="I362">
        <v>12.38801207</v>
      </c>
      <c r="J362">
        <v>5.0176550320000004</v>
      </c>
      <c r="K362">
        <v>31.245922610000001</v>
      </c>
      <c r="L362">
        <v>10.40961712</v>
      </c>
      <c r="M362">
        <v>16.781513629999999</v>
      </c>
      <c r="N362">
        <v>0.20890462400000001</v>
      </c>
      <c r="O362">
        <v>61.425899510000001</v>
      </c>
      <c r="P362">
        <v>4.0654637869304198</v>
      </c>
      <c r="Q362">
        <v>402.24583588399997</v>
      </c>
      <c r="R362">
        <v>0.426304437688654</v>
      </c>
      <c r="S362">
        <v>0.50283084917302701</v>
      </c>
      <c r="T362">
        <v>0.257070949134727</v>
      </c>
      <c r="U362">
        <v>0.34100248684894802</v>
      </c>
      <c r="V362">
        <v>0.509369773677814</v>
      </c>
      <c r="W362">
        <v>0.515383668781348</v>
      </c>
      <c r="X362">
        <v>0.29063346165326098</v>
      </c>
      <c r="Y362">
        <v>0.78378236369130205</v>
      </c>
      <c r="Z362">
        <v>3.4823393245271101E-3</v>
      </c>
      <c r="AA362">
        <v>9.2960341786608707E-3</v>
      </c>
    </row>
    <row r="363" spans="1:27" x14ac:dyDescent="0.55000000000000004">
      <c r="A363">
        <v>362</v>
      </c>
      <c r="B363">
        <v>18.671733029999999</v>
      </c>
      <c r="C363">
        <v>1.3250367519999999</v>
      </c>
      <c r="D363">
        <v>5.2478588720000001</v>
      </c>
      <c r="E363">
        <v>35.931799429999998</v>
      </c>
      <c r="F363">
        <v>10.31085246</v>
      </c>
      <c r="G363">
        <v>19.399777440000001</v>
      </c>
      <c r="H363">
        <v>18.671733029999999</v>
      </c>
      <c r="I363">
        <v>1.3250367519999999</v>
      </c>
      <c r="J363">
        <v>5.2478588720000001</v>
      </c>
      <c r="K363">
        <v>35.931799429999998</v>
      </c>
      <c r="L363">
        <v>10.31085246</v>
      </c>
      <c r="M363">
        <v>19.399777440000001</v>
      </c>
      <c r="N363">
        <v>7.0109554000000004E-2</v>
      </c>
      <c r="O363">
        <v>34.075244900000001</v>
      </c>
      <c r="P363">
        <v>184.90986257946801</v>
      </c>
      <c r="Q363">
        <v>37.615953923699998</v>
      </c>
      <c r="R363">
        <v>0.69813897813720005</v>
      </c>
      <c r="S363">
        <v>5.3169826653349503E-2</v>
      </c>
      <c r="T363">
        <v>0.26887592922152598</v>
      </c>
      <c r="U363">
        <v>0.47472619645359299</v>
      </c>
      <c r="V363">
        <v>0.50451237342372501</v>
      </c>
      <c r="W363">
        <v>0.65952223358555795</v>
      </c>
      <c r="X363">
        <v>9.3922910535187906E-2</v>
      </c>
      <c r="Y363">
        <v>0.42902506552209002</v>
      </c>
      <c r="Z363">
        <v>0.15838755913247701</v>
      </c>
      <c r="AA363">
        <v>8.6806424714410205E-4</v>
      </c>
    </row>
    <row r="364" spans="1:27" x14ac:dyDescent="0.55000000000000004">
      <c r="A364">
        <v>363</v>
      </c>
      <c r="B364">
        <v>18.189006630000002</v>
      </c>
      <c r="C364">
        <v>1.5049682390000001</v>
      </c>
      <c r="D364">
        <v>5.303808547</v>
      </c>
      <c r="E364">
        <v>36.68133357</v>
      </c>
      <c r="F364">
        <v>8.4797356760000007</v>
      </c>
      <c r="G364">
        <v>17.600298509999998</v>
      </c>
      <c r="H364">
        <v>18.189006630000002</v>
      </c>
      <c r="I364">
        <v>1.5049682390000001</v>
      </c>
      <c r="J364">
        <v>5.303808547</v>
      </c>
      <c r="K364">
        <v>36.68133357</v>
      </c>
      <c r="L364">
        <v>8.4797356760000007</v>
      </c>
      <c r="M364">
        <v>17.600298509999998</v>
      </c>
      <c r="N364">
        <v>7.0323303000000004E-2</v>
      </c>
      <c r="O364">
        <v>26.561183929999999</v>
      </c>
      <c r="P364">
        <v>236.68462410171901</v>
      </c>
      <c r="Q364">
        <v>1.63922044652</v>
      </c>
      <c r="R364">
        <v>0.67990270905960104</v>
      </c>
      <c r="S364">
        <v>6.0483245883008699E-2</v>
      </c>
      <c r="T364">
        <v>0.27174505946382699</v>
      </c>
      <c r="U364">
        <v>0.49611610692847502</v>
      </c>
      <c r="V364">
        <v>0.41445518969152201</v>
      </c>
      <c r="W364">
        <v>0.56045875901321696</v>
      </c>
      <c r="X364">
        <v>9.4225851292312299E-2</v>
      </c>
      <c r="Y364">
        <v>0.33156239027696799</v>
      </c>
      <c r="Z364">
        <v>0.20273607568957</v>
      </c>
      <c r="AA364" s="1">
        <v>3.6506431998061502E-5</v>
      </c>
    </row>
    <row r="365" spans="1:27" x14ac:dyDescent="0.55000000000000004">
      <c r="A365">
        <v>364</v>
      </c>
      <c r="B365">
        <v>16.952870690000001</v>
      </c>
      <c r="C365">
        <v>0.74953411199999997</v>
      </c>
      <c r="D365">
        <v>4.4944366589999998</v>
      </c>
      <c r="E365">
        <v>35.325571449999998</v>
      </c>
      <c r="F365">
        <v>12.45736404</v>
      </c>
      <c r="G365">
        <v>21.768819570000002</v>
      </c>
      <c r="H365">
        <v>16.952870690000001</v>
      </c>
      <c r="I365">
        <v>0.74953411199999997</v>
      </c>
      <c r="J365">
        <v>4.4944366589999998</v>
      </c>
      <c r="K365">
        <v>35.325571449999998</v>
      </c>
      <c r="L365">
        <v>12.45736404</v>
      </c>
      <c r="M365">
        <v>21.768819570000002</v>
      </c>
      <c r="N365">
        <v>6.4519241000000005E-2</v>
      </c>
      <c r="O365">
        <v>17.192592619999999</v>
      </c>
      <c r="P365">
        <v>369.81972515893602</v>
      </c>
      <c r="Q365">
        <v>0.19538076837500001</v>
      </c>
      <c r="R365">
        <v>0.63320439792863703</v>
      </c>
      <c r="S365">
        <v>2.9778189401468001E-2</v>
      </c>
      <c r="T365">
        <v>0.23024002192555401</v>
      </c>
      <c r="U365">
        <v>0.45742590080652701</v>
      </c>
      <c r="V365">
        <v>0.61008116588549599</v>
      </c>
      <c r="W365">
        <v>0.78994084582574597</v>
      </c>
      <c r="X365">
        <v>8.59999090110522E-2</v>
      </c>
      <c r="Y365">
        <v>0.21004514733785401</v>
      </c>
      <c r="Z365">
        <v>0.31677511826495403</v>
      </c>
      <c r="AA365" s="1">
        <v>3.1338588893610601E-6</v>
      </c>
    </row>
    <row r="366" spans="1:27" x14ac:dyDescent="0.55000000000000004">
      <c r="A366">
        <v>365</v>
      </c>
      <c r="B366">
        <v>17.739539870000002</v>
      </c>
      <c r="C366">
        <v>1.4614507299999999</v>
      </c>
      <c r="D366">
        <v>4.975448053</v>
      </c>
      <c r="E366">
        <v>34.739352250000003</v>
      </c>
      <c r="F366">
        <v>5.8344376489999998</v>
      </c>
      <c r="G366">
        <v>14.23326806</v>
      </c>
      <c r="H366">
        <v>17.739539870000002</v>
      </c>
      <c r="I366">
        <v>1.4614507299999999</v>
      </c>
      <c r="J366">
        <v>4.975448053</v>
      </c>
      <c r="K366">
        <v>34.739352250000003</v>
      </c>
      <c r="L366">
        <v>5.8344376489999998</v>
      </c>
      <c r="M366">
        <v>14.23326806</v>
      </c>
      <c r="N366">
        <v>5.3941134000000002E-2</v>
      </c>
      <c r="O366">
        <v>17.383913039999999</v>
      </c>
      <c r="P366">
        <v>103.549523044502</v>
      </c>
      <c r="Q366">
        <v>18.743597684600001</v>
      </c>
      <c r="R366">
        <v>0.66292291102743095</v>
      </c>
      <c r="S366">
        <v>5.8714451591059799E-2</v>
      </c>
      <c r="T366">
        <v>0.25490655193518902</v>
      </c>
      <c r="U366">
        <v>0.440696607853097</v>
      </c>
      <c r="V366">
        <v>0.28435530063716302</v>
      </c>
      <c r="W366">
        <v>0.37509969211496103</v>
      </c>
      <c r="X366">
        <v>7.1007840072609699E-2</v>
      </c>
      <c r="Y366">
        <v>0.21252670824568701</v>
      </c>
      <c r="Z366">
        <v>8.8697033114187099E-2</v>
      </c>
      <c r="AA366">
        <v>4.3185301271399202E-4</v>
      </c>
    </row>
    <row r="367" spans="1:27" x14ac:dyDescent="0.55000000000000004">
      <c r="A367">
        <v>366</v>
      </c>
      <c r="B367">
        <v>17.140497329999999</v>
      </c>
      <c r="C367">
        <v>1.1976621160000001</v>
      </c>
      <c r="D367">
        <v>4.6908654260000002</v>
      </c>
      <c r="E367">
        <v>36.246278680000003</v>
      </c>
      <c r="F367">
        <v>12.72590076</v>
      </c>
      <c r="G367">
        <v>22.129735230000001</v>
      </c>
      <c r="H367">
        <v>17.140497329999999</v>
      </c>
      <c r="I367">
        <v>1.1976621160000001</v>
      </c>
      <c r="J367">
        <v>4.6908654260000002</v>
      </c>
      <c r="K367">
        <v>36.246278680000003</v>
      </c>
      <c r="L367">
        <v>12.72590076</v>
      </c>
      <c r="M367">
        <v>22.129735230000001</v>
      </c>
      <c r="N367">
        <v>6.2728927000000004E-2</v>
      </c>
      <c r="O367">
        <v>37.245746609999998</v>
      </c>
      <c r="P367">
        <v>29.585578012714901</v>
      </c>
      <c r="Q367">
        <v>130.807492513</v>
      </c>
      <c r="R367">
        <v>0.64029249150124001</v>
      </c>
      <c r="S367">
        <v>4.7992610992961801E-2</v>
      </c>
      <c r="T367">
        <v>0.24031299761053601</v>
      </c>
      <c r="U367">
        <v>0.48370068159673502</v>
      </c>
      <c r="V367">
        <v>0.62328822124274896</v>
      </c>
      <c r="W367">
        <v>0.80980968602782</v>
      </c>
      <c r="X367">
        <v>8.3462544725603105E-2</v>
      </c>
      <c r="Y367">
        <v>0.47014871087971299</v>
      </c>
      <c r="Z367">
        <v>2.5342009461196299E-2</v>
      </c>
      <c r="AA367">
        <v>3.0220717050076901E-3</v>
      </c>
    </row>
    <row r="368" spans="1:27" x14ac:dyDescent="0.55000000000000004">
      <c r="A368">
        <v>367</v>
      </c>
      <c r="B368" t="s">
        <v>27</v>
      </c>
      <c r="C368" t="s">
        <v>27</v>
      </c>
      <c r="D368" t="s">
        <v>27</v>
      </c>
      <c r="E368" t="s">
        <v>27</v>
      </c>
      <c r="F368" t="s">
        <v>27</v>
      </c>
      <c r="G368" t="s">
        <v>27</v>
      </c>
      <c r="H368" t="s">
        <v>27</v>
      </c>
      <c r="I368" t="s">
        <v>27</v>
      </c>
      <c r="J368" t="s">
        <v>27</v>
      </c>
      <c r="K368" t="s">
        <v>27</v>
      </c>
      <c r="L368" t="s">
        <v>27</v>
      </c>
      <c r="M368" t="s">
        <v>27</v>
      </c>
      <c r="N368">
        <v>8.0067790999999999E-2</v>
      </c>
      <c r="O368">
        <v>29.707592009999999</v>
      </c>
      <c r="P368">
        <v>103.549523044502</v>
      </c>
      <c r="Q368">
        <v>1.30076767325</v>
      </c>
      <c r="R368" t="s">
        <v>27</v>
      </c>
      <c r="S368" t="s">
        <v>27</v>
      </c>
      <c r="T368" t="s">
        <v>27</v>
      </c>
      <c r="U368" t="s">
        <v>27</v>
      </c>
      <c r="V368" t="s">
        <v>27</v>
      </c>
      <c r="W368" t="s">
        <v>27</v>
      </c>
      <c r="X368">
        <v>0.108036454254244</v>
      </c>
      <c r="Y368">
        <v>0.37237352424487202</v>
      </c>
      <c r="Z368">
        <v>8.8697033114187099E-2</v>
      </c>
      <c r="AA368" s="1">
        <v>2.8683513643090801E-5</v>
      </c>
    </row>
    <row r="369" spans="1:27" x14ac:dyDescent="0.55000000000000004">
      <c r="A369">
        <v>368</v>
      </c>
      <c r="B369">
        <v>17.74285867</v>
      </c>
      <c r="C369">
        <v>1.7144467990000001</v>
      </c>
      <c r="D369">
        <v>4.9713041579999997</v>
      </c>
      <c r="E369">
        <v>34.334996750000002</v>
      </c>
      <c r="F369">
        <v>4.8371971050000004</v>
      </c>
      <c r="G369">
        <v>13.04048635</v>
      </c>
      <c r="H369">
        <v>17.74285867</v>
      </c>
      <c r="I369">
        <v>1.7144467990000001</v>
      </c>
      <c r="J369">
        <v>4.9713041579999997</v>
      </c>
      <c r="K369">
        <v>34.334996750000002</v>
      </c>
      <c r="L369">
        <v>4.8371971050000004</v>
      </c>
      <c r="M369">
        <v>13.04048635</v>
      </c>
      <c r="N369">
        <v>7.0763923000000006E-2</v>
      </c>
      <c r="O369">
        <v>27.049037930000001</v>
      </c>
      <c r="P369">
        <v>0</v>
      </c>
      <c r="Q369">
        <v>60.069040473800001</v>
      </c>
      <c r="R369">
        <v>0.66304828749288802</v>
      </c>
      <c r="S369">
        <v>6.8997622963131999E-2</v>
      </c>
      <c r="T369">
        <v>0.25469405071037599</v>
      </c>
      <c r="U369">
        <v>0.42915726963826101</v>
      </c>
      <c r="V369">
        <v>0.23530945294413499</v>
      </c>
      <c r="W369">
        <v>0.30943562757437798</v>
      </c>
      <c r="X369">
        <v>9.48503302672042E-2</v>
      </c>
      <c r="Y369">
        <v>0.33789020105184298</v>
      </c>
      <c r="Z369">
        <v>0</v>
      </c>
      <c r="AA369">
        <v>1.3870396456952001E-3</v>
      </c>
    </row>
    <row r="370" spans="1:27" x14ac:dyDescent="0.55000000000000004">
      <c r="A370">
        <v>369</v>
      </c>
      <c r="B370">
        <v>15.883261060000001</v>
      </c>
      <c r="C370">
        <v>3.8088621520000001</v>
      </c>
      <c r="D370">
        <v>6.2215459409999996</v>
      </c>
      <c r="E370">
        <v>34.830368970000002</v>
      </c>
      <c r="F370">
        <v>10.7508137</v>
      </c>
      <c r="G370">
        <v>19.374073429999999</v>
      </c>
      <c r="H370">
        <v>15.883261060000001</v>
      </c>
      <c r="I370">
        <v>3.8088621520000001</v>
      </c>
      <c r="J370">
        <v>6.2215459409999996</v>
      </c>
      <c r="K370">
        <v>34.830368970000002</v>
      </c>
      <c r="L370">
        <v>10.7508137</v>
      </c>
      <c r="M370">
        <v>19.374073429999999</v>
      </c>
      <c r="N370">
        <v>0.100179061</v>
      </c>
      <c r="O370">
        <v>48.658943180000001</v>
      </c>
      <c r="P370">
        <v>51.774761522251097</v>
      </c>
      <c r="Q370">
        <v>19.7163122338</v>
      </c>
      <c r="R370">
        <v>0.59279705948460104</v>
      </c>
      <c r="S370">
        <v>0.15412634486117099</v>
      </c>
      <c r="T370">
        <v>0.31880714001417998</v>
      </c>
      <c r="U370">
        <v>0.44329400720907303</v>
      </c>
      <c r="V370">
        <v>0.52615035444816605</v>
      </c>
      <c r="W370">
        <v>0.65810719698880105</v>
      </c>
      <c r="X370">
        <v>0.136539620868046</v>
      </c>
      <c r="Y370">
        <v>0.61818592740640399</v>
      </c>
      <c r="Z370">
        <v>4.4348516557093501E-2</v>
      </c>
      <c r="AA370">
        <v>4.5433610962457099E-4</v>
      </c>
    </row>
    <row r="371" spans="1:27" x14ac:dyDescent="0.55000000000000004">
      <c r="A371">
        <v>370</v>
      </c>
      <c r="B371">
        <v>17.511134049999999</v>
      </c>
      <c r="C371">
        <v>1.155401956</v>
      </c>
      <c r="D371">
        <v>4.5855058140000002</v>
      </c>
      <c r="E371">
        <v>36.191698250000002</v>
      </c>
      <c r="F371">
        <v>5.9149065500000004</v>
      </c>
      <c r="G371">
        <v>14.40236844</v>
      </c>
      <c r="H371">
        <v>17.511134049999999</v>
      </c>
      <c r="I371">
        <v>1.155401956</v>
      </c>
      <c r="J371">
        <v>4.5855058140000002</v>
      </c>
      <c r="K371">
        <v>36.191698250000002</v>
      </c>
      <c r="L371">
        <v>5.9149065500000004</v>
      </c>
      <c r="M371">
        <v>14.40236844</v>
      </c>
      <c r="N371">
        <v>5.0316016999999998E-2</v>
      </c>
      <c r="O371">
        <v>18.42821503</v>
      </c>
      <c r="P371">
        <v>0</v>
      </c>
      <c r="Q371">
        <v>5.3940447957500002</v>
      </c>
      <c r="R371">
        <v>0.65429427585767597</v>
      </c>
      <c r="S371">
        <v>4.6274922377447403E-2</v>
      </c>
      <c r="T371">
        <v>0.23491009850332301</v>
      </c>
      <c r="U371">
        <v>0.48214308675338302</v>
      </c>
      <c r="V371">
        <v>0.28831288688475099</v>
      </c>
      <c r="W371">
        <v>0.38440887096392001</v>
      </c>
      <c r="X371">
        <v>6.5870058428510306E-2</v>
      </c>
      <c r="Y371">
        <v>0.22607204226886901</v>
      </c>
      <c r="Z371">
        <v>0</v>
      </c>
      <c r="AA371">
        <v>1.23294565058651E-4</v>
      </c>
    </row>
    <row r="372" spans="1:27" x14ac:dyDescent="0.55000000000000004">
      <c r="A372">
        <v>371</v>
      </c>
      <c r="B372">
        <v>17.268781050000001</v>
      </c>
      <c r="C372">
        <v>1.114498381</v>
      </c>
      <c r="D372">
        <v>4.4978195200000002</v>
      </c>
      <c r="E372">
        <v>34.70350372</v>
      </c>
      <c r="F372">
        <v>6.4797295879999997</v>
      </c>
      <c r="G372">
        <v>14.39952765</v>
      </c>
      <c r="H372">
        <v>17.268781050000001</v>
      </c>
      <c r="I372">
        <v>1.114498381</v>
      </c>
      <c r="J372">
        <v>4.4978195200000002</v>
      </c>
      <c r="K372">
        <v>34.70350372</v>
      </c>
      <c r="L372">
        <v>6.4797295879999997</v>
      </c>
      <c r="M372">
        <v>14.39952765</v>
      </c>
      <c r="N372">
        <v>6.1011121000000001E-2</v>
      </c>
      <c r="O372">
        <v>18.752798080000002</v>
      </c>
      <c r="P372">
        <v>0</v>
      </c>
      <c r="Q372">
        <v>6.5658216113199996</v>
      </c>
      <c r="R372">
        <v>0.64513874900071599</v>
      </c>
      <c r="S372">
        <v>4.4612372942912898E-2</v>
      </c>
      <c r="T372">
        <v>0.23041349690642901</v>
      </c>
      <c r="U372">
        <v>0.439673576604172</v>
      </c>
      <c r="V372">
        <v>0.31609176617514301</v>
      </c>
      <c r="W372">
        <v>0.38425248206531198</v>
      </c>
      <c r="X372">
        <v>8.10279440948031E-2</v>
      </c>
      <c r="Y372">
        <v>0.23028211356300901</v>
      </c>
      <c r="Z372">
        <v>0</v>
      </c>
      <c r="AA372">
        <v>1.50378740702674E-4</v>
      </c>
    </row>
    <row r="373" spans="1:27" x14ac:dyDescent="0.55000000000000004">
      <c r="A373">
        <v>372</v>
      </c>
      <c r="B373">
        <v>16.72143187</v>
      </c>
      <c r="C373">
        <v>2.50567472</v>
      </c>
      <c r="D373">
        <v>5.3566748779999998</v>
      </c>
      <c r="E373">
        <v>37.471602920000002</v>
      </c>
      <c r="F373">
        <v>7.8454546819999997</v>
      </c>
      <c r="G373">
        <v>16.577982540000001</v>
      </c>
      <c r="H373">
        <v>16.72143187</v>
      </c>
      <c r="I373">
        <v>2.50567472</v>
      </c>
      <c r="J373">
        <v>5.3566748779999998</v>
      </c>
      <c r="K373">
        <v>37.471602920000002</v>
      </c>
      <c r="L373">
        <v>7.8454546819999997</v>
      </c>
      <c r="M373">
        <v>16.577982540000001</v>
      </c>
      <c r="N373">
        <v>6.6544122999999997E-2</v>
      </c>
      <c r="O373">
        <v>21.14879608</v>
      </c>
      <c r="P373">
        <v>0</v>
      </c>
      <c r="Q373">
        <v>3.1801827992299998</v>
      </c>
      <c r="R373">
        <v>0.62446118314584897</v>
      </c>
      <c r="S373">
        <v>0.101157538878709</v>
      </c>
      <c r="T373">
        <v>0.27445607412247602</v>
      </c>
      <c r="U373">
        <v>0.51866850280405696</v>
      </c>
      <c r="V373">
        <v>0.38326025962828297</v>
      </c>
      <c r="W373">
        <v>0.50417903802810204</v>
      </c>
      <c r="X373">
        <v>8.8869720267093694E-2</v>
      </c>
      <c r="Y373">
        <v>0.261359899050018</v>
      </c>
      <c r="Z373">
        <v>0</v>
      </c>
      <c r="AA373" s="1">
        <v>7.2123875923442299E-5</v>
      </c>
    </row>
    <row r="374" spans="1:27" x14ac:dyDescent="0.55000000000000004">
      <c r="A374">
        <v>373</v>
      </c>
      <c r="B374">
        <v>16.673552529999998</v>
      </c>
      <c r="C374">
        <v>2.4471044210000001</v>
      </c>
      <c r="D374">
        <v>5.3113492840000003</v>
      </c>
      <c r="E374">
        <v>36.029344510000001</v>
      </c>
      <c r="F374">
        <v>7.7389391979999997</v>
      </c>
      <c r="G374">
        <v>16.00642959</v>
      </c>
      <c r="H374">
        <v>16.673552529999998</v>
      </c>
      <c r="I374">
        <v>2.4471044210000001</v>
      </c>
      <c r="J374">
        <v>5.3113492840000003</v>
      </c>
      <c r="K374">
        <v>36.029344510000001</v>
      </c>
      <c r="L374">
        <v>7.7389391979999997</v>
      </c>
      <c r="M374">
        <v>16.00642959</v>
      </c>
      <c r="N374">
        <v>7.6918840000000002E-2</v>
      </c>
      <c r="O374">
        <v>26.794301990000001</v>
      </c>
      <c r="P374">
        <v>0</v>
      </c>
      <c r="Q374">
        <v>62.429753007400002</v>
      </c>
      <c r="R374">
        <v>0.62265241418790895</v>
      </c>
      <c r="S374">
        <v>9.8776915241704497E-2</v>
      </c>
      <c r="T374">
        <v>0.27213175262292</v>
      </c>
      <c r="U374">
        <v>0.47750989957946399</v>
      </c>
      <c r="V374">
        <v>0.37802166174270302</v>
      </c>
      <c r="W374">
        <v>0.47271436223494301</v>
      </c>
      <c r="X374">
        <v>0.103573529982842</v>
      </c>
      <c r="Y374">
        <v>0.33458609608216</v>
      </c>
      <c r="Z374">
        <v>0</v>
      </c>
      <c r="AA374">
        <v>1.4416046038472101E-3</v>
      </c>
    </row>
    <row r="375" spans="1:27" x14ac:dyDescent="0.55000000000000004">
      <c r="A375">
        <v>374</v>
      </c>
      <c r="B375">
        <v>17.395498450000002</v>
      </c>
      <c r="C375">
        <v>1.7783114929999999</v>
      </c>
      <c r="D375">
        <v>4.9212196730000004</v>
      </c>
      <c r="E375">
        <v>34.532586819999999</v>
      </c>
      <c r="F375">
        <v>5.8443427059999999</v>
      </c>
      <c r="G375">
        <v>13.793092189999999</v>
      </c>
      <c r="H375">
        <v>17.395498450000002</v>
      </c>
      <c r="I375">
        <v>1.7783114929999999</v>
      </c>
      <c r="J375">
        <v>4.9212196730000004</v>
      </c>
      <c r="K375">
        <v>34.532586819999999</v>
      </c>
      <c r="L375">
        <v>5.8443427059999999</v>
      </c>
      <c r="M375">
        <v>13.793092189999999</v>
      </c>
      <c r="N375">
        <v>8.5628531999999993E-2</v>
      </c>
      <c r="O375">
        <v>26.775424959999999</v>
      </c>
      <c r="P375">
        <v>0</v>
      </c>
      <c r="Q375">
        <v>228.132987918</v>
      </c>
      <c r="R375">
        <v>0.64992583461114395</v>
      </c>
      <c r="S375">
        <v>7.1593440343310097E-2</v>
      </c>
      <c r="T375">
        <v>0.25212569065138402</v>
      </c>
      <c r="U375">
        <v>0.43479601733829998</v>
      </c>
      <c r="V375">
        <v>0.284842446812612</v>
      </c>
      <c r="W375">
        <v>0.35086748223567998</v>
      </c>
      <c r="X375">
        <v>0.11591754417144901</v>
      </c>
      <c r="Y375">
        <v>0.33434124767703899</v>
      </c>
      <c r="Z375">
        <v>0</v>
      </c>
      <c r="AA375">
        <v>5.2716304752146196E-3</v>
      </c>
    </row>
    <row r="376" spans="1:27" x14ac:dyDescent="0.55000000000000004">
      <c r="A376">
        <v>375</v>
      </c>
      <c r="B376">
        <v>17.37367669</v>
      </c>
      <c r="C376">
        <v>0.42401631499999998</v>
      </c>
      <c r="D376">
        <v>4.0209403469999998</v>
      </c>
      <c r="E376">
        <v>34.72895029</v>
      </c>
      <c r="F376">
        <v>5.4989291529999997</v>
      </c>
      <c r="G376">
        <v>13.559440820000001</v>
      </c>
      <c r="H376">
        <v>17.37367669</v>
      </c>
      <c r="I376">
        <v>0.42401631499999998</v>
      </c>
      <c r="J376">
        <v>4.0209403469999998</v>
      </c>
      <c r="K376">
        <v>34.72895029</v>
      </c>
      <c r="L376">
        <v>5.4989291529999997</v>
      </c>
      <c r="M376">
        <v>13.559440820000001</v>
      </c>
      <c r="N376">
        <v>5.4907624000000002E-2</v>
      </c>
      <c r="O376">
        <v>21.87897491</v>
      </c>
      <c r="P376">
        <v>0</v>
      </c>
      <c r="Q376">
        <v>4.9139249384300001</v>
      </c>
      <c r="R376">
        <v>0.64910145979529199</v>
      </c>
      <c r="S376">
        <v>1.6547330501401902E-2</v>
      </c>
      <c r="T376">
        <v>0.20595886947243799</v>
      </c>
      <c r="U376">
        <v>0.44039976080999499</v>
      </c>
      <c r="V376">
        <v>0.26785446872300001</v>
      </c>
      <c r="W376">
        <v>0.33800469392240601</v>
      </c>
      <c r="X376">
        <v>7.2377620573819995E-2</v>
      </c>
      <c r="Y376">
        <v>0.27083083393639701</v>
      </c>
      <c r="Z376">
        <v>0</v>
      </c>
      <c r="AA376">
        <v>1.1219718680960799E-4</v>
      </c>
    </row>
    <row r="377" spans="1:27" x14ac:dyDescent="0.55000000000000004">
      <c r="A377">
        <v>376</v>
      </c>
      <c r="B377">
        <v>17.48666459</v>
      </c>
      <c r="C377">
        <v>0.71336692000000002</v>
      </c>
      <c r="D377">
        <v>4.2201408149999997</v>
      </c>
      <c r="E377">
        <v>35.771119140000003</v>
      </c>
      <c r="F377">
        <v>6.7361963429999996</v>
      </c>
      <c r="G377">
        <v>14.01128325</v>
      </c>
      <c r="H377">
        <v>17.48666459</v>
      </c>
      <c r="I377">
        <v>0.71336692000000002</v>
      </c>
      <c r="J377">
        <v>4.2201408149999997</v>
      </c>
      <c r="K377">
        <v>35.771119140000003</v>
      </c>
      <c r="L377">
        <v>6.7361963429999996</v>
      </c>
      <c r="M377">
        <v>14.01128325</v>
      </c>
      <c r="N377">
        <v>7.5720846999999994E-2</v>
      </c>
      <c r="O377">
        <v>24.00124168</v>
      </c>
      <c r="P377">
        <v>0</v>
      </c>
      <c r="Q377">
        <v>57.966874031000003</v>
      </c>
      <c r="R377">
        <v>0.65336987715741102</v>
      </c>
      <c r="S377">
        <v>2.83081529900223E-2</v>
      </c>
      <c r="T377">
        <v>0.216173979515872</v>
      </c>
      <c r="U377">
        <v>0.47014076553756001</v>
      </c>
      <c r="V377">
        <v>0.328705201799813</v>
      </c>
      <c r="W377">
        <v>0.36287916193021402</v>
      </c>
      <c r="X377">
        <v>0.101875646453798</v>
      </c>
      <c r="Y377">
        <v>0.29835813213291701</v>
      </c>
      <c r="Z377">
        <v>0</v>
      </c>
      <c r="AA377">
        <v>1.33845066150193E-3</v>
      </c>
    </row>
    <row r="378" spans="1:27" x14ac:dyDescent="0.55000000000000004">
      <c r="A378">
        <v>377</v>
      </c>
      <c r="B378">
        <v>17.057850970000001</v>
      </c>
      <c r="C378">
        <v>2.8208049489999998</v>
      </c>
      <c r="D378">
        <v>5.7579806400000004</v>
      </c>
      <c r="E378">
        <v>37.154255290000002</v>
      </c>
      <c r="F378">
        <v>7.6599798090000002</v>
      </c>
      <c r="G378">
        <v>15.58278896</v>
      </c>
      <c r="H378">
        <v>17.057850970000001</v>
      </c>
      <c r="I378">
        <v>2.8208049489999998</v>
      </c>
      <c r="J378">
        <v>5.7579806400000004</v>
      </c>
      <c r="K378">
        <v>37.154255290000002</v>
      </c>
      <c r="L378">
        <v>7.6599798090000002</v>
      </c>
      <c r="M378">
        <v>15.58278896</v>
      </c>
      <c r="N378">
        <v>6.3880629999999994E-2</v>
      </c>
      <c r="O378">
        <v>21.696605680000001</v>
      </c>
      <c r="P378">
        <v>0</v>
      </c>
      <c r="Q378">
        <v>29.257784554800001</v>
      </c>
      <c r="R378">
        <v>0.637170306223525</v>
      </c>
      <c r="S378">
        <v>0.113966189076856</v>
      </c>
      <c r="T378">
        <v>0.29503525529133701</v>
      </c>
      <c r="U378">
        <v>0.50961216096068696</v>
      </c>
      <c r="V378">
        <v>0.37413831565320699</v>
      </c>
      <c r="W378">
        <v>0.44939243716087901</v>
      </c>
      <c r="X378">
        <v>8.5094822672178105E-2</v>
      </c>
      <c r="Y378">
        <v>0.26846537628185302</v>
      </c>
      <c r="Z378">
        <v>0</v>
      </c>
      <c r="AA378">
        <v>6.7487547242024801E-4</v>
      </c>
    </row>
    <row r="379" spans="1:27" x14ac:dyDescent="0.55000000000000004">
      <c r="A379">
        <v>378</v>
      </c>
      <c r="B379">
        <v>16.792336079999998</v>
      </c>
      <c r="C379">
        <v>3.842164425</v>
      </c>
      <c r="D379">
        <v>6.3886913999999999</v>
      </c>
      <c r="E379">
        <v>35.265715139999998</v>
      </c>
      <c r="F379">
        <v>8.1951730919999992</v>
      </c>
      <c r="G379">
        <v>16.519787699999998</v>
      </c>
      <c r="H379">
        <v>16.792336079999998</v>
      </c>
      <c r="I379">
        <v>3.842164425</v>
      </c>
      <c r="J379">
        <v>6.3886913999999999</v>
      </c>
      <c r="K379">
        <v>35.265715139999998</v>
      </c>
      <c r="L379">
        <v>8.1951730919999992</v>
      </c>
      <c r="M379">
        <v>16.519787699999998</v>
      </c>
      <c r="N379">
        <v>3.1404223000000002E-2</v>
      </c>
      <c r="O379">
        <v>14.57168293</v>
      </c>
      <c r="P379">
        <v>0</v>
      </c>
      <c r="Q379">
        <v>5.7785068920600002</v>
      </c>
      <c r="R379">
        <v>0.62713977758836204</v>
      </c>
      <c r="S379">
        <v>0.15547993498489199</v>
      </c>
      <c r="T379">
        <v>0.32737845148793199</v>
      </c>
      <c r="U379">
        <v>0.45571774497488399</v>
      </c>
      <c r="V379">
        <v>0.40045995730955503</v>
      </c>
      <c r="W379">
        <v>0.50097534224902396</v>
      </c>
      <c r="X379">
        <v>3.9066877160101703E-2</v>
      </c>
      <c r="Y379">
        <v>0.176050098457746</v>
      </c>
      <c r="Z379">
        <v>0</v>
      </c>
      <c r="AA379">
        <v>1.3218093216078901E-4</v>
      </c>
    </row>
    <row r="380" spans="1:27" x14ac:dyDescent="0.55000000000000004">
      <c r="A380">
        <v>379</v>
      </c>
      <c r="B380">
        <v>16.953543289999999</v>
      </c>
      <c r="C380">
        <v>3.6203074310000001</v>
      </c>
      <c r="D380">
        <v>6.3417923690000002</v>
      </c>
      <c r="E380">
        <v>35.432569389999998</v>
      </c>
      <c r="F380">
        <v>8.0279799250000003</v>
      </c>
      <c r="G380">
        <v>16.005354570000002</v>
      </c>
      <c r="H380">
        <v>16.953543289999999</v>
      </c>
      <c r="I380">
        <v>3.6203074310000001</v>
      </c>
      <c r="J380">
        <v>6.3417923690000002</v>
      </c>
      <c r="K380">
        <v>35.432569389999998</v>
      </c>
      <c r="L380">
        <v>8.0279799250000003</v>
      </c>
      <c r="M380">
        <v>16.005354570000002</v>
      </c>
      <c r="N380">
        <v>5.3505924000000003E-2</v>
      </c>
      <c r="O380">
        <v>20.74640656</v>
      </c>
      <c r="P380">
        <v>0</v>
      </c>
      <c r="Q380">
        <v>4.2927120759599999</v>
      </c>
      <c r="R380">
        <v>0.63322980717615596</v>
      </c>
      <c r="S380">
        <v>0.14646242930422099</v>
      </c>
      <c r="T380">
        <v>0.32497344326980199</v>
      </c>
      <c r="U380">
        <v>0.46047936593300798</v>
      </c>
      <c r="V380">
        <v>0.39223713619249001</v>
      </c>
      <c r="W380">
        <v>0.47265518109385801</v>
      </c>
      <c r="X380">
        <v>7.0391028546436002E-2</v>
      </c>
      <c r="Y380">
        <v>0.25614062291340201</v>
      </c>
      <c r="Z380">
        <v>0</v>
      </c>
      <c r="AA380" s="1">
        <v>9.78386177921118E-5</v>
      </c>
    </row>
    <row r="381" spans="1:27" x14ac:dyDescent="0.55000000000000004">
      <c r="A381">
        <v>380</v>
      </c>
      <c r="B381">
        <v>17.449421050000002</v>
      </c>
      <c r="C381">
        <v>0.29155884700000001</v>
      </c>
      <c r="D381">
        <v>3.8322090379999998</v>
      </c>
      <c r="E381">
        <v>34.958833720000001</v>
      </c>
      <c r="F381">
        <v>5.9736928259999997</v>
      </c>
      <c r="G381">
        <v>13.486934160000001</v>
      </c>
      <c r="H381">
        <v>17.449421050000002</v>
      </c>
      <c r="I381">
        <v>0.29155884700000001</v>
      </c>
      <c r="J381">
        <v>3.8322090379999998</v>
      </c>
      <c r="K381">
        <v>34.958833720000001</v>
      </c>
      <c r="L381">
        <v>5.9736928259999997</v>
      </c>
      <c r="M381">
        <v>13.486934160000001</v>
      </c>
      <c r="N381">
        <v>6.3880004000000004E-2</v>
      </c>
      <c r="O381">
        <v>20.355157850000001</v>
      </c>
      <c r="P381">
        <v>0</v>
      </c>
      <c r="Q381">
        <v>673.63138739099998</v>
      </c>
      <c r="R381">
        <v>0.65196290373138199</v>
      </c>
      <c r="S381">
        <v>1.1163520198188099E-2</v>
      </c>
      <c r="T381">
        <v>0.19628062368600699</v>
      </c>
      <c r="U381">
        <v>0.446960083715845</v>
      </c>
      <c r="V381">
        <v>0.29120408776550499</v>
      </c>
      <c r="W381">
        <v>0.33401311527733901</v>
      </c>
      <c r="X381">
        <v>8.5093935459073303E-2</v>
      </c>
      <c r="Y381">
        <v>0.25106585094721101</v>
      </c>
      <c r="Z381">
        <v>0</v>
      </c>
      <c r="AA381">
        <v>1.55687764334992E-2</v>
      </c>
    </row>
    <row r="382" spans="1:27" x14ac:dyDescent="0.55000000000000004">
      <c r="A382">
        <v>381</v>
      </c>
      <c r="B382">
        <v>17.506290249999999</v>
      </c>
      <c r="C382">
        <v>0.75527525699999998</v>
      </c>
      <c r="D382">
        <v>4.3173448509999997</v>
      </c>
      <c r="E382">
        <v>38.37817699</v>
      </c>
      <c r="F382">
        <v>7.6700605700000004</v>
      </c>
      <c r="G382">
        <v>14.97318555</v>
      </c>
      <c r="H382">
        <v>17.506290249999999</v>
      </c>
      <c r="I382">
        <v>0.75527525699999998</v>
      </c>
      <c r="J382">
        <v>4.3173448509999997</v>
      </c>
      <c r="K382">
        <v>38.37817699</v>
      </c>
      <c r="L382">
        <v>7.6700605700000004</v>
      </c>
      <c r="M382">
        <v>14.97318555</v>
      </c>
      <c r="N382">
        <v>6.3288263999999997E-2</v>
      </c>
      <c r="O382">
        <v>19.949947359999999</v>
      </c>
      <c r="P382">
        <v>0</v>
      </c>
      <c r="Q382">
        <v>71.987944210600006</v>
      </c>
      <c r="R382">
        <v>0.65411128847567601</v>
      </c>
      <c r="S382">
        <v>3.0011541556464998E-2</v>
      </c>
      <c r="T382">
        <v>0.221158656180416</v>
      </c>
      <c r="U382">
        <v>0.54453995703314595</v>
      </c>
      <c r="V382">
        <v>0.37463410322583501</v>
      </c>
      <c r="W382">
        <v>0.41583303788203002</v>
      </c>
      <c r="X382">
        <v>8.4255278138473805E-2</v>
      </c>
      <c r="Y382">
        <v>0.245809984838264</v>
      </c>
      <c r="Z382">
        <v>0</v>
      </c>
      <c r="AA382">
        <v>1.6625304029813199E-3</v>
      </c>
    </row>
    <row r="383" spans="1:27" x14ac:dyDescent="0.55000000000000004">
      <c r="A383">
        <v>382</v>
      </c>
      <c r="B383">
        <v>17.830968410000001</v>
      </c>
      <c r="C383">
        <v>1.751428134</v>
      </c>
      <c r="D383">
        <v>5.2180897430000002</v>
      </c>
      <c r="E383">
        <v>36.882110789999999</v>
      </c>
      <c r="F383">
        <v>8.2868787499999996</v>
      </c>
      <c r="G383">
        <v>15.19333421</v>
      </c>
      <c r="H383">
        <v>17.830968410000001</v>
      </c>
      <c r="I383">
        <v>1.751428134</v>
      </c>
      <c r="J383">
        <v>5.2180897430000002</v>
      </c>
      <c r="K383">
        <v>36.882110789999999</v>
      </c>
      <c r="L383">
        <v>8.2868787499999996</v>
      </c>
      <c r="M383">
        <v>15.19333421</v>
      </c>
      <c r="N383">
        <v>7.0225254000000001E-2</v>
      </c>
      <c r="O383">
        <v>25.896947860000001</v>
      </c>
      <c r="P383">
        <v>0</v>
      </c>
      <c r="Q383">
        <v>11.649050732199999</v>
      </c>
      <c r="R383">
        <v>0.66637686642910798</v>
      </c>
      <c r="S383">
        <v>7.0500750687116601E-2</v>
      </c>
      <c r="T383">
        <v>0.26734935184103398</v>
      </c>
      <c r="U383">
        <v>0.50184580826161995</v>
      </c>
      <c r="V383">
        <v>0.404970184818774</v>
      </c>
      <c r="W383">
        <v>0.42795248580579298</v>
      </c>
      <c r="X383">
        <v>9.4086889059528597E-2</v>
      </c>
      <c r="Y383">
        <v>0.322946779539316</v>
      </c>
      <c r="Z383">
        <v>0</v>
      </c>
      <c r="AA383">
        <v>2.6787131140331599E-4</v>
      </c>
    </row>
    <row r="384" spans="1:27" x14ac:dyDescent="0.55000000000000004">
      <c r="A384">
        <v>383</v>
      </c>
      <c r="B384">
        <v>17.978400969999999</v>
      </c>
      <c r="C384">
        <v>0.17127467699999999</v>
      </c>
      <c r="D384">
        <v>4.0058484869999997</v>
      </c>
      <c r="E384">
        <v>35.333275780000001</v>
      </c>
      <c r="F384">
        <v>8.9935965230000008</v>
      </c>
      <c r="G384">
        <v>15.30182149</v>
      </c>
      <c r="H384">
        <v>17.978400969999999</v>
      </c>
      <c r="I384">
        <v>0.17127467699999999</v>
      </c>
      <c r="J384">
        <v>4.0058484869999997</v>
      </c>
      <c r="K384">
        <v>35.333275780000001</v>
      </c>
      <c r="L384">
        <v>8.9935965230000008</v>
      </c>
      <c r="M384">
        <v>15.30182149</v>
      </c>
      <c r="N384">
        <v>6.0154129000000001E-2</v>
      </c>
      <c r="O384">
        <v>21.816223140000002</v>
      </c>
      <c r="P384">
        <v>0</v>
      </c>
      <c r="Q384">
        <v>6.2549865122900004</v>
      </c>
      <c r="R384">
        <v>0.67194652210768602</v>
      </c>
      <c r="S384">
        <v>6.2745006243011599E-3</v>
      </c>
      <c r="T384">
        <v>0.205184950554436</v>
      </c>
      <c r="U384">
        <v>0.45764576394574202</v>
      </c>
      <c r="V384">
        <v>0.43972766882306802</v>
      </c>
      <c r="W384">
        <v>0.43392484076062598</v>
      </c>
      <c r="X384">
        <v>7.9813352188737696E-2</v>
      </c>
      <c r="Y384">
        <v>0.270016899180612</v>
      </c>
      <c r="Z384">
        <v>0</v>
      </c>
      <c r="AA384">
        <v>1.43194170819918E-4</v>
      </c>
    </row>
    <row r="385" spans="1:27" x14ac:dyDescent="0.55000000000000004">
      <c r="A385">
        <v>384</v>
      </c>
      <c r="B385">
        <v>18.66965871</v>
      </c>
      <c r="C385">
        <v>0.57654248799999996</v>
      </c>
      <c r="D385">
        <v>4.6130027580000004</v>
      </c>
      <c r="E385">
        <v>36.36591241</v>
      </c>
      <c r="F385">
        <v>10.03308848</v>
      </c>
      <c r="G385">
        <v>16.104103779999999</v>
      </c>
      <c r="H385">
        <v>18.66965871</v>
      </c>
      <c r="I385">
        <v>0.57654248799999996</v>
      </c>
      <c r="J385">
        <v>4.6130027580000004</v>
      </c>
      <c r="K385">
        <v>36.36591241</v>
      </c>
      <c r="L385">
        <v>10.03308848</v>
      </c>
      <c r="M385">
        <v>16.104103779999999</v>
      </c>
      <c r="N385">
        <v>7.3357776E-2</v>
      </c>
      <c r="O385">
        <v>25.990287779999999</v>
      </c>
      <c r="P385">
        <v>0</v>
      </c>
      <c r="Q385">
        <v>98.345342207300007</v>
      </c>
      <c r="R385">
        <v>0.69806061520185403</v>
      </c>
      <c r="S385">
        <v>2.27468449123761E-2</v>
      </c>
      <c r="T385">
        <v>0.23632015698179101</v>
      </c>
      <c r="U385">
        <v>0.48711474192823201</v>
      </c>
      <c r="V385">
        <v>0.49085150700623498</v>
      </c>
      <c r="W385">
        <v>0.478091443608959</v>
      </c>
      <c r="X385">
        <v>9.8526528947382605E-2</v>
      </c>
      <c r="Y385">
        <v>0.32415746419394997</v>
      </c>
      <c r="Z385">
        <v>0</v>
      </c>
      <c r="AA385">
        <v>2.2717491444485798E-3</v>
      </c>
    </row>
    <row r="386" spans="1:27" x14ac:dyDescent="0.55000000000000004">
      <c r="A386">
        <v>385</v>
      </c>
      <c r="B386">
        <v>18.73840547</v>
      </c>
      <c r="C386">
        <v>9.8812498999999998E-2</v>
      </c>
      <c r="D386">
        <v>4.2650402359999999</v>
      </c>
      <c r="E386">
        <v>35.699024059999999</v>
      </c>
      <c r="F386">
        <v>9.8098275360000002</v>
      </c>
      <c r="G386">
        <v>16.024123150000001</v>
      </c>
      <c r="H386">
        <v>18.73840547</v>
      </c>
      <c r="I386">
        <v>9.8812498999999998E-2</v>
      </c>
      <c r="J386">
        <v>4.2650402359999999</v>
      </c>
      <c r="K386">
        <v>35.699024059999999</v>
      </c>
      <c r="L386">
        <v>9.8098275360000002</v>
      </c>
      <c r="M386">
        <v>16.024123150000001</v>
      </c>
      <c r="N386">
        <v>6.7378692000000004E-2</v>
      </c>
      <c r="O386">
        <v>23.359706880000001</v>
      </c>
      <c r="P386">
        <v>0</v>
      </c>
      <c r="Q386">
        <v>4.9591714340299999</v>
      </c>
      <c r="R386">
        <v>0.70065770625296098</v>
      </c>
      <c r="S386">
        <v>3.3292335404572601E-3</v>
      </c>
      <c r="T386">
        <v>0.218476446628557</v>
      </c>
      <c r="U386">
        <v>0.46808334450150202</v>
      </c>
      <c r="V386">
        <v>0.479871185035666</v>
      </c>
      <c r="W386">
        <v>0.47368841394620897</v>
      </c>
      <c r="X386">
        <v>9.0052532653268902E-2</v>
      </c>
      <c r="Y386">
        <v>0.29003697289286301</v>
      </c>
      <c r="Z386">
        <v>0</v>
      </c>
      <c r="AA386">
        <v>1.1324300374148799E-4</v>
      </c>
    </row>
    <row r="387" spans="1:27" x14ac:dyDescent="0.55000000000000004">
      <c r="A387">
        <v>386</v>
      </c>
      <c r="B387" t="s">
        <v>27</v>
      </c>
      <c r="C387" t="s">
        <v>27</v>
      </c>
      <c r="D387" t="s">
        <v>27</v>
      </c>
      <c r="E387" t="s">
        <v>27</v>
      </c>
      <c r="F387" t="s">
        <v>27</v>
      </c>
      <c r="G387" t="s">
        <v>27</v>
      </c>
      <c r="H387" t="s">
        <v>27</v>
      </c>
      <c r="I387" t="s">
        <v>27</v>
      </c>
      <c r="J387" t="s">
        <v>27</v>
      </c>
      <c r="K387" t="s">
        <v>27</v>
      </c>
      <c r="L387" t="s">
        <v>27</v>
      </c>
      <c r="M387" t="s">
        <v>27</v>
      </c>
      <c r="N387">
        <v>7.8609078999999998E-2</v>
      </c>
      <c r="O387">
        <v>26.86805725</v>
      </c>
      <c r="P387">
        <v>0</v>
      </c>
      <c r="Q387">
        <v>1.36281851476</v>
      </c>
      <c r="R387" t="s">
        <v>27</v>
      </c>
      <c r="S387" t="s">
        <v>27</v>
      </c>
      <c r="T387" t="s">
        <v>27</v>
      </c>
      <c r="U387" t="s">
        <v>27</v>
      </c>
      <c r="V387" t="s">
        <v>27</v>
      </c>
      <c r="W387" t="s">
        <v>27</v>
      </c>
      <c r="X387">
        <v>0.10596906063974</v>
      </c>
      <c r="Y387">
        <v>0.33554275387103</v>
      </c>
      <c r="Z387">
        <v>0</v>
      </c>
      <c r="AA387" s="1">
        <v>3.01177423016419E-5</v>
      </c>
    </row>
    <row r="388" spans="1:27" x14ac:dyDescent="0.55000000000000004">
      <c r="A388">
        <v>387</v>
      </c>
      <c r="B388">
        <v>16.55047055</v>
      </c>
      <c r="C388">
        <v>-1.94195045</v>
      </c>
      <c r="D388">
        <v>1.9229706479999999</v>
      </c>
      <c r="E388">
        <v>32.518655529999997</v>
      </c>
      <c r="F388">
        <v>8.0507263289999997</v>
      </c>
      <c r="G388">
        <v>13.928213059999999</v>
      </c>
      <c r="H388">
        <v>16.55047055</v>
      </c>
      <c r="I388">
        <v>1.94195045</v>
      </c>
      <c r="J388">
        <v>1.9229706479999999</v>
      </c>
      <c r="K388">
        <v>32.518655529999997</v>
      </c>
      <c r="L388">
        <v>8.0507263289999997</v>
      </c>
      <c r="M388">
        <v>13.928213059999999</v>
      </c>
      <c r="N388">
        <v>7.5047493000000007E-2</v>
      </c>
      <c r="O388">
        <v>22.168563840000001</v>
      </c>
      <c r="P388">
        <v>0</v>
      </c>
      <c r="Q388">
        <v>33.287884169199998</v>
      </c>
      <c r="R388">
        <v>0.61800266620254196</v>
      </c>
      <c r="S388">
        <v>7.8244640279456795E-2</v>
      </c>
      <c r="T388">
        <v>9.8373824325484902E-2</v>
      </c>
      <c r="U388">
        <v>0.37732323831896902</v>
      </c>
      <c r="V388">
        <v>0.393355839872219</v>
      </c>
      <c r="W388">
        <v>0.358306048281818</v>
      </c>
      <c r="X388">
        <v>0.10092131978760201</v>
      </c>
      <c r="Y388">
        <v>0.27458700679044501</v>
      </c>
      <c r="Z388">
        <v>0</v>
      </c>
      <c r="AA388">
        <v>7.6802625366883105E-4</v>
      </c>
    </row>
    <row r="389" spans="1:27" x14ac:dyDescent="0.55000000000000004">
      <c r="A389">
        <v>388</v>
      </c>
      <c r="B389">
        <v>16.82017853</v>
      </c>
      <c r="C389">
        <v>-1.8985508310000001</v>
      </c>
      <c r="D389">
        <v>2.019929469</v>
      </c>
      <c r="E389">
        <v>32.480461730000002</v>
      </c>
      <c r="F389">
        <v>7.9852994519999996</v>
      </c>
      <c r="G389">
        <v>13.92906837</v>
      </c>
      <c r="H389">
        <v>16.82017853</v>
      </c>
      <c r="I389">
        <v>1.8985508310000001</v>
      </c>
      <c r="J389">
        <v>2.019929469</v>
      </c>
      <c r="K389">
        <v>32.480461730000002</v>
      </c>
      <c r="L389">
        <v>7.9852994519999996</v>
      </c>
      <c r="M389">
        <v>13.92906837</v>
      </c>
      <c r="N389">
        <v>8.2217715999999996E-2</v>
      </c>
      <c r="O389">
        <v>30.501850130000001</v>
      </c>
      <c r="P389">
        <v>0</v>
      </c>
      <c r="Q389">
        <v>2.6128077483499998</v>
      </c>
      <c r="R389">
        <v>0.628191599924948</v>
      </c>
      <c r="S389">
        <v>7.6480637694659195E-2</v>
      </c>
      <c r="T389">
        <v>0.103345926229365</v>
      </c>
      <c r="U389">
        <v>0.37623327867724299</v>
      </c>
      <c r="V389">
        <v>0.39013804386133799</v>
      </c>
      <c r="W389">
        <v>0.35835313412373798</v>
      </c>
      <c r="X389">
        <v>0.111083485619353</v>
      </c>
      <c r="Y389">
        <v>0.38267561275858297</v>
      </c>
      <c r="Z389">
        <v>0</v>
      </c>
      <c r="AA389" s="1">
        <v>5.9009701509097201E-5</v>
      </c>
    </row>
    <row r="390" spans="1:27" x14ac:dyDescent="0.55000000000000004">
      <c r="A390">
        <v>389</v>
      </c>
      <c r="B390">
        <v>16.275875259999999</v>
      </c>
      <c r="C390">
        <v>-2.4664681389999998</v>
      </c>
      <c r="D390">
        <v>1.372572331</v>
      </c>
      <c r="E390">
        <v>33.438221300000002</v>
      </c>
      <c r="F390">
        <v>8.1574933400000003</v>
      </c>
      <c r="G390">
        <v>13.77545971</v>
      </c>
      <c r="H390">
        <v>16.275875259999999</v>
      </c>
      <c r="I390">
        <v>2.4664681389999998</v>
      </c>
      <c r="J390">
        <v>1.372572331</v>
      </c>
      <c r="K390">
        <v>33.438221300000002</v>
      </c>
      <c r="L390">
        <v>8.1574933400000003</v>
      </c>
      <c r="M390">
        <v>13.77545971</v>
      </c>
      <c r="N390">
        <v>9.7948498999999994E-2</v>
      </c>
      <c r="O390">
        <v>38.770454409999999</v>
      </c>
      <c r="P390">
        <v>0</v>
      </c>
      <c r="Q390">
        <v>143.81573316699999</v>
      </c>
      <c r="R390">
        <v>0.60762910139257698</v>
      </c>
      <c r="S390">
        <v>9.9563964745602002E-2</v>
      </c>
      <c r="T390">
        <v>7.0149094572964199E-2</v>
      </c>
      <c r="U390">
        <v>0.40356544457266502</v>
      </c>
      <c r="V390">
        <v>0.39860680824855699</v>
      </c>
      <c r="W390">
        <v>0.34989679305171301</v>
      </c>
      <c r="X390">
        <v>0.133378304833384</v>
      </c>
      <c r="Y390">
        <v>0.48992524739550602</v>
      </c>
      <c r="Z390">
        <v>0</v>
      </c>
      <c r="AA390">
        <v>3.3227411413809301E-3</v>
      </c>
    </row>
    <row r="391" spans="1:27" x14ac:dyDescent="0.55000000000000004">
      <c r="A391">
        <v>390</v>
      </c>
      <c r="B391">
        <v>16.11278965</v>
      </c>
      <c r="C391">
        <v>-2.2849429610000001</v>
      </c>
      <c r="D391">
        <v>1.434084666</v>
      </c>
      <c r="E391">
        <v>32.808895509999999</v>
      </c>
      <c r="F391">
        <v>7.9615032469999996</v>
      </c>
      <c r="G391">
        <v>13.646848260000001</v>
      </c>
      <c r="H391">
        <v>16.11278965</v>
      </c>
      <c r="I391">
        <v>2.2849429610000001</v>
      </c>
      <c r="J391">
        <v>1.434084666</v>
      </c>
      <c r="K391">
        <v>32.808895509999999</v>
      </c>
      <c r="L391">
        <v>7.9615032469999996</v>
      </c>
      <c r="M391">
        <v>13.646848260000001</v>
      </c>
      <c r="N391">
        <v>0.112045415</v>
      </c>
      <c r="O391">
        <v>36.588356019999999</v>
      </c>
      <c r="P391">
        <v>0</v>
      </c>
      <c r="Q391">
        <v>980.35127466300003</v>
      </c>
      <c r="R391">
        <v>0.60146811026666303</v>
      </c>
      <c r="S391">
        <v>9.2185769024624595E-2</v>
      </c>
      <c r="T391">
        <v>7.3303481093047906E-2</v>
      </c>
      <c r="U391">
        <v>0.38560599270882501</v>
      </c>
      <c r="V391">
        <v>0.38896770932858699</v>
      </c>
      <c r="W391">
        <v>0.34281657838824597</v>
      </c>
      <c r="X391">
        <v>0.15335748792270501</v>
      </c>
      <c r="Y391">
        <v>0.46162189085014799</v>
      </c>
      <c r="Z391">
        <v>0</v>
      </c>
      <c r="AA391">
        <v>2.26582282727977E-2</v>
      </c>
    </row>
    <row r="392" spans="1:27" x14ac:dyDescent="0.55000000000000004">
      <c r="A392">
        <v>391</v>
      </c>
      <c r="B392">
        <v>13.101905479999999</v>
      </c>
      <c r="C392">
        <v>-6.8345433169999996</v>
      </c>
      <c r="D392">
        <v>-1.67220616</v>
      </c>
      <c r="E392">
        <v>30.136299699999999</v>
      </c>
      <c r="F392">
        <v>11.061252140000001</v>
      </c>
      <c r="G392">
        <v>17.343801419999998</v>
      </c>
      <c r="H392">
        <v>13.101905479999999</v>
      </c>
      <c r="I392">
        <v>6.8345433169999996</v>
      </c>
      <c r="J392">
        <v>1.67220616</v>
      </c>
      <c r="K392">
        <v>30.136299699999999</v>
      </c>
      <c r="L392">
        <v>11.061252140000001</v>
      </c>
      <c r="M392">
        <v>17.343801419999998</v>
      </c>
      <c r="N392">
        <v>0.55072820199999994</v>
      </c>
      <c r="O392">
        <v>78.095588680000006</v>
      </c>
      <c r="P392">
        <v>1.1818368756195901</v>
      </c>
      <c r="Q392">
        <v>21696.325990099998</v>
      </c>
      <c r="R392">
        <v>0.48772398132405098</v>
      </c>
      <c r="S392">
        <v>0.27710690364979801</v>
      </c>
      <c r="T392">
        <v>8.5514482850919296E-2</v>
      </c>
      <c r="U392">
        <v>0.30933650468864499</v>
      </c>
      <c r="V392">
        <v>0.54141820184758005</v>
      </c>
      <c r="W392">
        <v>0.54633828639779403</v>
      </c>
      <c r="X392">
        <v>0.77509090249414603</v>
      </c>
      <c r="Y392">
        <v>1</v>
      </c>
      <c r="Z392">
        <v>1.0123216545125701E-3</v>
      </c>
      <c r="AA392">
        <v>0.50148242958379696</v>
      </c>
    </row>
    <row r="393" spans="1:27" x14ac:dyDescent="0.55000000000000004">
      <c r="A393">
        <v>392</v>
      </c>
      <c r="B393">
        <v>18.484957170000001</v>
      </c>
      <c r="C393">
        <v>1.6348208630000001</v>
      </c>
      <c r="D393">
        <v>5.4995591739999998</v>
      </c>
      <c r="E393">
        <v>38.192974909999997</v>
      </c>
      <c r="F393">
        <v>9.6611034129999993</v>
      </c>
      <c r="G393">
        <v>16.413238580000002</v>
      </c>
      <c r="H393">
        <v>18.484957170000001</v>
      </c>
      <c r="I393">
        <v>1.6348208630000001</v>
      </c>
      <c r="J393">
        <v>5.4995591739999998</v>
      </c>
      <c r="K393">
        <v>38.192974909999997</v>
      </c>
      <c r="L393">
        <v>9.6611034129999993</v>
      </c>
      <c r="M393">
        <v>16.413238580000002</v>
      </c>
      <c r="N393">
        <v>9.4025880000000006E-2</v>
      </c>
      <c r="O393">
        <v>26.232183460000002</v>
      </c>
      <c r="P393">
        <v>0</v>
      </c>
      <c r="Q393">
        <v>258.17111569299999</v>
      </c>
      <c r="R393">
        <v>0.69108302503382801</v>
      </c>
      <c r="S393">
        <v>6.5761180797109006E-2</v>
      </c>
      <c r="T393">
        <v>0.28178325975498397</v>
      </c>
      <c r="U393">
        <v>0.53925473291918902</v>
      </c>
      <c r="V393">
        <v>0.47255670035208103</v>
      </c>
      <c r="W393">
        <v>0.49510968532809202</v>
      </c>
      <c r="X393">
        <v>0.127818881538909</v>
      </c>
      <c r="Y393">
        <v>0.327295021927001</v>
      </c>
      <c r="Z393">
        <v>0</v>
      </c>
      <c r="AA393">
        <v>5.9659247451349399E-3</v>
      </c>
    </row>
    <row r="394" spans="1:27" x14ac:dyDescent="0.55000000000000004">
      <c r="A394">
        <v>393</v>
      </c>
      <c r="B394">
        <v>19.486743709999999</v>
      </c>
      <c r="C394">
        <v>-0.52233731000000005</v>
      </c>
      <c r="D394">
        <v>3.9838856499999999</v>
      </c>
      <c r="E394">
        <v>34.430680129999999</v>
      </c>
      <c r="F394">
        <v>9.2188992709999997</v>
      </c>
      <c r="G394">
        <v>15.54313045</v>
      </c>
      <c r="H394">
        <v>19.486743709999999</v>
      </c>
      <c r="I394">
        <v>0.52233731000000005</v>
      </c>
      <c r="J394">
        <v>3.9838856499999999</v>
      </c>
      <c r="K394">
        <v>34.430680129999999</v>
      </c>
      <c r="L394">
        <v>9.2188992709999997</v>
      </c>
      <c r="M394">
        <v>15.54313045</v>
      </c>
      <c r="N394">
        <v>7.3130793999999999E-2</v>
      </c>
      <c r="O394">
        <v>23.758493420000001</v>
      </c>
      <c r="P394">
        <v>0</v>
      </c>
      <c r="Q394">
        <v>45.576300529400001</v>
      </c>
      <c r="R394">
        <v>0.72892816650890901</v>
      </c>
      <c r="S394">
        <v>2.05436441400049E-2</v>
      </c>
      <c r="T394">
        <v>0.204058684140138</v>
      </c>
      <c r="U394">
        <v>0.43188784430179</v>
      </c>
      <c r="V394">
        <v>0.45080840990375598</v>
      </c>
      <c r="W394">
        <v>0.44720918859293901</v>
      </c>
      <c r="X394">
        <v>9.8204833412275497E-2</v>
      </c>
      <c r="Y394">
        <v>0.29520951583539801</v>
      </c>
      <c r="Z394">
        <v>0</v>
      </c>
      <c r="AA394">
        <v>1.05205783943173E-3</v>
      </c>
    </row>
    <row r="395" spans="1:27" x14ac:dyDescent="0.55000000000000004">
      <c r="A395">
        <v>394</v>
      </c>
      <c r="B395">
        <v>19.761657110000002</v>
      </c>
      <c r="C395">
        <v>-1.217985415</v>
      </c>
      <c r="D395">
        <v>3.6123512870000001</v>
      </c>
      <c r="E395">
        <v>35.764090979999999</v>
      </c>
      <c r="F395">
        <v>9.2857977030000001</v>
      </c>
      <c r="G395">
        <v>15.64076697</v>
      </c>
      <c r="H395">
        <v>19.761657110000002</v>
      </c>
      <c r="I395">
        <v>1.217985415</v>
      </c>
      <c r="J395">
        <v>3.6123512870000001</v>
      </c>
      <c r="K395">
        <v>35.764090979999999</v>
      </c>
      <c r="L395">
        <v>9.2857977030000001</v>
      </c>
      <c r="M395">
        <v>15.64076697</v>
      </c>
      <c r="N395">
        <v>7.3514059000000007E-2</v>
      </c>
      <c r="O395">
        <v>22.86788559</v>
      </c>
      <c r="P395">
        <v>0</v>
      </c>
      <c r="Q395">
        <v>111.02284321800001</v>
      </c>
      <c r="R395">
        <v>0.73931374876717704</v>
      </c>
      <c r="S395">
        <v>4.8818663220923E-2</v>
      </c>
      <c r="T395">
        <v>0.18500619675862201</v>
      </c>
      <c r="U395">
        <v>0.469940198671849</v>
      </c>
      <c r="V395">
        <v>0.45409857928817898</v>
      </c>
      <c r="W395">
        <v>0.45258419618825002</v>
      </c>
      <c r="X395">
        <v>9.8748024675295601E-2</v>
      </c>
      <c r="Y395">
        <v>0.28365770356602599</v>
      </c>
      <c r="Z395">
        <v>0</v>
      </c>
      <c r="AA395">
        <v>2.5647739419515599E-3</v>
      </c>
    </row>
    <row r="396" spans="1:27" x14ac:dyDescent="0.55000000000000004">
      <c r="A396">
        <v>395</v>
      </c>
      <c r="B396">
        <v>20.43771791</v>
      </c>
      <c r="C396">
        <v>-0.67393983199999996</v>
      </c>
      <c r="D396">
        <v>4.2346277539999999</v>
      </c>
      <c r="E396">
        <v>36.465699430000001</v>
      </c>
      <c r="F396">
        <v>10.84802221</v>
      </c>
      <c r="G396">
        <v>17.0450494</v>
      </c>
      <c r="H396">
        <v>20.43771791</v>
      </c>
      <c r="I396">
        <v>0.67393983199999996</v>
      </c>
      <c r="J396">
        <v>4.2346277539999999</v>
      </c>
      <c r="K396">
        <v>36.465699430000001</v>
      </c>
      <c r="L396">
        <v>10.84802221</v>
      </c>
      <c r="M396">
        <v>17.0450494</v>
      </c>
      <c r="N396">
        <v>8.3823584000000007E-2</v>
      </c>
      <c r="O396">
        <v>28.637601849999999</v>
      </c>
      <c r="P396">
        <v>0</v>
      </c>
      <c r="Q396">
        <v>12.814255323899999</v>
      </c>
      <c r="R396">
        <v>0.76485373717803795</v>
      </c>
      <c r="S396">
        <v>2.67056162225211E-2</v>
      </c>
      <c r="T396">
        <v>0.216916877750817</v>
      </c>
      <c r="U396">
        <v>0.48996242465600598</v>
      </c>
      <c r="V396">
        <v>0.53093122081447197</v>
      </c>
      <c r="W396">
        <v>0.52989162917758204</v>
      </c>
      <c r="X396">
        <v>0.113359439508081</v>
      </c>
      <c r="Y396">
        <v>0.35849499652252398</v>
      </c>
      <c r="Z396">
        <v>0</v>
      </c>
      <c r="AA396">
        <v>2.9480357819976601E-4</v>
      </c>
    </row>
    <row r="397" spans="1:27" x14ac:dyDescent="0.55000000000000004">
      <c r="A397">
        <v>396</v>
      </c>
      <c r="B397">
        <v>21.818025989999999</v>
      </c>
      <c r="C397">
        <v>-2.0864484870000002</v>
      </c>
      <c r="D397">
        <v>3.5405979869999999</v>
      </c>
      <c r="E397">
        <v>33.904878779999997</v>
      </c>
      <c r="F397">
        <v>10.57873498</v>
      </c>
      <c r="G397">
        <v>16.233937529999999</v>
      </c>
      <c r="H397">
        <v>21.818025989999999</v>
      </c>
      <c r="I397">
        <v>2.0864484870000002</v>
      </c>
      <c r="J397">
        <v>3.5405979869999999</v>
      </c>
      <c r="K397">
        <v>33.904878779999997</v>
      </c>
      <c r="L397">
        <v>10.57873498</v>
      </c>
      <c r="M397">
        <v>16.233937529999999</v>
      </c>
      <c r="N397">
        <v>8.9547901999999999E-2</v>
      </c>
      <c r="O397">
        <v>26.970186229999999</v>
      </c>
      <c r="P397">
        <v>0</v>
      </c>
      <c r="Q397">
        <v>123.308879926</v>
      </c>
      <c r="R397">
        <v>0.81699853298134095</v>
      </c>
      <c r="S397">
        <v>8.4117846465118995E-2</v>
      </c>
      <c r="T397">
        <v>0.18132664789591799</v>
      </c>
      <c r="U397">
        <v>0.41688273218765498</v>
      </c>
      <c r="V397">
        <v>0.51768725420308503</v>
      </c>
      <c r="W397">
        <v>0.48523894735425599</v>
      </c>
      <c r="X397">
        <v>0.121472362744873</v>
      </c>
      <c r="Y397">
        <v>0.33686743883839998</v>
      </c>
      <c r="Z397">
        <v>0</v>
      </c>
      <c r="AA397">
        <v>2.84875052498929E-3</v>
      </c>
    </row>
    <row r="398" spans="1:27" x14ac:dyDescent="0.55000000000000004">
      <c r="A398">
        <v>397</v>
      </c>
      <c r="B398">
        <v>22.09618618</v>
      </c>
      <c r="C398">
        <v>-3.4555080399999998</v>
      </c>
      <c r="D398">
        <v>2.7584692230000001</v>
      </c>
      <c r="E398">
        <v>33.633727030000003</v>
      </c>
      <c r="F398">
        <v>10.662763099999999</v>
      </c>
      <c r="G398">
        <v>16.207686729999999</v>
      </c>
      <c r="H398">
        <v>22.09618618</v>
      </c>
      <c r="I398">
        <v>3.4555080399999998</v>
      </c>
      <c r="J398">
        <v>2.7584692230000001</v>
      </c>
      <c r="K398">
        <v>33.633727030000003</v>
      </c>
      <c r="L398">
        <v>10.662763099999999</v>
      </c>
      <c r="M398">
        <v>16.207686729999999</v>
      </c>
      <c r="N398">
        <v>7.2157665999999995E-2</v>
      </c>
      <c r="O398">
        <v>19.559804920000001</v>
      </c>
      <c r="P398">
        <v>0</v>
      </c>
      <c r="Q398">
        <v>20.793273596700001</v>
      </c>
      <c r="R398">
        <v>0.82750677133647599</v>
      </c>
      <c r="S398">
        <v>0.13976406285779999</v>
      </c>
      <c r="T398">
        <v>0.141218652806294</v>
      </c>
      <c r="U398">
        <v>0.409144710197612</v>
      </c>
      <c r="V398">
        <v>0.52181988840076898</v>
      </c>
      <c r="W398">
        <v>0.48379380931181998</v>
      </c>
      <c r="X398">
        <v>9.6825645050697295E-2</v>
      </c>
      <c r="Y398">
        <v>0.240749561974931</v>
      </c>
      <c r="Z398">
        <v>0</v>
      </c>
      <c r="AA398">
        <v>4.7922874303993898E-4</v>
      </c>
    </row>
    <row r="399" spans="1:27" x14ac:dyDescent="0.55000000000000004">
      <c r="A399">
        <v>398</v>
      </c>
      <c r="B399">
        <v>21.147032599999999</v>
      </c>
      <c r="C399">
        <v>-3.8751773370000002</v>
      </c>
      <c r="D399">
        <v>2.086951424</v>
      </c>
      <c r="E399">
        <v>32.168624620000003</v>
      </c>
      <c r="F399">
        <v>10.057072509999999</v>
      </c>
      <c r="G399">
        <v>15.64226513</v>
      </c>
      <c r="H399">
        <v>21.147032599999999</v>
      </c>
      <c r="I399">
        <v>3.8751773370000002</v>
      </c>
      <c r="J399">
        <v>2.086951424</v>
      </c>
      <c r="K399">
        <v>32.168624620000003</v>
      </c>
      <c r="L399">
        <v>10.057072509999999</v>
      </c>
      <c r="M399">
        <v>15.64226513</v>
      </c>
      <c r="N399">
        <v>5.9616825999999998E-2</v>
      </c>
      <c r="O399">
        <v>19.223903660000001</v>
      </c>
      <c r="P399">
        <v>0</v>
      </c>
      <c r="Q399">
        <v>3.6498910273299998</v>
      </c>
      <c r="R399">
        <v>0.79164997941283899</v>
      </c>
      <c r="S399">
        <v>0.15682176386361299</v>
      </c>
      <c r="T399">
        <v>0.10678284910673</v>
      </c>
      <c r="U399">
        <v>0.36733419388619398</v>
      </c>
      <c r="V399">
        <v>0.49203107906587701</v>
      </c>
      <c r="W399">
        <v>0.452666671694126</v>
      </c>
      <c r="X399">
        <v>7.9051846976431597E-2</v>
      </c>
      <c r="Y399">
        <v>0.236392685507131</v>
      </c>
      <c r="Z399">
        <v>0</v>
      </c>
      <c r="AA399" s="1">
        <v>8.2980602206352407E-5</v>
      </c>
    </row>
    <row r="400" spans="1:27" x14ac:dyDescent="0.55000000000000004">
      <c r="A400">
        <v>399</v>
      </c>
      <c r="B400">
        <v>18.949936180000002</v>
      </c>
      <c r="C400">
        <v>-2.3592268970000001</v>
      </c>
      <c r="D400">
        <v>2.0958108040000001</v>
      </c>
      <c r="E400">
        <v>32.695345590000002</v>
      </c>
      <c r="F400">
        <v>7.8128470329999997</v>
      </c>
      <c r="G400">
        <v>13.632243190000001</v>
      </c>
      <c r="H400">
        <v>18.949936180000002</v>
      </c>
      <c r="I400">
        <v>2.3592268970000001</v>
      </c>
      <c r="J400">
        <v>2.0958108040000001</v>
      </c>
      <c r="K400">
        <v>32.695345590000002</v>
      </c>
      <c r="L400">
        <v>7.8128470329999997</v>
      </c>
      <c r="M400">
        <v>13.632243190000001</v>
      </c>
      <c r="N400">
        <v>5.8269963000000001E-2</v>
      </c>
      <c r="O400">
        <v>26.770906449999998</v>
      </c>
      <c r="P400">
        <v>0</v>
      </c>
      <c r="Q400">
        <v>3.5576407665300001</v>
      </c>
      <c r="R400">
        <v>0.70864883942018697</v>
      </c>
      <c r="S400">
        <v>9.5205082514748601E-2</v>
      </c>
      <c r="T400">
        <v>0.107237163007321</v>
      </c>
      <c r="U400">
        <v>0.38236554975417802</v>
      </c>
      <c r="V400">
        <v>0.38165656451570101</v>
      </c>
      <c r="W400">
        <v>0.34201255175784101</v>
      </c>
      <c r="X400">
        <v>7.7142973966673106E-2</v>
      </c>
      <c r="Y400">
        <v>0.33428263941254899</v>
      </c>
      <c r="Z400">
        <v>0</v>
      </c>
      <c r="AA400" s="1">
        <v>8.0848351223473207E-5</v>
      </c>
    </row>
    <row r="401" spans="1:27" x14ac:dyDescent="0.55000000000000004">
      <c r="A401">
        <v>400</v>
      </c>
      <c r="B401">
        <v>18.36471504</v>
      </c>
      <c r="C401">
        <v>-3.6096726499999998</v>
      </c>
      <c r="D401">
        <v>0.84731479799999998</v>
      </c>
      <c r="E401">
        <v>31.140829329999999</v>
      </c>
      <c r="F401">
        <v>7.4505764760000002</v>
      </c>
      <c r="G401">
        <v>12.85086592</v>
      </c>
      <c r="H401">
        <v>18.36471504</v>
      </c>
      <c r="I401">
        <v>3.6096726499999998</v>
      </c>
      <c r="J401">
        <v>0.84731479799999998</v>
      </c>
      <c r="K401">
        <v>31.140829329999999</v>
      </c>
      <c r="L401">
        <v>7.4505764760000002</v>
      </c>
      <c r="M401">
        <v>12.85086592</v>
      </c>
      <c r="N401">
        <v>0.100141525</v>
      </c>
      <c r="O401">
        <v>23.92982864</v>
      </c>
      <c r="P401">
        <v>0</v>
      </c>
      <c r="Q401">
        <v>61.540770502699999</v>
      </c>
      <c r="R401">
        <v>0.68654055990835805</v>
      </c>
      <c r="S401">
        <v>0.14603017248711</v>
      </c>
      <c r="T401">
        <v>4.3213598112496802E-2</v>
      </c>
      <c r="U401">
        <v>0.338003376160392</v>
      </c>
      <c r="V401">
        <v>0.36383953263789298</v>
      </c>
      <c r="W401">
        <v>0.29899679534770601</v>
      </c>
      <c r="X401">
        <v>0.13648642209631201</v>
      </c>
      <c r="Y401">
        <v>0.29743185459090998</v>
      </c>
      <c r="Z401">
        <v>0</v>
      </c>
      <c r="AA401">
        <v>1.4210568698574001E-3</v>
      </c>
    </row>
    <row r="402" spans="1:27" x14ac:dyDescent="0.55000000000000004">
      <c r="A402">
        <v>401</v>
      </c>
      <c r="B402">
        <v>18.079243949999999</v>
      </c>
      <c r="C402">
        <v>-3.084092675</v>
      </c>
      <c r="D402">
        <v>1.082235115</v>
      </c>
      <c r="E402">
        <v>31.75681415</v>
      </c>
      <c r="F402">
        <v>7.251144536</v>
      </c>
      <c r="G402">
        <v>12.50347642</v>
      </c>
      <c r="H402">
        <v>18.079243949999999</v>
      </c>
      <c r="I402">
        <v>3.084092675</v>
      </c>
      <c r="J402">
        <v>1.082235115</v>
      </c>
      <c r="K402">
        <v>31.75681415</v>
      </c>
      <c r="L402">
        <v>7.251144536</v>
      </c>
      <c r="M402">
        <v>12.50347642</v>
      </c>
      <c r="N402">
        <v>9.7724407999999999E-2</v>
      </c>
      <c r="O402">
        <v>30.630838390000001</v>
      </c>
      <c r="P402">
        <v>0</v>
      </c>
      <c r="Q402">
        <v>367.94049773500001</v>
      </c>
      <c r="R402">
        <v>0.67575613293043502</v>
      </c>
      <c r="S402">
        <v>0.124667670792847</v>
      </c>
      <c r="T402">
        <v>5.5260441745380799E-2</v>
      </c>
      <c r="U402">
        <v>0.35558210866974299</v>
      </c>
      <c r="V402">
        <v>0.35403115830612802</v>
      </c>
      <c r="W402">
        <v>0.279872586485784</v>
      </c>
      <c r="X402">
        <v>0.13306070663547501</v>
      </c>
      <c r="Y402">
        <v>0.38434868154855001</v>
      </c>
      <c r="Z402">
        <v>0</v>
      </c>
      <c r="AA402">
        <v>8.5031086047723092E-3</v>
      </c>
    </row>
    <row r="403" spans="1:27" x14ac:dyDescent="0.55000000000000004">
      <c r="A403">
        <v>402</v>
      </c>
      <c r="B403">
        <v>19.136804940000001</v>
      </c>
      <c r="C403">
        <v>-2.0278369120000002</v>
      </c>
      <c r="D403">
        <v>2.8000997189999999</v>
      </c>
      <c r="E403">
        <v>31.493682769999999</v>
      </c>
      <c r="F403">
        <v>11.04386835</v>
      </c>
      <c r="G403">
        <v>16.50699367</v>
      </c>
      <c r="H403">
        <v>19.136804940000001</v>
      </c>
      <c r="I403">
        <v>2.0278369120000002</v>
      </c>
      <c r="J403">
        <v>2.8000997189999999</v>
      </c>
      <c r="K403">
        <v>31.493682769999999</v>
      </c>
      <c r="L403">
        <v>11.04386835</v>
      </c>
      <c r="M403">
        <v>16.50699367</v>
      </c>
      <c r="N403">
        <v>0.104526296</v>
      </c>
      <c r="O403">
        <v>28.716331480000001</v>
      </c>
      <c r="P403">
        <v>0</v>
      </c>
      <c r="Q403">
        <v>2.5609933352000001</v>
      </c>
      <c r="R403">
        <v>0.71570830206726199</v>
      </c>
      <c r="S403">
        <v>8.1735545141251198E-2</v>
      </c>
      <c r="T403">
        <v>0.143353487639126</v>
      </c>
      <c r="U403">
        <v>0.34807296884412797</v>
      </c>
      <c r="V403">
        <v>0.54056323990104005</v>
      </c>
      <c r="W403">
        <v>0.50027101554396902</v>
      </c>
      <c r="X403">
        <v>0.14270084109503101</v>
      </c>
      <c r="Y403">
        <v>0.35951617540189401</v>
      </c>
      <c r="Z403">
        <v>0</v>
      </c>
      <c r="AA403" s="1">
        <v>5.78120752649186E-5</v>
      </c>
    </row>
    <row r="404" spans="1:27" x14ac:dyDescent="0.55000000000000004">
      <c r="A404">
        <v>403</v>
      </c>
      <c r="B404">
        <v>20.12208596</v>
      </c>
      <c r="C404">
        <v>-3.338467912</v>
      </c>
      <c r="D404">
        <v>1.940291539</v>
      </c>
      <c r="E404">
        <v>31.56708763</v>
      </c>
      <c r="F404">
        <v>8.7308491680000007</v>
      </c>
      <c r="G404">
        <v>14.804929209999999</v>
      </c>
      <c r="H404">
        <v>20.12208596</v>
      </c>
      <c r="I404">
        <v>3.338467912</v>
      </c>
      <c r="J404">
        <v>1.940291539</v>
      </c>
      <c r="K404">
        <v>31.56708763</v>
      </c>
      <c r="L404">
        <v>8.7308491680000007</v>
      </c>
      <c r="M404">
        <v>14.804929209999999</v>
      </c>
      <c r="N404">
        <v>6.8968497000000004E-2</v>
      </c>
      <c r="O404">
        <v>22.771156309999999</v>
      </c>
      <c r="P404">
        <v>0</v>
      </c>
      <c r="Q404">
        <v>36.791642088099998</v>
      </c>
      <c r="R404">
        <v>0.752929903781548</v>
      </c>
      <c r="S404">
        <v>0.13500689924497999</v>
      </c>
      <c r="T404">
        <v>9.9262049184551601E-2</v>
      </c>
      <c r="U404">
        <v>0.35016776786665299</v>
      </c>
      <c r="V404">
        <v>0.42680534347978999</v>
      </c>
      <c r="W404">
        <v>0.40657032444796598</v>
      </c>
      <c r="X404">
        <v>9.2305720880489606E-2</v>
      </c>
      <c r="Y404">
        <v>0.28240305651951197</v>
      </c>
      <c r="Z404">
        <v>0</v>
      </c>
      <c r="AA404">
        <v>8.4901129589589198E-4</v>
      </c>
    </row>
    <row r="405" spans="1:27" x14ac:dyDescent="0.55000000000000004">
      <c r="A405">
        <v>404</v>
      </c>
      <c r="B405">
        <v>19.8435989</v>
      </c>
      <c r="C405">
        <v>-4.0287930330000004</v>
      </c>
      <c r="D405">
        <v>1.6374390320000001</v>
      </c>
      <c r="E405">
        <v>32.022581629999998</v>
      </c>
      <c r="F405">
        <v>10.353744000000001</v>
      </c>
      <c r="G405">
        <v>16.04100815</v>
      </c>
      <c r="H405">
        <v>19.8435989</v>
      </c>
      <c r="I405">
        <v>4.0287930330000004</v>
      </c>
      <c r="J405">
        <v>1.6374390320000001</v>
      </c>
      <c r="K405">
        <v>32.022581629999998</v>
      </c>
      <c r="L405">
        <v>10.353744000000001</v>
      </c>
      <c r="M405">
        <v>16.04100815</v>
      </c>
      <c r="N405">
        <v>7.3102258000000003E-2</v>
      </c>
      <c r="O405">
        <v>25.182785030000002</v>
      </c>
      <c r="P405">
        <v>0</v>
      </c>
      <c r="Q405">
        <v>22.571380768699999</v>
      </c>
      <c r="R405">
        <v>0.74240931704589497</v>
      </c>
      <c r="S405">
        <v>0.163065562566304</v>
      </c>
      <c r="T405">
        <v>8.3731605320660998E-2</v>
      </c>
      <c r="U405">
        <v>0.36316647648030798</v>
      </c>
      <c r="V405">
        <v>0.50662184635963403</v>
      </c>
      <c r="W405">
        <v>0.47461795345915803</v>
      </c>
      <c r="X405">
        <v>9.8164390100515905E-2</v>
      </c>
      <c r="Y405">
        <v>0.31368358347924602</v>
      </c>
      <c r="Z405">
        <v>0</v>
      </c>
      <c r="AA405">
        <v>5.2032749693269303E-4</v>
      </c>
    </row>
    <row r="406" spans="1:27" x14ac:dyDescent="0.55000000000000004">
      <c r="A406">
        <v>405</v>
      </c>
      <c r="B406">
        <v>18.806129089999999</v>
      </c>
      <c r="C406">
        <v>-4.3700787400000003</v>
      </c>
      <c r="D406">
        <v>0.86340496600000005</v>
      </c>
      <c r="E406">
        <v>31.518444519999999</v>
      </c>
      <c r="F406">
        <v>9.4624151790000006</v>
      </c>
      <c r="G406">
        <v>15.737924639999999</v>
      </c>
      <c r="H406">
        <v>18.806129089999999</v>
      </c>
      <c r="I406">
        <v>4.3700787400000003</v>
      </c>
      <c r="J406">
        <v>0.86340496600000005</v>
      </c>
      <c r="K406">
        <v>31.518444519999999</v>
      </c>
      <c r="L406">
        <v>9.4624151790000006</v>
      </c>
      <c r="M406">
        <v>15.737924639999999</v>
      </c>
      <c r="N406">
        <v>6.4097814000000003E-2</v>
      </c>
      <c r="O406">
        <v>18.170671460000001</v>
      </c>
      <c r="P406">
        <v>0</v>
      </c>
      <c r="Q406">
        <v>28.010513313899999</v>
      </c>
      <c r="R406">
        <v>0.70321614547905098</v>
      </c>
      <c r="S406">
        <v>0.17693731727692699</v>
      </c>
      <c r="T406">
        <v>4.40387108162347E-2</v>
      </c>
      <c r="U406">
        <v>0.34877960992614898</v>
      </c>
      <c r="V406">
        <v>0.46278490264310201</v>
      </c>
      <c r="W406">
        <v>0.45793284251641297</v>
      </c>
      <c r="X406">
        <v>8.5402631763192904E-2</v>
      </c>
      <c r="Y406">
        <v>0.22273152035607099</v>
      </c>
      <c r="Z406">
        <v>0</v>
      </c>
      <c r="AA406">
        <v>6.4604633626103697E-4</v>
      </c>
    </row>
    <row r="407" spans="1:27" x14ac:dyDescent="0.55000000000000004">
      <c r="A407">
        <v>406</v>
      </c>
      <c r="B407">
        <v>18.68223313</v>
      </c>
      <c r="C407">
        <v>-4.7496736740000003</v>
      </c>
      <c r="D407">
        <v>0.52031408099999998</v>
      </c>
      <c r="E407">
        <v>31.533416819999999</v>
      </c>
      <c r="F407">
        <v>8.3053233889999998</v>
      </c>
      <c r="G407">
        <v>14.14643978</v>
      </c>
      <c r="H407">
        <v>18.68223313</v>
      </c>
      <c r="I407">
        <v>4.7496736740000003</v>
      </c>
      <c r="J407">
        <v>0.52031408099999998</v>
      </c>
      <c r="K407">
        <v>31.533416819999999</v>
      </c>
      <c r="L407">
        <v>8.3053233889999998</v>
      </c>
      <c r="M407">
        <v>14.14643978</v>
      </c>
      <c r="N407">
        <v>8.6718418000000005E-2</v>
      </c>
      <c r="O407">
        <v>23.14401436</v>
      </c>
      <c r="P407">
        <v>0</v>
      </c>
      <c r="Q407">
        <v>367.16730598200002</v>
      </c>
      <c r="R407">
        <v>0.69853564724198003</v>
      </c>
      <c r="S407">
        <v>0.192366172648954</v>
      </c>
      <c r="T407">
        <v>2.6444820699600899E-2</v>
      </c>
      <c r="U407">
        <v>0.349206883534531</v>
      </c>
      <c r="V407">
        <v>0.40587732097623302</v>
      </c>
      <c r="W407">
        <v>0.37031969110214502</v>
      </c>
      <c r="X407">
        <v>0.117462210532552</v>
      </c>
      <c r="Y407">
        <v>0.28723928864282899</v>
      </c>
      <c r="Z407">
        <v>0</v>
      </c>
      <c r="AA407">
        <v>8.4852372311741107E-3</v>
      </c>
    </row>
    <row r="408" spans="1:27" x14ac:dyDescent="0.55000000000000004">
      <c r="A408">
        <v>407</v>
      </c>
      <c r="B408">
        <v>14.687624420000001</v>
      </c>
      <c r="C408">
        <v>-8.9938894079999994</v>
      </c>
      <c r="D408">
        <v>-3.5565205020000001</v>
      </c>
      <c r="E408">
        <v>30.850319859999999</v>
      </c>
      <c r="F408">
        <v>9.7870827219999992</v>
      </c>
      <c r="G408">
        <v>15.114590010000001</v>
      </c>
      <c r="H408">
        <v>14.687624420000001</v>
      </c>
      <c r="I408">
        <v>8.9938894079999994</v>
      </c>
      <c r="J408">
        <v>3.5565205020000001</v>
      </c>
      <c r="K408">
        <v>30.850319859999999</v>
      </c>
      <c r="L408">
        <v>9.7870827219999992</v>
      </c>
      <c r="M408">
        <v>15.114590010000001</v>
      </c>
      <c r="N408">
        <v>8.2093588999999995E-2</v>
      </c>
      <c r="O408">
        <v>18.181108470000002</v>
      </c>
      <c r="P408">
        <v>0</v>
      </c>
      <c r="Q408">
        <v>134.78059146499999</v>
      </c>
      <c r="R408">
        <v>0.54762871674205404</v>
      </c>
      <c r="S408">
        <v>0.36487477290221398</v>
      </c>
      <c r="T408">
        <v>0.182143163261199</v>
      </c>
      <c r="U408">
        <v>0.32971293117091399</v>
      </c>
      <c r="V408">
        <v>0.47875255955461998</v>
      </c>
      <c r="W408">
        <v>0.42361752309832801</v>
      </c>
      <c r="X408">
        <v>0.11090756373265601</v>
      </c>
      <c r="Y408">
        <v>0.22286689574365801</v>
      </c>
      <c r="Z408">
        <v>0</v>
      </c>
      <c r="AA408">
        <v>3.1139049862581899E-3</v>
      </c>
    </row>
    <row r="409" spans="1:27" x14ac:dyDescent="0.55000000000000004">
      <c r="A409">
        <v>408</v>
      </c>
      <c r="B409">
        <v>12.19832341</v>
      </c>
      <c r="C409">
        <v>-10.39569655</v>
      </c>
      <c r="D409">
        <v>-5.2667221609999997</v>
      </c>
      <c r="E409">
        <v>28.017554560000001</v>
      </c>
      <c r="F409">
        <v>7.9829806479999998</v>
      </c>
      <c r="G409">
        <v>13.30462266</v>
      </c>
      <c r="H409">
        <v>12.19832341</v>
      </c>
      <c r="I409">
        <v>10.39569655</v>
      </c>
      <c r="J409">
        <v>5.2667221609999997</v>
      </c>
      <c r="K409">
        <v>28.017554560000001</v>
      </c>
      <c r="L409">
        <v>7.9829806479999998</v>
      </c>
      <c r="M409">
        <v>13.30462266</v>
      </c>
      <c r="N409">
        <v>0.14925018000000001</v>
      </c>
      <c r="O409">
        <v>45.972526549999998</v>
      </c>
      <c r="P409">
        <v>0</v>
      </c>
      <c r="Q409">
        <v>42.851711543100002</v>
      </c>
      <c r="R409">
        <v>0.45358877396391201</v>
      </c>
      <c r="S409">
        <v>0.42185203396701199</v>
      </c>
      <c r="T409">
        <v>0.2698432491021</v>
      </c>
      <c r="U409">
        <v>0.24887258924419001</v>
      </c>
      <c r="V409">
        <v>0.390024001458531</v>
      </c>
      <c r="W409">
        <v>0.32397664841829399</v>
      </c>
      <c r="X409">
        <v>0.20608680912531299</v>
      </c>
      <c r="Y409">
        <v>0.58334120727063099</v>
      </c>
      <c r="Z409">
        <v>0</v>
      </c>
      <c r="AA409">
        <v>9.8908232593616701E-4</v>
      </c>
    </row>
    <row r="410" spans="1:27" x14ac:dyDescent="0.55000000000000004">
      <c r="A410">
        <v>409</v>
      </c>
      <c r="B410">
        <v>12.06425454</v>
      </c>
      <c r="C410">
        <v>-10.59523216</v>
      </c>
      <c r="D410">
        <v>-5.4168043060000004</v>
      </c>
      <c r="E410">
        <v>27.497654279999999</v>
      </c>
      <c r="F410">
        <v>7.7995744069999997</v>
      </c>
      <c r="G410">
        <v>13.13129462</v>
      </c>
      <c r="H410">
        <v>12.06425454</v>
      </c>
      <c r="I410">
        <v>10.59523216</v>
      </c>
      <c r="J410">
        <v>5.4168043060000004</v>
      </c>
      <c r="K410">
        <v>27.497654279999999</v>
      </c>
      <c r="L410">
        <v>7.7995744069999997</v>
      </c>
      <c r="M410">
        <v>13.13129462</v>
      </c>
      <c r="N410">
        <v>0.13532348</v>
      </c>
      <c r="O410">
        <v>39.25451279</v>
      </c>
      <c r="P410">
        <v>0</v>
      </c>
      <c r="Q410">
        <v>10.3266067345</v>
      </c>
      <c r="R410">
        <v>0.448523967091427</v>
      </c>
      <c r="S410">
        <v>0.42996227410066801</v>
      </c>
      <c r="T410">
        <v>0.27753954440763901</v>
      </c>
      <c r="U410">
        <v>0.23403587954466001</v>
      </c>
      <c r="V410">
        <v>0.38100379603652201</v>
      </c>
      <c r="W410">
        <v>0.31443473181290499</v>
      </c>
      <c r="X410">
        <v>0.18634886863321801</v>
      </c>
      <c r="Y410">
        <v>0.49620382629950699</v>
      </c>
      <c r="Z410">
        <v>0</v>
      </c>
      <c r="AA410">
        <v>2.3730464970019201E-4</v>
      </c>
    </row>
    <row r="411" spans="1:27" x14ac:dyDescent="0.55000000000000004">
      <c r="A411">
        <v>410</v>
      </c>
      <c r="B411">
        <v>13.253605589999999</v>
      </c>
      <c r="C411">
        <v>-8.9034895469999995</v>
      </c>
      <c r="D411">
        <v>-3.8089664110000001</v>
      </c>
      <c r="E411">
        <v>26.651358479999999</v>
      </c>
      <c r="F411">
        <v>8.0535719619999995</v>
      </c>
      <c r="G411">
        <v>13.19604571</v>
      </c>
      <c r="H411">
        <v>13.253605589999999</v>
      </c>
      <c r="I411">
        <v>8.9034895469999995</v>
      </c>
      <c r="J411">
        <v>3.8089664110000001</v>
      </c>
      <c r="K411">
        <v>26.651358479999999</v>
      </c>
      <c r="L411">
        <v>8.0535719619999995</v>
      </c>
      <c r="M411">
        <v>13.19604571</v>
      </c>
      <c r="N411">
        <v>0.123496711</v>
      </c>
      <c r="O411">
        <v>32.805580140000004</v>
      </c>
      <c r="P411">
        <v>0</v>
      </c>
      <c r="Q411">
        <v>29.396421532000002</v>
      </c>
      <c r="R411">
        <v>0.49345485501370501</v>
      </c>
      <c r="S411">
        <v>0.361200418330821</v>
      </c>
      <c r="T411">
        <v>0.19508872893351301</v>
      </c>
      <c r="U411">
        <v>0.20988462287572601</v>
      </c>
      <c r="V411">
        <v>0.39349579254817901</v>
      </c>
      <c r="W411">
        <v>0.31799935702235199</v>
      </c>
      <c r="X411">
        <v>0.16958710434334801</v>
      </c>
      <c r="Y411">
        <v>0.412556617279774</v>
      </c>
      <c r="Z411">
        <v>0</v>
      </c>
      <c r="AA411">
        <v>6.7807989513227695E-4</v>
      </c>
    </row>
    <row r="412" spans="1:27" x14ac:dyDescent="0.55000000000000004">
      <c r="A412">
        <v>411</v>
      </c>
      <c r="B412">
        <v>20.304757710000001</v>
      </c>
      <c r="C412">
        <v>-7.5623140759999998</v>
      </c>
      <c r="D412">
        <v>-1.157111773</v>
      </c>
      <c r="E412">
        <v>31.621471679999999</v>
      </c>
      <c r="F412">
        <v>8.7635861629999994</v>
      </c>
      <c r="G412">
        <v>13.85688045</v>
      </c>
      <c r="H412">
        <v>20.304757710000001</v>
      </c>
      <c r="I412">
        <v>7.5623140759999998</v>
      </c>
      <c r="J412">
        <v>1.157111773</v>
      </c>
      <c r="K412">
        <v>31.621471679999999</v>
      </c>
      <c r="L412">
        <v>8.7635861629999994</v>
      </c>
      <c r="M412">
        <v>13.85688045</v>
      </c>
      <c r="N412">
        <v>7.0037082000000001E-2</v>
      </c>
      <c r="O412">
        <v>13.48583412</v>
      </c>
      <c r="P412">
        <v>0</v>
      </c>
      <c r="Q412">
        <v>42.801134564000002</v>
      </c>
      <c r="R412">
        <v>0.75983081325299195</v>
      </c>
      <c r="S412">
        <v>0.30668756655875401</v>
      </c>
      <c r="T412">
        <v>5.9100158131762698E-2</v>
      </c>
      <c r="U412">
        <v>0.35171975849480702</v>
      </c>
      <c r="V412">
        <v>0.428415400030697</v>
      </c>
      <c r="W412">
        <v>0.354379102498177</v>
      </c>
      <c r="X412">
        <v>9.3820197902378805E-2</v>
      </c>
      <c r="Y412">
        <v>0.16196587284966801</v>
      </c>
      <c r="Z412">
        <v>0</v>
      </c>
      <c r="AA412">
        <v>9.8791330145361509E-4</v>
      </c>
    </row>
    <row r="413" spans="1:27" x14ac:dyDescent="0.55000000000000004">
      <c r="A413">
        <v>412</v>
      </c>
      <c r="B413">
        <v>19.410248589999998</v>
      </c>
      <c r="C413">
        <v>-7.8871398480000003</v>
      </c>
      <c r="D413">
        <v>-1.5318992279999999</v>
      </c>
      <c r="E413">
        <v>30.703467159999999</v>
      </c>
      <c r="F413">
        <v>8.5117505040000001</v>
      </c>
      <c r="G413">
        <v>13.53802099</v>
      </c>
      <c r="H413">
        <v>19.410248589999998</v>
      </c>
      <c r="I413">
        <v>7.8871398480000003</v>
      </c>
      <c r="J413">
        <v>1.5318992279999999</v>
      </c>
      <c r="K413">
        <v>30.703467159999999</v>
      </c>
      <c r="L413">
        <v>8.5117505040000001</v>
      </c>
      <c r="M413">
        <v>13.53802099</v>
      </c>
      <c r="N413">
        <v>7.8760706E-2</v>
      </c>
      <c r="O413">
        <v>23.405563350000001</v>
      </c>
      <c r="P413">
        <v>0</v>
      </c>
      <c r="Q413">
        <v>3.8686961231999999</v>
      </c>
      <c r="R413">
        <v>0.72603836062416105</v>
      </c>
      <c r="S413">
        <v>0.31989029770293498</v>
      </c>
      <c r="T413">
        <v>7.8319465868145199E-2</v>
      </c>
      <c r="U413">
        <v>0.32552210657952901</v>
      </c>
      <c r="V413">
        <v>0.41602972894130802</v>
      </c>
      <c r="W413">
        <v>0.33682550657590599</v>
      </c>
      <c r="X413">
        <v>0.10618395754302599</v>
      </c>
      <c r="Y413">
        <v>0.290631763680607</v>
      </c>
      <c r="Z413">
        <v>0</v>
      </c>
      <c r="AA413" s="1">
        <v>8.8038012089878604E-5</v>
      </c>
    </row>
    <row r="414" spans="1:27" x14ac:dyDescent="0.55000000000000004">
      <c r="A414">
        <v>413</v>
      </c>
      <c r="B414">
        <v>18.297285410000001</v>
      </c>
      <c r="C414">
        <v>-7.4443558640000003</v>
      </c>
      <c r="D414">
        <v>-1.3267125740000001</v>
      </c>
      <c r="E414">
        <v>29.215814040000001</v>
      </c>
      <c r="F414">
        <v>7.99366808</v>
      </c>
      <c r="G414">
        <v>13.257236280000001</v>
      </c>
      <c r="H414">
        <v>18.297285410000001</v>
      </c>
      <c r="I414">
        <v>7.4443558640000003</v>
      </c>
      <c r="J414">
        <v>1.3267125740000001</v>
      </c>
      <c r="K414">
        <v>29.215814040000001</v>
      </c>
      <c r="L414">
        <v>7.99366808</v>
      </c>
      <c r="M414">
        <v>13.257236280000001</v>
      </c>
      <c r="N414">
        <v>7.0861846000000006E-2</v>
      </c>
      <c r="O414">
        <v>15.194740299999999</v>
      </c>
      <c r="P414">
        <v>0</v>
      </c>
      <c r="Q414">
        <v>18.235839262100001</v>
      </c>
      <c r="R414">
        <v>0.68399322693364795</v>
      </c>
      <c r="S414">
        <v>0.30189308689140698</v>
      </c>
      <c r="T414">
        <v>6.7797380899680501E-2</v>
      </c>
      <c r="U414">
        <v>0.28306804697594701</v>
      </c>
      <c r="V414">
        <v>0.39054962605858901</v>
      </c>
      <c r="W414">
        <v>0.32136797133297501</v>
      </c>
      <c r="X414">
        <v>9.4989113923548293E-2</v>
      </c>
      <c r="Y414">
        <v>0.18413159238677301</v>
      </c>
      <c r="Z414">
        <v>0</v>
      </c>
      <c r="AA414">
        <v>4.2011680312442699E-4</v>
      </c>
    </row>
    <row r="415" spans="1:27" x14ac:dyDescent="0.55000000000000004">
      <c r="A415">
        <v>414</v>
      </c>
      <c r="B415">
        <v>17.639213590000001</v>
      </c>
      <c r="C415">
        <v>-8.6310643060000007</v>
      </c>
      <c r="D415">
        <v>-2.1619512439999999</v>
      </c>
      <c r="E415">
        <v>29.5911209</v>
      </c>
      <c r="F415">
        <v>8.3098020889999997</v>
      </c>
      <c r="G415">
        <v>13.647367040000001</v>
      </c>
      <c r="H415">
        <v>17.639213590000001</v>
      </c>
      <c r="I415">
        <v>8.6310643060000007</v>
      </c>
      <c r="J415">
        <v>2.1619512439999999</v>
      </c>
      <c r="K415">
        <v>29.5911209</v>
      </c>
      <c r="L415">
        <v>8.3098020889999997</v>
      </c>
      <c r="M415">
        <v>13.647367040000001</v>
      </c>
      <c r="N415">
        <v>6.8638504000000003E-2</v>
      </c>
      <c r="O415">
        <v>19.788932800000001</v>
      </c>
      <c r="P415">
        <v>0</v>
      </c>
      <c r="Q415">
        <v>24.383745240700001</v>
      </c>
      <c r="R415">
        <v>0.65913281991653605</v>
      </c>
      <c r="S415">
        <v>0.35012753703921101</v>
      </c>
      <c r="T415">
        <v>0.11062888130850999</v>
      </c>
      <c r="U415">
        <v>0.293778406528094</v>
      </c>
      <c r="V415">
        <v>0.406097590438184</v>
      </c>
      <c r="W415">
        <v>0.34284513784981102</v>
      </c>
      <c r="X415">
        <v>9.1838030602332699E-2</v>
      </c>
      <c r="Y415">
        <v>0.24372151232870201</v>
      </c>
      <c r="Z415">
        <v>0</v>
      </c>
      <c r="AA415">
        <v>5.6221806605677904E-4</v>
      </c>
    </row>
    <row r="416" spans="1:27" x14ac:dyDescent="0.55000000000000004">
      <c r="A416">
        <v>415</v>
      </c>
      <c r="B416">
        <v>16.79871069</v>
      </c>
      <c r="C416">
        <v>-7.9058486950000004</v>
      </c>
      <c r="D416">
        <v>-1.8610778320000001</v>
      </c>
      <c r="E416">
        <v>32.584352860000003</v>
      </c>
      <c r="F416">
        <v>8.2854237439999991</v>
      </c>
      <c r="G416">
        <v>14.9498613</v>
      </c>
      <c r="H416">
        <v>16.79871069</v>
      </c>
      <c r="I416">
        <v>7.9058486950000004</v>
      </c>
      <c r="J416">
        <v>1.8610778320000001</v>
      </c>
      <c r="K416">
        <v>32.584352860000003</v>
      </c>
      <c r="L416">
        <v>8.2854237439999991</v>
      </c>
      <c r="M416">
        <v>14.9498613</v>
      </c>
      <c r="N416">
        <v>6.7121691999999997E-2</v>
      </c>
      <c r="O416">
        <v>22.248792649999999</v>
      </c>
      <c r="P416">
        <v>0</v>
      </c>
      <c r="Q416">
        <v>0.74975522188499999</v>
      </c>
      <c r="R416">
        <v>0.62738059537505197</v>
      </c>
      <c r="S416">
        <v>0.32065072959674001</v>
      </c>
      <c r="T416">
        <v>9.5199926529532006E-2</v>
      </c>
      <c r="U416">
        <v>0.37919808288193801</v>
      </c>
      <c r="V416">
        <v>0.40489862535090199</v>
      </c>
      <c r="W416">
        <v>0.41454900992911897</v>
      </c>
      <c r="X416">
        <v>8.96882934073263E-2</v>
      </c>
      <c r="Y416">
        <v>0.27562763109274302</v>
      </c>
      <c r="Z416">
        <v>0</v>
      </c>
      <c r="AA416" s="1">
        <v>1.5947540532414199E-5</v>
      </c>
    </row>
    <row r="417" spans="1:27" x14ac:dyDescent="0.55000000000000004">
      <c r="A417">
        <v>416</v>
      </c>
      <c r="B417">
        <v>15.98212109</v>
      </c>
      <c r="C417">
        <v>-6.4403981659999996</v>
      </c>
      <c r="D417">
        <v>-1.045180982</v>
      </c>
      <c r="E417">
        <v>28.636008969999999</v>
      </c>
      <c r="F417">
        <v>8.6881852019999997</v>
      </c>
      <c r="G417">
        <v>14.691265769999999</v>
      </c>
      <c r="H417">
        <v>15.98212109</v>
      </c>
      <c r="I417">
        <v>6.4403981659999996</v>
      </c>
      <c r="J417">
        <v>1.045180982</v>
      </c>
      <c r="K417">
        <v>28.636008969999999</v>
      </c>
      <c r="L417">
        <v>8.6881852019999997</v>
      </c>
      <c r="M417">
        <v>14.691265769999999</v>
      </c>
      <c r="N417">
        <v>9.4786367999999996E-2</v>
      </c>
      <c r="O417">
        <v>37.672050480000003</v>
      </c>
      <c r="P417">
        <v>6.8071968528989499</v>
      </c>
      <c r="Q417">
        <v>5.8103701123200002</v>
      </c>
      <c r="R417">
        <v>0.59653175911590295</v>
      </c>
      <c r="S417">
        <v>0.26108664630262002</v>
      </c>
      <c r="T417">
        <v>5.3360285335311397E-2</v>
      </c>
      <c r="U417">
        <v>0.26652179794160302</v>
      </c>
      <c r="V417">
        <v>0.42470706298868199</v>
      </c>
      <c r="W417">
        <v>0.40031301567345101</v>
      </c>
      <c r="X417">
        <v>0.12889670089948699</v>
      </c>
      <c r="Y417">
        <v>0.47567817301788701</v>
      </c>
      <c r="Z417">
        <v>5.8308155066719601E-3</v>
      </c>
      <c r="AA417">
        <v>1.32917411192153E-4</v>
      </c>
    </row>
    <row r="418" spans="1:27" x14ac:dyDescent="0.55000000000000004">
      <c r="A418">
        <v>417</v>
      </c>
      <c r="B418">
        <v>16.13075989</v>
      </c>
      <c r="C418">
        <v>-7.052860473</v>
      </c>
      <c r="D418">
        <v>-1.470624597</v>
      </c>
      <c r="E418">
        <v>29.497316049999998</v>
      </c>
      <c r="F418">
        <v>8.3946687870000005</v>
      </c>
      <c r="G418">
        <v>14.481353609999999</v>
      </c>
      <c r="H418">
        <v>16.13075989</v>
      </c>
      <c r="I418">
        <v>7.052860473</v>
      </c>
      <c r="J418">
        <v>1.470624597</v>
      </c>
      <c r="K418">
        <v>29.497316049999998</v>
      </c>
      <c r="L418">
        <v>8.3946687870000005</v>
      </c>
      <c r="M418">
        <v>14.481353609999999</v>
      </c>
      <c r="N418">
        <v>6.5304301999999995E-2</v>
      </c>
      <c r="O418">
        <v>13.42458916</v>
      </c>
      <c r="P418">
        <v>0</v>
      </c>
      <c r="Q418">
        <v>21.844386834200002</v>
      </c>
      <c r="R418">
        <v>0.60214698370724795</v>
      </c>
      <c r="S418">
        <v>0.28598053057010903</v>
      </c>
      <c r="T418">
        <v>7.5177268940496506E-2</v>
      </c>
      <c r="U418">
        <v>0.29110144061482701</v>
      </c>
      <c r="V418">
        <v>0.41027146721180902</v>
      </c>
      <c r="W418">
        <v>0.388757099359062</v>
      </c>
      <c r="X418">
        <v>8.7112555029180194E-2</v>
      </c>
      <c r="Y418">
        <v>0.16117148248329899</v>
      </c>
      <c r="Z418">
        <v>0</v>
      </c>
      <c r="AA418">
        <v>5.03523928921698E-4</v>
      </c>
    </row>
    <row r="419" spans="1:27" x14ac:dyDescent="0.55000000000000004">
      <c r="A419">
        <v>418</v>
      </c>
      <c r="B419">
        <v>15.33253369</v>
      </c>
      <c r="C419">
        <v>-6.3424281560000004</v>
      </c>
      <c r="D419">
        <v>-0.83582066200000005</v>
      </c>
      <c r="E419">
        <v>29.03225278</v>
      </c>
      <c r="F419">
        <v>9.3441730700000001</v>
      </c>
      <c r="G419">
        <v>15.385833509999999</v>
      </c>
      <c r="H419">
        <v>15.33253369</v>
      </c>
      <c r="I419">
        <v>6.3424281560000004</v>
      </c>
      <c r="J419">
        <v>0.83582066200000005</v>
      </c>
      <c r="K419">
        <v>29.03225278</v>
      </c>
      <c r="L419">
        <v>9.3441730700000001</v>
      </c>
      <c r="M419">
        <v>15.385833509999999</v>
      </c>
      <c r="N419">
        <v>7.0355355999999994E-2</v>
      </c>
      <c r="O419">
        <v>18.95038795</v>
      </c>
      <c r="P419">
        <v>349.80020261967599</v>
      </c>
      <c r="Q419">
        <v>0.51006517804200002</v>
      </c>
      <c r="R419">
        <v>0.57199187354963199</v>
      </c>
      <c r="S419">
        <v>0.25710459865209501</v>
      </c>
      <c r="T419">
        <v>4.26241724687067E-2</v>
      </c>
      <c r="U419">
        <v>0.27782964793776999</v>
      </c>
      <c r="V419">
        <v>0.456969571022453</v>
      </c>
      <c r="W419">
        <v>0.43854980328077098</v>
      </c>
      <c r="X419">
        <v>9.4271279154375401E-2</v>
      </c>
      <c r="Y419">
        <v>0.23284499366318701</v>
      </c>
      <c r="Z419">
        <v>0.29962706966571701</v>
      </c>
      <c r="AA419" s="1">
        <v>1.04074008391658E-5</v>
      </c>
    </row>
    <row r="420" spans="1:27" x14ac:dyDescent="0.55000000000000004">
      <c r="A420">
        <v>419</v>
      </c>
      <c r="B420" t="s">
        <v>27</v>
      </c>
      <c r="C420" t="s">
        <v>27</v>
      </c>
      <c r="D420" t="s">
        <v>27</v>
      </c>
      <c r="E420" t="s">
        <v>27</v>
      </c>
      <c r="F420" t="s">
        <v>27</v>
      </c>
      <c r="G420" t="s">
        <v>27</v>
      </c>
      <c r="H420" t="s">
        <v>27</v>
      </c>
      <c r="I420" t="s">
        <v>27</v>
      </c>
      <c r="J420" t="s">
        <v>27</v>
      </c>
      <c r="K420" t="s">
        <v>27</v>
      </c>
      <c r="L420" t="s">
        <v>27</v>
      </c>
      <c r="M420" t="s">
        <v>27</v>
      </c>
      <c r="N420">
        <v>7.1761958000000001E-2</v>
      </c>
      <c r="O420">
        <v>19.904920579999999</v>
      </c>
      <c r="P420">
        <v>349.80020261967599</v>
      </c>
      <c r="Q420">
        <v>0.507298804002</v>
      </c>
      <c r="R420" t="s">
        <v>27</v>
      </c>
      <c r="S420" t="s">
        <v>27</v>
      </c>
      <c r="T420" t="s">
        <v>27</v>
      </c>
      <c r="U420" t="s">
        <v>27</v>
      </c>
      <c r="V420" t="s">
        <v>27</v>
      </c>
      <c r="W420" t="s">
        <v>27</v>
      </c>
      <c r="X420">
        <v>9.62648186556255E-2</v>
      </c>
      <c r="Y420">
        <v>0.24522595571552999</v>
      </c>
      <c r="Z420">
        <v>0.29962706966571701</v>
      </c>
      <c r="AA420" s="1">
        <v>1.0343459515698E-5</v>
      </c>
    </row>
    <row r="421" spans="1:27" x14ac:dyDescent="0.55000000000000004">
      <c r="A421">
        <v>420</v>
      </c>
      <c r="B421">
        <v>15.085670560000001</v>
      </c>
      <c r="C421">
        <v>-6.5842184570000004</v>
      </c>
      <c r="D421">
        <v>-1.1926584039999999</v>
      </c>
      <c r="E421">
        <v>29.1842899</v>
      </c>
      <c r="F421">
        <v>8.7707350549999994</v>
      </c>
      <c r="G421">
        <v>15.24490812</v>
      </c>
      <c r="H421">
        <v>15.085670560000001</v>
      </c>
      <c r="I421">
        <v>6.5842184570000004</v>
      </c>
      <c r="J421">
        <v>1.1926584039999999</v>
      </c>
      <c r="K421">
        <v>29.1842899</v>
      </c>
      <c r="L421">
        <v>8.7707350549999994</v>
      </c>
      <c r="M421">
        <v>15.24490812</v>
      </c>
      <c r="N421">
        <v>6.8140216000000003E-2</v>
      </c>
      <c r="O421">
        <v>18.29398346</v>
      </c>
      <c r="P421">
        <v>349.80020261967599</v>
      </c>
      <c r="Q421">
        <v>7.1458081449100002</v>
      </c>
      <c r="R421">
        <v>0.56266596457921303</v>
      </c>
      <c r="S421">
        <v>0.26693230511060101</v>
      </c>
      <c r="T421">
        <v>6.09230090064821E-2</v>
      </c>
      <c r="U421">
        <v>0.28216842346794002</v>
      </c>
      <c r="V421">
        <v>0.42876699370617999</v>
      </c>
      <c r="W421">
        <v>0.43079169144288398</v>
      </c>
      <c r="X421">
        <v>9.1131820309016606E-2</v>
      </c>
      <c r="Y421">
        <v>0.22433096404674799</v>
      </c>
      <c r="Z421">
        <v>0.29962706966571701</v>
      </c>
      <c r="AA421">
        <v>1.6378441398293901E-4</v>
      </c>
    </row>
    <row r="422" spans="1:27" x14ac:dyDescent="0.55000000000000004">
      <c r="A422">
        <v>421</v>
      </c>
      <c r="B422">
        <v>15.00188958</v>
      </c>
      <c r="C422">
        <v>-7.1601679379999998</v>
      </c>
      <c r="D422">
        <v>-1.8316891870000001</v>
      </c>
      <c r="E422">
        <v>30.404005990000002</v>
      </c>
      <c r="F422">
        <v>8.6566659650000002</v>
      </c>
      <c r="G422">
        <v>15.274735700000001</v>
      </c>
      <c r="H422">
        <v>15.00188958</v>
      </c>
      <c r="I422">
        <v>7.1601679379999998</v>
      </c>
      <c r="J422">
        <v>1.8316891870000001</v>
      </c>
      <c r="K422">
        <v>30.404005990000002</v>
      </c>
      <c r="L422">
        <v>8.6566659650000002</v>
      </c>
      <c r="M422">
        <v>15.274735700000001</v>
      </c>
      <c r="N422">
        <v>5.9831977000000001E-2</v>
      </c>
      <c r="O422">
        <v>14.318716999999999</v>
      </c>
      <c r="P422">
        <v>349.80020261967599</v>
      </c>
      <c r="Q422">
        <v>0.39204976115200002</v>
      </c>
      <c r="R422">
        <v>0.55950091602403695</v>
      </c>
      <c r="S422">
        <v>0.29034210447305298</v>
      </c>
      <c r="T422">
        <v>9.3692860578751203E-2</v>
      </c>
      <c r="U422">
        <v>0.31697620149640199</v>
      </c>
      <c r="V422">
        <v>0.42315689767841402</v>
      </c>
      <c r="W422">
        <v>0.43243373551665598</v>
      </c>
      <c r="X422">
        <v>7.9356774750765399E-2</v>
      </c>
      <c r="Y422">
        <v>0.17276895176728099</v>
      </c>
      <c r="Z422">
        <v>0.29962706966571701</v>
      </c>
      <c r="AA422" s="1">
        <v>7.6796200559313607E-6</v>
      </c>
    </row>
    <row r="423" spans="1:27" x14ac:dyDescent="0.55000000000000004">
      <c r="A423">
        <v>422</v>
      </c>
      <c r="B423" t="s">
        <v>27</v>
      </c>
      <c r="C423" t="s">
        <v>27</v>
      </c>
      <c r="D423" t="s">
        <v>27</v>
      </c>
      <c r="E423" t="s">
        <v>27</v>
      </c>
      <c r="F423" t="s">
        <v>27</v>
      </c>
      <c r="G423" t="s">
        <v>27</v>
      </c>
      <c r="H423" t="s">
        <v>27</v>
      </c>
      <c r="I423" t="s">
        <v>27</v>
      </c>
      <c r="J423" t="s">
        <v>27</v>
      </c>
      <c r="K423" t="s">
        <v>27</v>
      </c>
      <c r="L423" t="s">
        <v>27</v>
      </c>
      <c r="M423" t="s">
        <v>27</v>
      </c>
      <c r="N423">
        <v>8.3918475000000006E-2</v>
      </c>
      <c r="O423">
        <v>26.03499794</v>
      </c>
      <c r="P423">
        <v>346.57065660587602</v>
      </c>
      <c r="Q423">
        <v>2.38020720438</v>
      </c>
      <c r="R423" t="s">
        <v>27</v>
      </c>
      <c r="S423" t="s">
        <v>27</v>
      </c>
      <c r="T423" t="s">
        <v>27</v>
      </c>
      <c r="U423" t="s">
        <v>27</v>
      </c>
      <c r="V423" t="s">
        <v>27</v>
      </c>
      <c r="W423" t="s">
        <v>27</v>
      </c>
      <c r="X423">
        <v>0.11349392599168701</v>
      </c>
      <c r="Y423">
        <v>0.32473738653176898</v>
      </c>
      <c r="Z423">
        <v>0.29686074934566398</v>
      </c>
      <c r="AA423" s="1">
        <v>5.3633426860145002E-5</v>
      </c>
    </row>
    <row r="424" spans="1:27" x14ac:dyDescent="0.55000000000000004">
      <c r="A424">
        <v>423</v>
      </c>
      <c r="B424">
        <v>15.122326019999999</v>
      </c>
      <c r="C424">
        <v>-3.7466483500000001</v>
      </c>
      <c r="D424">
        <v>1.0118942420000001</v>
      </c>
      <c r="E424">
        <v>29.080252210000001</v>
      </c>
      <c r="F424">
        <v>9.4623994039999992</v>
      </c>
      <c r="G424">
        <v>16.02865843</v>
      </c>
      <c r="H424">
        <v>15.122326019999999</v>
      </c>
      <c r="I424">
        <v>3.7466483500000001</v>
      </c>
      <c r="J424">
        <v>1.0118942420000001</v>
      </c>
      <c r="K424">
        <v>29.080252210000001</v>
      </c>
      <c r="L424">
        <v>9.4623994039999992</v>
      </c>
      <c r="M424">
        <v>16.02865843</v>
      </c>
      <c r="N424">
        <v>6.3602053000000006E-2</v>
      </c>
      <c r="O424">
        <v>20.21668434</v>
      </c>
      <c r="P424">
        <v>173.28532830293801</v>
      </c>
      <c r="Q424">
        <v>28.5979293591</v>
      </c>
      <c r="R424">
        <v>0.56405072172471604</v>
      </c>
      <c r="S424">
        <v>0.15159762893999901</v>
      </c>
      <c r="T424">
        <v>5.1653322919504398E-2</v>
      </c>
      <c r="U424">
        <v>0.27919943679161202</v>
      </c>
      <c r="V424">
        <v>0.46278412680396103</v>
      </c>
      <c r="W424">
        <v>0.47393808655280001</v>
      </c>
      <c r="X424">
        <v>8.4700002919583101E-2</v>
      </c>
      <c r="Y424">
        <v>0.249269751768742</v>
      </c>
      <c r="Z424">
        <v>0.14843037467283199</v>
      </c>
      <c r="AA424">
        <v>6.5962373353747601E-4</v>
      </c>
    </row>
    <row r="425" spans="1:27" x14ac:dyDescent="0.55000000000000004">
      <c r="A425">
        <v>424</v>
      </c>
      <c r="B425" t="s">
        <v>27</v>
      </c>
      <c r="C425" t="s">
        <v>27</v>
      </c>
      <c r="D425" t="s">
        <v>27</v>
      </c>
      <c r="E425" t="s">
        <v>27</v>
      </c>
      <c r="F425" t="s">
        <v>27</v>
      </c>
      <c r="G425" t="s">
        <v>27</v>
      </c>
      <c r="H425" t="s">
        <v>27</v>
      </c>
      <c r="I425" t="s">
        <v>27</v>
      </c>
      <c r="J425" t="s">
        <v>27</v>
      </c>
      <c r="K425" t="s">
        <v>27</v>
      </c>
      <c r="L425" t="s">
        <v>27</v>
      </c>
      <c r="M425" t="s">
        <v>27</v>
      </c>
      <c r="N425">
        <v>6.2980585000000006E-2</v>
      </c>
      <c r="O425">
        <v>18.907371520000002</v>
      </c>
      <c r="P425">
        <v>346.57065660587602</v>
      </c>
      <c r="Q425">
        <v>0.64049228972200001</v>
      </c>
      <c r="R425" t="s">
        <v>27</v>
      </c>
      <c r="S425" t="s">
        <v>27</v>
      </c>
      <c r="T425" t="s">
        <v>27</v>
      </c>
      <c r="U425" t="s">
        <v>27</v>
      </c>
      <c r="V425" t="s">
        <v>27</v>
      </c>
      <c r="W425" t="s">
        <v>27</v>
      </c>
      <c r="X425">
        <v>8.3819212897414105E-2</v>
      </c>
      <c r="Y425">
        <v>0.23228704019913701</v>
      </c>
      <c r="Z425">
        <v>0.29686074934566398</v>
      </c>
      <c r="AA425" s="1">
        <v>1.34220626369975E-5</v>
      </c>
    </row>
    <row r="426" spans="1:27" x14ac:dyDescent="0.55000000000000004">
      <c r="A426">
        <v>425</v>
      </c>
      <c r="B426">
        <v>15.117047039999999</v>
      </c>
      <c r="C426">
        <v>-3.7470092720000001</v>
      </c>
      <c r="D426">
        <v>0.91899594799999995</v>
      </c>
      <c r="E426">
        <v>29.761931959999998</v>
      </c>
      <c r="F426">
        <v>8.6737742939999993</v>
      </c>
      <c r="G426">
        <v>15.655374200000001</v>
      </c>
      <c r="H426">
        <v>15.117047039999999</v>
      </c>
      <c r="I426">
        <v>3.7470092720000001</v>
      </c>
      <c r="J426">
        <v>0.91899594799999995</v>
      </c>
      <c r="K426">
        <v>29.761931959999998</v>
      </c>
      <c r="L426">
        <v>8.6737742939999993</v>
      </c>
      <c r="M426">
        <v>15.655374200000001</v>
      </c>
      <c r="N426">
        <v>6.9245166999999996E-2</v>
      </c>
      <c r="O426">
        <v>24.62532616</v>
      </c>
      <c r="P426">
        <v>223.951437237649</v>
      </c>
      <c r="Q426">
        <v>13.5160906465</v>
      </c>
      <c r="R426">
        <v>0.56385129426490599</v>
      </c>
      <c r="S426">
        <v>0.151612298823182</v>
      </c>
      <c r="T426">
        <v>4.6889447083343E-2</v>
      </c>
      <c r="U426">
        <v>0.29865294537367598</v>
      </c>
      <c r="V426">
        <v>0.42399831202269</v>
      </c>
      <c r="W426">
        <v>0.45338834172924602</v>
      </c>
      <c r="X426">
        <v>9.2697837892843402E-2</v>
      </c>
      <c r="Y426">
        <v>0.30645294840372</v>
      </c>
      <c r="Z426">
        <v>0.19182925677118501</v>
      </c>
      <c r="AA426">
        <v>3.1102563593115402E-4</v>
      </c>
    </row>
    <row r="427" spans="1:27" x14ac:dyDescent="0.55000000000000004">
      <c r="A427">
        <v>426</v>
      </c>
      <c r="B427">
        <v>17.218840350000001</v>
      </c>
      <c r="C427">
        <v>-2.627870905</v>
      </c>
      <c r="D427">
        <v>2.5921973619999998</v>
      </c>
      <c r="E427">
        <v>30.38300697</v>
      </c>
      <c r="F427">
        <v>8.8520083580000009</v>
      </c>
      <c r="G427">
        <v>14.692831569999999</v>
      </c>
      <c r="H427">
        <v>17.218840350000001</v>
      </c>
      <c r="I427">
        <v>2.627870905</v>
      </c>
      <c r="J427">
        <v>2.5921973619999998</v>
      </c>
      <c r="K427">
        <v>30.38300697</v>
      </c>
      <c r="L427">
        <v>8.8520083580000009</v>
      </c>
      <c r="M427">
        <v>14.692831569999999</v>
      </c>
      <c r="N427">
        <v>6.6639975000000004E-2</v>
      </c>
      <c r="O427">
        <v>14.169688219999999</v>
      </c>
      <c r="P427">
        <v>84.314424776150602</v>
      </c>
      <c r="Q427">
        <v>2.2404939270900002</v>
      </c>
      <c r="R427">
        <v>0.64325210670577704</v>
      </c>
      <c r="S427">
        <v>0.106124273406779</v>
      </c>
      <c r="T427">
        <v>0.13269213992058401</v>
      </c>
      <c r="U427">
        <v>0.31637693972313502</v>
      </c>
      <c r="V427">
        <v>0.43276414170064398</v>
      </c>
      <c r="W427">
        <v>0.40039921484249902</v>
      </c>
      <c r="X427">
        <v>8.9005568750370301E-2</v>
      </c>
      <c r="Y427">
        <v>0.170835943285541</v>
      </c>
      <c r="Z427">
        <v>7.2220895920108497E-2</v>
      </c>
      <c r="AA427" s="1">
        <v>5.0404126799208198E-5</v>
      </c>
    </row>
    <row r="428" spans="1:27" x14ac:dyDescent="0.55000000000000004">
      <c r="A428">
        <v>427</v>
      </c>
      <c r="B428">
        <v>16.846266700000001</v>
      </c>
      <c r="C428">
        <v>-2.8076009129999999</v>
      </c>
      <c r="D428">
        <v>2.346181327</v>
      </c>
      <c r="E428">
        <v>31.12311833</v>
      </c>
      <c r="F428">
        <v>8.6405618279999992</v>
      </c>
      <c r="G428">
        <v>14.788747109999999</v>
      </c>
      <c r="H428">
        <v>16.846266700000001</v>
      </c>
      <c r="I428">
        <v>2.8076009129999999</v>
      </c>
      <c r="J428">
        <v>2.346181327</v>
      </c>
      <c r="K428">
        <v>31.12311833</v>
      </c>
      <c r="L428">
        <v>8.6405618279999992</v>
      </c>
      <c r="M428">
        <v>14.788747109999999</v>
      </c>
      <c r="N428">
        <v>6.1375990999999998E-2</v>
      </c>
      <c r="O428">
        <v>14.828971859999999</v>
      </c>
      <c r="P428">
        <v>110.08494663464199</v>
      </c>
      <c r="Q428">
        <v>50.4735470225</v>
      </c>
      <c r="R428">
        <v>0.62917714968535499</v>
      </c>
      <c r="S428">
        <v>0.11342950340609501</v>
      </c>
      <c r="T428">
        <v>0.120076301739048</v>
      </c>
      <c r="U428">
        <v>0.33749794660861698</v>
      </c>
      <c r="V428">
        <v>0.42236487106529402</v>
      </c>
      <c r="W428">
        <v>0.40567948042353702</v>
      </c>
      <c r="X428">
        <v>8.1545064614908402E-2</v>
      </c>
      <c r="Y428">
        <v>0.17938731750998299</v>
      </c>
      <c r="Z428">
        <v>9.4295056799344301E-2</v>
      </c>
      <c r="AA428">
        <v>1.1652516511105201E-3</v>
      </c>
    </row>
    <row r="429" spans="1:27" x14ac:dyDescent="0.55000000000000004">
      <c r="A429">
        <v>428</v>
      </c>
      <c r="B429">
        <v>21.406604720000001</v>
      </c>
      <c r="C429">
        <v>-1.5477328690000001</v>
      </c>
      <c r="D429">
        <v>4.1081423350000001</v>
      </c>
      <c r="E429">
        <v>48.041999779999998</v>
      </c>
      <c r="F429">
        <v>2.2147510719999999</v>
      </c>
      <c r="G429">
        <v>8.6048146780000003</v>
      </c>
      <c r="H429">
        <v>21.406604720000001</v>
      </c>
      <c r="I429">
        <v>1.5477328690000001</v>
      </c>
      <c r="J429">
        <v>4.1081423350000001</v>
      </c>
      <c r="K429">
        <v>48.041999779999998</v>
      </c>
      <c r="L429">
        <v>2.2147510719999999</v>
      </c>
      <c r="M429">
        <v>8.6048146780000003</v>
      </c>
      <c r="N429">
        <v>6.4550160999999995E-2</v>
      </c>
      <c r="O429">
        <v>25.68864632</v>
      </c>
      <c r="P429">
        <v>22.4392651788771</v>
      </c>
      <c r="Q429">
        <v>378.35508985000001</v>
      </c>
      <c r="R429">
        <v>0.80145600416177099</v>
      </c>
      <c r="S429">
        <v>6.2221438973088898E-2</v>
      </c>
      <c r="T429">
        <v>0.210430635590107</v>
      </c>
      <c r="U429">
        <v>0.82032233076628702</v>
      </c>
      <c r="V429">
        <v>0.106333460650643</v>
      </c>
      <c r="W429">
        <v>6.5246578975501804E-2</v>
      </c>
      <c r="X429">
        <v>8.60437311024317E-2</v>
      </c>
      <c r="Y429">
        <v>0.32024496151745901</v>
      </c>
      <c r="Z429">
        <v>1.92207186292256E-2</v>
      </c>
      <c r="AA429">
        <v>8.7438290545674494E-3</v>
      </c>
    </row>
    <row r="430" spans="1:27" x14ac:dyDescent="0.55000000000000004">
      <c r="A430">
        <v>429</v>
      </c>
      <c r="B430">
        <v>21.457290560000001</v>
      </c>
      <c r="C430">
        <v>-0.97538423799999996</v>
      </c>
      <c r="D430">
        <v>4.4782440689999996</v>
      </c>
      <c r="E430">
        <v>47.770909330000002</v>
      </c>
      <c r="F430">
        <v>2.389345745</v>
      </c>
      <c r="G430">
        <v>8.6284903049999997</v>
      </c>
      <c r="H430">
        <v>21.457290560000001</v>
      </c>
      <c r="I430">
        <v>0.97538423799999996</v>
      </c>
      <c r="J430">
        <v>4.4782440689999996</v>
      </c>
      <c r="K430">
        <v>47.770909330000002</v>
      </c>
      <c r="L430">
        <v>2.389345745</v>
      </c>
      <c r="M430">
        <v>8.6284903049999997</v>
      </c>
      <c r="N430">
        <v>5.2809987000000003E-2</v>
      </c>
      <c r="O430">
        <v>22.564039229999999</v>
      </c>
      <c r="P430">
        <v>336.588977683157</v>
      </c>
      <c r="Q430">
        <v>7.6946588081799998</v>
      </c>
      <c r="R430">
        <v>0.80337079609497397</v>
      </c>
      <c r="S430">
        <v>3.8957998238980399E-2</v>
      </c>
      <c r="T430">
        <v>0.22940965696507501</v>
      </c>
      <c r="U430">
        <v>0.81258605813153395</v>
      </c>
      <c r="V430">
        <v>0.11492029939430699</v>
      </c>
      <c r="W430">
        <v>6.6549950653934695E-2</v>
      </c>
      <c r="X430">
        <v>6.94046955966168E-2</v>
      </c>
      <c r="Y430">
        <v>0.27971660178001101</v>
      </c>
      <c r="Z430">
        <v>0.28831077943838401</v>
      </c>
      <c r="AA430">
        <v>1.76470420028478E-4</v>
      </c>
    </row>
    <row r="431" spans="1:27" x14ac:dyDescent="0.55000000000000004">
      <c r="A431">
        <v>430</v>
      </c>
      <c r="B431">
        <v>21.456794129999999</v>
      </c>
      <c r="C431">
        <v>-0.59745567099999997</v>
      </c>
      <c r="D431">
        <v>5.9509434380000004</v>
      </c>
      <c r="E431">
        <v>46.55547267</v>
      </c>
      <c r="F431">
        <v>2.2212297790000002</v>
      </c>
      <c r="G431">
        <v>8.3251302389999999</v>
      </c>
      <c r="H431">
        <v>21.456794129999999</v>
      </c>
      <c r="I431">
        <v>0.59745567099999997</v>
      </c>
      <c r="J431">
        <v>5.9509434380000004</v>
      </c>
      <c r="K431">
        <v>46.55547267</v>
      </c>
      <c r="L431">
        <v>2.2212297790000002</v>
      </c>
      <c r="M431">
        <v>8.3251302389999999</v>
      </c>
      <c r="N431">
        <v>5.3686373000000003E-2</v>
      </c>
      <c r="O431">
        <v>35.35469818</v>
      </c>
      <c r="P431">
        <v>220.61131220208699</v>
      </c>
      <c r="Q431">
        <v>14.2750726243</v>
      </c>
      <c r="R431">
        <v>0.80335204213608902</v>
      </c>
      <c r="S431">
        <v>2.3596873316274001E-2</v>
      </c>
      <c r="T431">
        <v>0.30493049417129198</v>
      </c>
      <c r="U431">
        <v>0.777900404793194</v>
      </c>
      <c r="V431">
        <v>0.106652093580964</v>
      </c>
      <c r="W431">
        <v>4.9849614971507701E-2</v>
      </c>
      <c r="X431">
        <v>7.0646774101654194E-2</v>
      </c>
      <c r="Y431">
        <v>0.44562047777889902</v>
      </c>
      <c r="Z431">
        <v>0.188968218186223</v>
      </c>
      <c r="AA431">
        <v>3.28568568104107E-4</v>
      </c>
    </row>
    <row r="432" spans="1:27" x14ac:dyDescent="0.55000000000000004">
      <c r="A432">
        <v>431</v>
      </c>
      <c r="B432">
        <v>21.072248609999999</v>
      </c>
      <c r="C432">
        <v>-2.6255894350000002</v>
      </c>
      <c r="D432">
        <v>4.5099685230000004</v>
      </c>
      <c r="E432">
        <v>46.060117630000001</v>
      </c>
      <c r="F432">
        <v>3.9266634630000001</v>
      </c>
      <c r="G432">
        <v>10.64769957</v>
      </c>
      <c r="H432">
        <v>21.072248609999999</v>
      </c>
      <c r="I432">
        <v>2.6255894350000002</v>
      </c>
      <c r="J432">
        <v>4.5099685230000004</v>
      </c>
      <c r="K432">
        <v>46.060117630000001</v>
      </c>
      <c r="L432">
        <v>3.9266634630000001</v>
      </c>
      <c r="M432">
        <v>10.64769957</v>
      </c>
      <c r="N432">
        <v>7.8642352999999998E-2</v>
      </c>
      <c r="O432">
        <v>34.394058229999999</v>
      </c>
      <c r="P432">
        <v>3.82413488633637</v>
      </c>
      <c r="Q432">
        <v>6492.0890235799998</v>
      </c>
      <c r="R432">
        <v>0.78882481599866405</v>
      </c>
      <c r="S432">
        <v>0.106031541740698</v>
      </c>
      <c r="T432">
        <v>0.23103650449174801</v>
      </c>
      <c r="U432">
        <v>0.76376415749846605</v>
      </c>
      <c r="V432">
        <v>0.190527986131942</v>
      </c>
      <c r="W432">
        <v>0.17770984385677599</v>
      </c>
      <c r="X432">
        <v>0.10601621899254</v>
      </c>
      <c r="Y432">
        <v>0.43316029947476398</v>
      </c>
      <c r="Z432">
        <v>3.2756251180483301E-3</v>
      </c>
      <c r="AA432">
        <v>0.15005524732275</v>
      </c>
    </row>
    <row r="433" spans="1:27" x14ac:dyDescent="0.55000000000000004">
      <c r="A433">
        <v>432</v>
      </c>
      <c r="B433">
        <v>22.136861880000001</v>
      </c>
      <c r="C433">
        <v>-7.7517127879999999</v>
      </c>
      <c r="D433">
        <v>1.108723857</v>
      </c>
      <c r="E433">
        <v>43.460584670000003</v>
      </c>
      <c r="F433">
        <v>4.5048687489999999</v>
      </c>
      <c r="G433">
        <v>10.096321809999999</v>
      </c>
      <c r="H433">
        <v>22.136861880000001</v>
      </c>
      <c r="I433">
        <v>7.7517127879999999</v>
      </c>
      <c r="J433">
        <v>1.108723857</v>
      </c>
      <c r="K433">
        <v>43.460584670000003</v>
      </c>
      <c r="L433">
        <v>4.5048687489999999</v>
      </c>
      <c r="M433">
        <v>10.096321809999999</v>
      </c>
      <c r="N433">
        <v>5.8984651999999999E-2</v>
      </c>
      <c r="O433">
        <v>26.216300960000002</v>
      </c>
      <c r="P433">
        <v>83.684022839545506</v>
      </c>
      <c r="Q433">
        <v>214.03191041700001</v>
      </c>
      <c r="R433">
        <v>0.82904340370238705</v>
      </c>
      <c r="S433">
        <v>0.31438578661744498</v>
      </c>
      <c r="T433">
        <v>5.6618799068327001E-2</v>
      </c>
      <c r="U433">
        <v>0.68957970835395299</v>
      </c>
      <c r="V433">
        <v>0.218965025282708</v>
      </c>
      <c r="W433">
        <v>0.147355836484478</v>
      </c>
      <c r="X433">
        <v>7.8155883625986106E-2</v>
      </c>
      <c r="Y433">
        <v>0.32708901468993401</v>
      </c>
      <c r="Z433">
        <v>7.1680914857884998E-2</v>
      </c>
      <c r="AA433">
        <v>4.9457014631942801E-3</v>
      </c>
    </row>
    <row r="434" spans="1:27" x14ac:dyDescent="0.55000000000000004">
      <c r="A434">
        <v>433</v>
      </c>
      <c r="B434">
        <v>20.77247049</v>
      </c>
      <c r="C434">
        <v>-8.3122587509999999</v>
      </c>
      <c r="D434">
        <v>-1.45872731</v>
      </c>
      <c r="E434">
        <v>41.999647199999998</v>
      </c>
      <c r="F434">
        <v>8.3458423770000003</v>
      </c>
      <c r="G434">
        <v>14.45384687</v>
      </c>
      <c r="H434">
        <v>20.77247049</v>
      </c>
      <c r="I434">
        <v>8.3122587509999999</v>
      </c>
      <c r="J434">
        <v>1.45872731</v>
      </c>
      <c r="K434">
        <v>41.999647199999998</v>
      </c>
      <c r="L434">
        <v>8.3458423770000003</v>
      </c>
      <c r="M434">
        <v>14.45384687</v>
      </c>
      <c r="N434">
        <v>4.0087428000000001E-2</v>
      </c>
      <c r="O434">
        <v>22.598804470000001</v>
      </c>
      <c r="P434">
        <v>376.14377993860597</v>
      </c>
      <c r="Q434">
        <v>21.581386866300001</v>
      </c>
      <c r="R434">
        <v>0.77749990304611605</v>
      </c>
      <c r="S434">
        <v>0.33716950109267801</v>
      </c>
      <c r="T434">
        <v>7.45671694907135E-2</v>
      </c>
      <c r="U434">
        <v>0.64788804946206902</v>
      </c>
      <c r="V434">
        <v>0.40787010809873903</v>
      </c>
      <c r="W434">
        <v>0.38724282031242901</v>
      </c>
      <c r="X434">
        <v>5.1373352030003101E-2</v>
      </c>
      <c r="Y434">
        <v>0.28016753148492901</v>
      </c>
      <c r="Z434">
        <v>0.32219209054755199</v>
      </c>
      <c r="AA434">
        <v>4.9744500908787998E-4</v>
      </c>
    </row>
    <row r="435" spans="1:27" x14ac:dyDescent="0.55000000000000004">
      <c r="A435">
        <v>434</v>
      </c>
      <c r="B435">
        <v>23.137177439999999</v>
      </c>
      <c r="C435">
        <v>-5.7074794879999997</v>
      </c>
      <c r="D435">
        <v>2.391114043</v>
      </c>
      <c r="E435">
        <v>36.8744777</v>
      </c>
      <c r="F435">
        <v>5.5112951829999997</v>
      </c>
      <c r="G435">
        <v>9.4165799860000003</v>
      </c>
      <c r="H435">
        <v>23.137177439999999</v>
      </c>
      <c r="I435">
        <v>5.7074794879999997</v>
      </c>
      <c r="J435">
        <v>2.391114043</v>
      </c>
      <c r="K435">
        <v>36.8744777</v>
      </c>
      <c r="L435">
        <v>5.5112951829999997</v>
      </c>
      <c r="M435">
        <v>9.4165799860000003</v>
      </c>
      <c r="N435">
        <v>3.6945011E-2</v>
      </c>
      <c r="O435">
        <v>26.619674679999999</v>
      </c>
      <c r="P435">
        <v>154.33207572368201</v>
      </c>
      <c r="Q435">
        <v>64.849421370100004</v>
      </c>
      <c r="R435">
        <v>0.866832975009589</v>
      </c>
      <c r="S435">
        <v>0.23129674325212399</v>
      </c>
      <c r="T435">
        <v>0.12238047623772599</v>
      </c>
      <c r="U435">
        <v>0.50162797814150495</v>
      </c>
      <c r="V435">
        <v>0.26846264939475101</v>
      </c>
      <c r="W435">
        <v>0.10993523334489</v>
      </c>
      <c r="X435">
        <v>4.69196882225437E-2</v>
      </c>
      <c r="Y435">
        <v>0.33232105659533501</v>
      </c>
      <c r="Z435">
        <v>0.132195657001353</v>
      </c>
      <c r="AA435">
        <v>1.49753225326377E-3</v>
      </c>
    </row>
    <row r="436" spans="1:27" x14ac:dyDescent="0.55000000000000004">
      <c r="A436">
        <v>435</v>
      </c>
      <c r="B436">
        <v>24.021790129999999</v>
      </c>
      <c r="C436">
        <v>0.80604312899999997</v>
      </c>
      <c r="D436">
        <v>6.8665127650000004</v>
      </c>
      <c r="E436">
        <v>39.145890479999998</v>
      </c>
      <c r="F436">
        <v>5.048807697</v>
      </c>
      <c r="G436">
        <v>12.044545469999999</v>
      </c>
      <c r="H436">
        <v>24.021790129999999</v>
      </c>
      <c r="I436">
        <v>0.80604312899999997</v>
      </c>
      <c r="J436">
        <v>6.8665127650000004</v>
      </c>
      <c r="K436">
        <v>39.145890479999998</v>
      </c>
      <c r="L436">
        <v>5.048807697</v>
      </c>
      <c r="M436">
        <v>12.044545469999999</v>
      </c>
      <c r="N436">
        <v>7.6654299999999995E-2</v>
      </c>
      <c r="O436">
        <v>29.885761259999999</v>
      </c>
      <c r="P436">
        <v>569.52237674476203</v>
      </c>
      <c r="Q436">
        <v>5.9796682741899997E-2</v>
      </c>
      <c r="R436">
        <v>0.90025156376773097</v>
      </c>
      <c r="S436">
        <v>3.2075031040846802E-2</v>
      </c>
      <c r="T436">
        <v>0.351881395048179</v>
      </c>
      <c r="U436">
        <v>0.56644866264788896</v>
      </c>
      <c r="V436">
        <v>0.24571679240491801</v>
      </c>
      <c r="W436">
        <v>0.25460788694535402</v>
      </c>
      <c r="X436">
        <v>0.103198604495988</v>
      </c>
      <c r="Y436">
        <v>0.37468450519388802</v>
      </c>
      <c r="Z436">
        <v>0.48783368212802902</v>
      </c>
      <c r="AA436">
        <v>0</v>
      </c>
    </row>
    <row r="437" spans="1:27" x14ac:dyDescent="0.55000000000000004">
      <c r="A437">
        <v>436</v>
      </c>
      <c r="B437">
        <v>22.278814879999999</v>
      </c>
      <c r="C437">
        <v>4.6440075270000003</v>
      </c>
      <c r="D437">
        <v>8.9189331939999992</v>
      </c>
      <c r="E437">
        <v>41.090005240000004</v>
      </c>
      <c r="F437">
        <v>3.538227215</v>
      </c>
      <c r="G437">
        <v>9.9258170220000004</v>
      </c>
      <c r="H437">
        <v>22.278814879999999</v>
      </c>
      <c r="I437">
        <v>4.6440075270000003</v>
      </c>
      <c r="J437">
        <v>8.9189331939999992</v>
      </c>
      <c r="K437">
        <v>41.090005240000004</v>
      </c>
      <c r="L437">
        <v>3.538227215</v>
      </c>
      <c r="M437">
        <v>9.9258170220000004</v>
      </c>
      <c r="N437">
        <v>7.0769980999999996E-2</v>
      </c>
      <c r="O437">
        <v>31.244152069999998</v>
      </c>
      <c r="P437">
        <v>450.13522086073903</v>
      </c>
      <c r="Q437">
        <v>1.0742646962</v>
      </c>
      <c r="R437">
        <v>0.83440605448007799</v>
      </c>
      <c r="S437">
        <v>0.18807131106425601</v>
      </c>
      <c r="T437">
        <v>0.45713064846673102</v>
      </c>
      <c r="U437">
        <v>0.62192904499484603</v>
      </c>
      <c r="V437">
        <v>0.17142408469865</v>
      </c>
      <c r="W437">
        <v>0.137969343289751</v>
      </c>
      <c r="X437">
        <v>9.48589161090405E-2</v>
      </c>
      <c r="Y437">
        <v>0.39230379293983098</v>
      </c>
      <c r="Z437">
        <v>0.38557066625394498</v>
      </c>
      <c r="AA437" s="1">
        <v>2.3448176731827201E-5</v>
      </c>
    </row>
    <row r="438" spans="1:27" x14ac:dyDescent="0.55000000000000004">
      <c r="A438">
        <v>437</v>
      </c>
      <c r="B438">
        <v>22.576982709999999</v>
      </c>
      <c r="C438">
        <v>4.2838899670000004</v>
      </c>
      <c r="D438">
        <v>8.7637582740000006</v>
      </c>
      <c r="E438">
        <v>43.154400420000002</v>
      </c>
      <c r="F438">
        <v>3.4598815159999998</v>
      </c>
      <c r="G438">
        <v>9.8891524739999994</v>
      </c>
      <c r="H438">
        <v>22.576982709999999</v>
      </c>
      <c r="I438">
        <v>4.2838899670000004</v>
      </c>
      <c r="J438">
        <v>8.7637582740000006</v>
      </c>
      <c r="K438">
        <v>43.154400420000002</v>
      </c>
      <c r="L438">
        <v>3.4598815159999998</v>
      </c>
      <c r="M438">
        <v>9.8891524739999994</v>
      </c>
      <c r="N438">
        <v>8.7069756999999998E-2</v>
      </c>
      <c r="O438">
        <v>27.832361219999999</v>
      </c>
      <c r="P438">
        <v>56.266902607592399</v>
      </c>
      <c r="Q438">
        <v>260.27342826</v>
      </c>
      <c r="R438">
        <v>0.84567013446029904</v>
      </c>
      <c r="S438">
        <v>0.173434124809902</v>
      </c>
      <c r="T438">
        <v>0.44917319284578799</v>
      </c>
      <c r="U438">
        <v>0.68084194265815801</v>
      </c>
      <c r="V438">
        <v>0.16757092084196801</v>
      </c>
      <c r="W438">
        <v>0.13595091592283301</v>
      </c>
      <c r="X438">
        <v>0.11796015392722201</v>
      </c>
      <c r="Y438">
        <v>0.34805045710113802</v>
      </c>
      <c r="Z438">
        <v>4.8196333281743102E-2</v>
      </c>
      <c r="AA438">
        <v>6.01451710680884E-3</v>
      </c>
    </row>
    <row r="439" spans="1:27" x14ac:dyDescent="0.55000000000000004">
      <c r="A439">
        <v>438</v>
      </c>
      <c r="B439">
        <v>22.831627269999998</v>
      </c>
      <c r="C439">
        <v>1.8479478359999999</v>
      </c>
      <c r="D439">
        <v>7.1892655110000003</v>
      </c>
      <c r="E439">
        <v>42.215250910000002</v>
      </c>
      <c r="F439">
        <v>3.6750448499999999</v>
      </c>
      <c r="G439">
        <v>10.483556330000001</v>
      </c>
      <c r="H439">
        <v>22.831627269999998</v>
      </c>
      <c r="I439">
        <v>1.8479478359999999</v>
      </c>
      <c r="J439">
        <v>7.1892655110000003</v>
      </c>
      <c r="K439">
        <v>42.215250910000002</v>
      </c>
      <c r="L439">
        <v>3.6750448499999999</v>
      </c>
      <c r="M439">
        <v>10.483556330000001</v>
      </c>
      <c r="N439">
        <v>8.0892764000000006E-2</v>
      </c>
      <c r="O439">
        <v>25.150636670000001</v>
      </c>
      <c r="P439">
        <v>340.23414714622101</v>
      </c>
      <c r="Q439">
        <v>22.956676130999998</v>
      </c>
      <c r="R439">
        <v>0.85529000757125095</v>
      </c>
      <c r="S439">
        <v>7.4423849731186403E-2</v>
      </c>
      <c r="T439">
        <v>0.36843233416148602</v>
      </c>
      <c r="U439">
        <v>0.65404086333516698</v>
      </c>
      <c r="V439">
        <v>0.17815298970387</v>
      </c>
      <c r="W439">
        <v>0.168673561513663</v>
      </c>
      <c r="X439">
        <v>0.109205666485539</v>
      </c>
      <c r="Y439">
        <v>0.31326659655528399</v>
      </c>
      <c r="Z439">
        <v>0.291433108803758</v>
      </c>
      <c r="AA439">
        <v>5.2923312395031295E-4</v>
      </c>
    </row>
    <row r="440" spans="1:27" x14ac:dyDescent="0.55000000000000004">
      <c r="A440">
        <v>439</v>
      </c>
      <c r="B440">
        <v>19.555115199999999</v>
      </c>
      <c r="C440">
        <v>-1.392916963</v>
      </c>
      <c r="D440">
        <v>3.7401017059999999</v>
      </c>
      <c r="E440">
        <v>29.78101449</v>
      </c>
      <c r="F440">
        <v>8.9170730860000003</v>
      </c>
      <c r="G440">
        <v>12.55107675</v>
      </c>
      <c r="H440">
        <v>19.555115199999999</v>
      </c>
      <c r="I440">
        <v>1.392916963</v>
      </c>
      <c r="J440">
        <v>3.7401017059999999</v>
      </c>
      <c r="K440">
        <v>29.78101449</v>
      </c>
      <c r="L440">
        <v>8.9170730860000003</v>
      </c>
      <c r="M440">
        <v>12.55107675</v>
      </c>
      <c r="N440">
        <v>8.6864187999999995E-2</v>
      </c>
      <c r="O440">
        <v>41.287071230000002</v>
      </c>
      <c r="P440">
        <v>419.973554013431</v>
      </c>
      <c r="Q440">
        <v>4.0821617267999999</v>
      </c>
      <c r="R440">
        <v>0.73151108074122795</v>
      </c>
      <c r="S440">
        <v>5.5928857041625701E-2</v>
      </c>
      <c r="T440">
        <v>0.191557308818157</v>
      </c>
      <c r="U440">
        <v>0.29919751510913101</v>
      </c>
      <c r="V440">
        <v>0.43596412665800999</v>
      </c>
      <c r="W440">
        <v>0.282493041775355</v>
      </c>
      <c r="X440">
        <v>0.11766880646594099</v>
      </c>
      <c r="Y440">
        <v>0.52256754412737205</v>
      </c>
      <c r="Z440">
        <v>0.35973519850403501</v>
      </c>
      <c r="AA440" s="1">
        <v>9.2972006196126203E-5</v>
      </c>
    </row>
    <row r="441" spans="1:27" x14ac:dyDescent="0.55000000000000004">
      <c r="A441">
        <v>440</v>
      </c>
      <c r="B441">
        <v>10.02125013</v>
      </c>
      <c r="C441">
        <v>-5.1384554299999996</v>
      </c>
      <c r="D441">
        <v>-1.870988289</v>
      </c>
      <c r="E441">
        <v>32.148940439999997</v>
      </c>
      <c r="F441">
        <v>13.37988505</v>
      </c>
      <c r="G441">
        <v>19.92620552</v>
      </c>
      <c r="H441">
        <v>10.02125013</v>
      </c>
      <c r="I441">
        <v>5.1384554299999996</v>
      </c>
      <c r="J441">
        <v>1.870988289</v>
      </c>
      <c r="K441">
        <v>32.148940439999997</v>
      </c>
      <c r="L441">
        <v>13.37988505</v>
      </c>
      <c r="M441">
        <v>19.92620552</v>
      </c>
      <c r="N441">
        <v>8.4112673999999998E-2</v>
      </c>
      <c r="O441">
        <v>17.586761469999999</v>
      </c>
      <c r="P441">
        <v>273.26080231724097</v>
      </c>
      <c r="Q441">
        <v>39.613518468700001</v>
      </c>
      <c r="R441">
        <v>0.37134406114992302</v>
      </c>
      <c r="S441">
        <v>0.20816843170809801</v>
      </c>
      <c r="T441">
        <v>9.5708140239329706E-2</v>
      </c>
      <c r="U441">
        <v>0.36677245449968499</v>
      </c>
      <c r="V441">
        <v>0.65545219018079204</v>
      </c>
      <c r="W441">
        <v>0.688502731132837</v>
      </c>
      <c r="X441">
        <v>0.11376915905520001</v>
      </c>
      <c r="Y441">
        <v>0.21515779558128401</v>
      </c>
      <c r="Z441">
        <v>0.23406599778856699</v>
      </c>
      <c r="AA441">
        <v>9.1423548750162403E-4</v>
      </c>
    </row>
    <row r="442" spans="1:27" x14ac:dyDescent="0.55000000000000004">
      <c r="A442">
        <v>441</v>
      </c>
      <c r="B442">
        <v>20.909265479999998</v>
      </c>
      <c r="C442">
        <v>-3.8227648759999999</v>
      </c>
      <c r="D442">
        <v>2.914217227</v>
      </c>
      <c r="E442">
        <v>48.299617580000003</v>
      </c>
      <c r="F442">
        <v>2.7806390300000001</v>
      </c>
      <c r="G442">
        <v>8.485148594</v>
      </c>
      <c r="H442">
        <v>20.909265479999998</v>
      </c>
      <c r="I442">
        <v>3.8227648759999999</v>
      </c>
      <c r="J442">
        <v>2.914217227</v>
      </c>
      <c r="K442">
        <v>48.299617580000003</v>
      </c>
      <c r="L442">
        <v>2.7806390300000001</v>
      </c>
      <c r="M442">
        <v>8.485148594</v>
      </c>
      <c r="N442">
        <v>0.116566718</v>
      </c>
      <c r="O442">
        <v>36.597152710000003</v>
      </c>
      <c r="P442">
        <v>5.9705361895016802</v>
      </c>
      <c r="Q442">
        <v>245.96794821399999</v>
      </c>
      <c r="R442">
        <v>0.78266769632634203</v>
      </c>
      <c r="S442">
        <v>0.154691429109301</v>
      </c>
      <c r="T442">
        <v>0.14920549649134601</v>
      </c>
      <c r="U442">
        <v>0.82767412621450498</v>
      </c>
      <c r="V442">
        <v>0.134164714370093</v>
      </c>
      <c r="W442">
        <v>5.86588174452762E-2</v>
      </c>
      <c r="X442">
        <v>0.159765410083786</v>
      </c>
      <c r="Y442">
        <v>0.461735990129369</v>
      </c>
      <c r="Z442">
        <v>5.1141601674214504E-3</v>
      </c>
      <c r="AA442">
        <v>5.6838635821020297E-3</v>
      </c>
    </row>
    <row r="443" spans="1:27" x14ac:dyDescent="0.55000000000000004">
      <c r="A443">
        <v>442</v>
      </c>
      <c r="B443">
        <v>18.662202180000001</v>
      </c>
      <c r="C443">
        <v>1.518127445</v>
      </c>
      <c r="D443">
        <v>5.1301930410000001</v>
      </c>
      <c r="E443">
        <v>33.735024989999999</v>
      </c>
      <c r="F443">
        <v>3.8794165829999998</v>
      </c>
      <c r="G443">
        <v>10.388507430000001</v>
      </c>
      <c r="H443">
        <v>18.662202180000001</v>
      </c>
      <c r="I443">
        <v>1.518127445</v>
      </c>
      <c r="J443">
        <v>5.1301930410000001</v>
      </c>
      <c r="K443">
        <v>33.735024989999999</v>
      </c>
      <c r="L443">
        <v>3.8794165829999998</v>
      </c>
      <c r="M443">
        <v>10.388507430000001</v>
      </c>
      <c r="N443">
        <v>5.5428814E-2</v>
      </c>
      <c r="O443">
        <v>16.736444469999999</v>
      </c>
      <c r="P443">
        <v>0</v>
      </c>
      <c r="Q443">
        <v>66.412890280400006</v>
      </c>
      <c r="R443">
        <v>0.69777892501986905</v>
      </c>
      <c r="S443">
        <v>6.1018109412522198E-2</v>
      </c>
      <c r="T443">
        <v>0.26284196040566399</v>
      </c>
      <c r="U443">
        <v>0.412035511536812</v>
      </c>
      <c r="V443">
        <v>0.18820431077157601</v>
      </c>
      <c r="W443">
        <v>0.163441005504642</v>
      </c>
      <c r="X443">
        <v>7.3116289260951497E-2</v>
      </c>
      <c r="Y443">
        <v>0.20412858381985599</v>
      </c>
      <c r="Z443">
        <v>0</v>
      </c>
      <c r="AA443">
        <v>1.5336699085048301E-3</v>
      </c>
    </row>
    <row r="444" spans="1:27" x14ac:dyDescent="0.55000000000000004">
      <c r="A444">
        <v>443</v>
      </c>
      <c r="B444">
        <v>22.581972650000001</v>
      </c>
      <c r="C444">
        <v>7.323510368</v>
      </c>
      <c r="D444">
        <v>11.19650536</v>
      </c>
      <c r="E444">
        <v>38.382026619999998</v>
      </c>
      <c r="F444">
        <v>2.765851021</v>
      </c>
      <c r="G444">
        <v>8.7513443209999995</v>
      </c>
      <c r="H444">
        <v>22.581972650000001</v>
      </c>
      <c r="I444">
        <v>7.323510368</v>
      </c>
      <c r="J444">
        <v>11.19650536</v>
      </c>
      <c r="K444">
        <v>38.382026619999998</v>
      </c>
      <c r="L444">
        <v>2.765851021</v>
      </c>
      <c r="M444">
        <v>8.7513443209999995</v>
      </c>
      <c r="N444">
        <v>6.6691734000000003E-2</v>
      </c>
      <c r="O444">
        <v>24.36865997</v>
      </c>
      <c r="P444">
        <v>184.90986257946801</v>
      </c>
      <c r="Q444">
        <v>26.386400399399999</v>
      </c>
      <c r="R444">
        <v>0.84585864266809696</v>
      </c>
      <c r="S444">
        <v>0.29698125189799002</v>
      </c>
      <c r="T444">
        <v>0.57392580733930698</v>
      </c>
      <c r="U444">
        <v>0.54464981625992004</v>
      </c>
      <c r="V444">
        <v>0.13343741698787101</v>
      </c>
      <c r="W444">
        <v>7.3313211666457906E-2</v>
      </c>
      <c r="X444">
        <v>8.9078925400684406E-2</v>
      </c>
      <c r="Y444">
        <v>0.30312380672889899</v>
      </c>
      <c r="Z444">
        <v>0.15838755913247701</v>
      </c>
      <c r="AA444">
        <v>6.0850696967043897E-4</v>
      </c>
    </row>
    <row r="445" spans="1:27" x14ac:dyDescent="0.55000000000000004">
      <c r="A445">
        <v>444</v>
      </c>
      <c r="B445">
        <v>22.55966995</v>
      </c>
      <c r="C445">
        <v>-6.028890713</v>
      </c>
      <c r="D445">
        <v>2.4512783279999999</v>
      </c>
      <c r="E445">
        <v>43.309689120000002</v>
      </c>
      <c r="F445">
        <v>4.4394101700000004</v>
      </c>
      <c r="G445">
        <v>9.9740786880000005</v>
      </c>
      <c r="H445">
        <v>22.55966995</v>
      </c>
      <c r="I445">
        <v>6.028890713</v>
      </c>
      <c r="J445">
        <v>2.4512783279999999</v>
      </c>
      <c r="K445">
        <v>43.309689120000002</v>
      </c>
      <c r="L445">
        <v>4.4394101700000004</v>
      </c>
      <c r="M445">
        <v>9.9740786880000005</v>
      </c>
      <c r="N445">
        <v>5.5397863999999998E-2</v>
      </c>
      <c r="O445">
        <v>22.867063519999999</v>
      </c>
      <c r="P445">
        <v>303.01256758588102</v>
      </c>
      <c r="Q445">
        <v>23.520587992799999</v>
      </c>
      <c r="R445">
        <v>0.84501609906916197</v>
      </c>
      <c r="S445">
        <v>0.244360688161018</v>
      </c>
      <c r="T445">
        <v>0.12546573400910599</v>
      </c>
      <c r="U445">
        <v>0.68527351049943197</v>
      </c>
      <c r="V445">
        <v>0.21574567011794701</v>
      </c>
      <c r="W445">
        <v>0.14062620591976199</v>
      </c>
      <c r="X445">
        <v>7.3072424651371995E-2</v>
      </c>
      <c r="Y445">
        <v>0.28364704073779501</v>
      </c>
      <c r="Z445">
        <v>0.25955035765475398</v>
      </c>
      <c r="AA445">
        <v>5.4226725102109804E-4</v>
      </c>
    </row>
    <row r="446" spans="1:27" x14ac:dyDescent="0.55000000000000004">
      <c r="A446">
        <v>445</v>
      </c>
      <c r="B446">
        <v>22.950806029999999</v>
      </c>
      <c r="C446">
        <v>-5.4628933679999996</v>
      </c>
      <c r="D446">
        <v>2.6300752780000001</v>
      </c>
      <c r="E446">
        <v>37.006140809999998</v>
      </c>
      <c r="F446">
        <v>6.4632989419999998</v>
      </c>
      <c r="G446">
        <v>10.638096490000001</v>
      </c>
      <c r="H446">
        <v>22.950806029999999</v>
      </c>
      <c r="I446">
        <v>5.4628933679999996</v>
      </c>
      <c r="J446">
        <v>2.6300752780000001</v>
      </c>
      <c r="K446">
        <v>37.006140809999998</v>
      </c>
      <c r="L446">
        <v>6.4632989419999998</v>
      </c>
      <c r="M446">
        <v>10.638096490000001</v>
      </c>
      <c r="N446">
        <v>1.0528877000000001E-2</v>
      </c>
      <c r="O446">
        <v>8.7382659910000005</v>
      </c>
      <c r="P446">
        <v>257.22012620613702</v>
      </c>
      <c r="Q446">
        <v>23.8216902964</v>
      </c>
      <c r="R446">
        <v>0.85979230107683602</v>
      </c>
      <c r="S446">
        <v>0.22135539911530999</v>
      </c>
      <c r="T446">
        <v>0.13463454037797601</v>
      </c>
      <c r="U446">
        <v>0.50538532818795401</v>
      </c>
      <c r="V446">
        <v>0.31528368133938001</v>
      </c>
      <c r="W446">
        <v>0.17718118277854</v>
      </c>
      <c r="X446">
        <v>9.4808060090121604E-3</v>
      </c>
      <c r="Y446">
        <v>0.10038656272586199</v>
      </c>
      <c r="Z446">
        <v>0.220326095002254</v>
      </c>
      <c r="AA446">
        <v>5.4922685934340101E-4</v>
      </c>
    </row>
    <row r="447" spans="1:27" x14ac:dyDescent="0.55000000000000004">
      <c r="A447">
        <v>1000</v>
      </c>
      <c r="B447">
        <v>11.61216523</v>
      </c>
      <c r="C447">
        <v>-11.58454261</v>
      </c>
      <c r="D447">
        <v>-5.2867233039999997</v>
      </c>
      <c r="E447">
        <v>30.61728441</v>
      </c>
      <c r="F447">
        <v>11.226745770000001</v>
      </c>
      <c r="G447">
        <v>17.474945730000002</v>
      </c>
      <c r="H447">
        <v>11.61216523</v>
      </c>
      <c r="I447">
        <v>11.58454261</v>
      </c>
      <c r="J447">
        <v>5.2867233039999997</v>
      </c>
      <c r="K447">
        <v>30.61728441</v>
      </c>
      <c r="L447">
        <v>11.226745770000001</v>
      </c>
      <c r="M447">
        <v>17.474945730000002</v>
      </c>
      <c r="N447">
        <v>0.1202932</v>
      </c>
      <c r="O447">
        <v>49.403762819999997</v>
      </c>
      <c r="P447">
        <v>114.206144545896</v>
      </c>
      <c r="Q447">
        <v>85.2037198268157</v>
      </c>
      <c r="R447">
        <v>0.43144509528274699</v>
      </c>
      <c r="S447">
        <v>0.470173368833258</v>
      </c>
      <c r="T447">
        <v>0.27086891876438002</v>
      </c>
      <c r="U447">
        <v>0.32306265715808002</v>
      </c>
      <c r="V447">
        <v>0.54955743708022498</v>
      </c>
      <c r="W447">
        <v>0.55355793804383602</v>
      </c>
      <c r="X447">
        <v>0.16504685363903401</v>
      </c>
      <c r="Y447">
        <v>0.62784676393399297</v>
      </c>
      <c r="Z447">
        <v>9.7825136097222806E-2</v>
      </c>
      <c r="AA447">
        <v>1.9679967540009698E-3</v>
      </c>
    </row>
    <row r="448" spans="1:27" x14ac:dyDescent="0.55000000000000004">
      <c r="A448">
        <v>1001</v>
      </c>
      <c r="B448">
        <v>11.194920870000001</v>
      </c>
      <c r="C448">
        <v>-12.65481937</v>
      </c>
      <c r="D448">
        <v>-5.3482913630000004</v>
      </c>
      <c r="E448">
        <v>31.43986344</v>
      </c>
      <c r="F448">
        <v>10.803748560000001</v>
      </c>
      <c r="G448">
        <v>17.124564339999999</v>
      </c>
      <c r="H448">
        <v>11.194920870000001</v>
      </c>
      <c r="I448">
        <v>12.65481937</v>
      </c>
      <c r="J448">
        <v>5.3482913630000004</v>
      </c>
      <c r="K448">
        <v>31.43986344</v>
      </c>
      <c r="L448">
        <v>10.803748560000001</v>
      </c>
      <c r="M448">
        <v>17.124564339999999</v>
      </c>
      <c r="N448">
        <v>0.21734070799999999</v>
      </c>
      <c r="O448">
        <v>66.744255069999994</v>
      </c>
      <c r="P448">
        <v>1.6939432445543401</v>
      </c>
      <c r="Q448">
        <v>969.90215024488498</v>
      </c>
      <c r="R448">
        <v>0.41568258380612</v>
      </c>
      <c r="S448">
        <v>0.51367538600739104</v>
      </c>
      <c r="T448">
        <v>0.27402616284196701</v>
      </c>
      <c r="U448">
        <v>0.34653709397321403</v>
      </c>
      <c r="V448">
        <v>0.52875377354983799</v>
      </c>
      <c r="W448">
        <v>0.53426902204697801</v>
      </c>
      <c r="X448">
        <v>0.30258969852045198</v>
      </c>
      <c r="Y448">
        <v>0.85276518973594795</v>
      </c>
      <c r="Z448">
        <v>1.45097471855296E-3</v>
      </c>
      <c r="AA448">
        <v>2.2416709651413399E-2</v>
      </c>
    </row>
    <row r="449" spans="1:27" x14ac:dyDescent="0.55000000000000004">
      <c r="A449">
        <v>1002</v>
      </c>
      <c r="B449">
        <v>10.88833402</v>
      </c>
      <c r="C449">
        <v>-12.927757890000001</v>
      </c>
      <c r="D449">
        <v>-5.7880641050000001</v>
      </c>
      <c r="E449">
        <v>31.69653937</v>
      </c>
      <c r="F449">
        <v>11.4762225</v>
      </c>
      <c r="G449">
        <v>17.849591889999999</v>
      </c>
      <c r="H449">
        <v>10.88833402</v>
      </c>
      <c r="I449">
        <v>12.927757890000001</v>
      </c>
      <c r="J449">
        <v>5.7880641050000001</v>
      </c>
      <c r="K449">
        <v>31.69653937</v>
      </c>
      <c r="L449">
        <v>11.4762225</v>
      </c>
      <c r="M449">
        <v>17.849591889999999</v>
      </c>
      <c r="N449">
        <v>0.19945527599999999</v>
      </c>
      <c r="O449">
        <v>62.198459630000002</v>
      </c>
      <c r="P449">
        <v>2.6513894262589699</v>
      </c>
      <c r="Q449">
        <v>677.28970655742899</v>
      </c>
      <c r="R449">
        <v>0.40410045303338199</v>
      </c>
      <c r="S449">
        <v>0.52476912982046098</v>
      </c>
      <c r="T449">
        <v>0.29657795199555698</v>
      </c>
      <c r="U449">
        <v>0.35386201070583601</v>
      </c>
      <c r="V449">
        <v>0.56182709235662998</v>
      </c>
      <c r="W449">
        <v>0.574182658748282</v>
      </c>
      <c r="X449">
        <v>0.27724115274209798</v>
      </c>
      <c r="Y449">
        <v>0.79380301382756202</v>
      </c>
      <c r="Z449">
        <v>2.2710908638220299E-3</v>
      </c>
      <c r="AA449">
        <v>1.5653333968303498E-2</v>
      </c>
    </row>
    <row r="450" spans="1:27" x14ac:dyDescent="0.55000000000000004">
      <c r="A450">
        <v>1003</v>
      </c>
      <c r="B450">
        <v>9.689018913</v>
      </c>
      <c r="C450">
        <v>-14.50417595</v>
      </c>
      <c r="D450">
        <v>-7.6277517860000001</v>
      </c>
      <c r="E450">
        <v>31.520090010000001</v>
      </c>
      <c r="F450">
        <v>13.204973989999999</v>
      </c>
      <c r="G450">
        <v>19.205844119999998</v>
      </c>
      <c r="H450">
        <v>9.689018913</v>
      </c>
      <c r="I450">
        <v>14.50417595</v>
      </c>
      <c r="J450">
        <v>7.6277517860000001</v>
      </c>
      <c r="K450">
        <v>31.520090010000001</v>
      </c>
      <c r="L450">
        <v>13.204973989999999</v>
      </c>
      <c r="M450">
        <v>19.205844119999998</v>
      </c>
      <c r="N450">
        <v>0.236268908</v>
      </c>
      <c r="O450">
        <v>62.842639920000003</v>
      </c>
      <c r="P450">
        <v>0.158116978201157</v>
      </c>
      <c r="Q450">
        <v>6421.18900572037</v>
      </c>
      <c r="R450">
        <v>0.35879314645126498</v>
      </c>
      <c r="S450">
        <v>0.58884355251439402</v>
      </c>
      <c r="T450">
        <v>0.39091815257663298</v>
      </c>
      <c r="U450">
        <v>0.34882656827255298</v>
      </c>
      <c r="V450">
        <v>0.64684979103025497</v>
      </c>
      <c r="W450">
        <v>0.64884597158867496</v>
      </c>
      <c r="X450">
        <v>0.32941613157512101</v>
      </c>
      <c r="Y450">
        <v>0.80215848694046898</v>
      </c>
      <c r="Z450">
        <v>1.3543767695961201E-4</v>
      </c>
      <c r="AA450">
        <v>0.14841648086879899</v>
      </c>
    </row>
    <row r="451" spans="1:27" x14ac:dyDescent="0.55000000000000004">
      <c r="A451">
        <v>1004</v>
      </c>
      <c r="B451">
        <v>9.4680537319999996</v>
      </c>
      <c r="C451">
        <v>-15.41094979</v>
      </c>
      <c r="D451">
        <v>-9.0956364090000008</v>
      </c>
      <c r="E451">
        <v>30.634601920000001</v>
      </c>
      <c r="F451">
        <v>13.200666890000001</v>
      </c>
      <c r="G451">
        <v>18.717107599999999</v>
      </c>
      <c r="H451">
        <v>9.4680537319999996</v>
      </c>
      <c r="I451">
        <v>15.41094979</v>
      </c>
      <c r="J451">
        <v>9.0956364090000008</v>
      </c>
      <c r="K451">
        <v>30.634601920000001</v>
      </c>
      <c r="L451">
        <v>13.200666890000001</v>
      </c>
      <c r="M451">
        <v>18.717107599999999</v>
      </c>
      <c r="N451">
        <v>0.10235092799999999</v>
      </c>
      <c r="O451">
        <v>50.084697720000001</v>
      </c>
      <c r="P451">
        <v>14.9775734713443</v>
      </c>
      <c r="Q451">
        <v>3.0871987665327398</v>
      </c>
      <c r="R451">
        <v>0.35044560113885598</v>
      </c>
      <c r="S451">
        <v>0.62569989905483003</v>
      </c>
      <c r="T451">
        <v>0.466192086948158</v>
      </c>
      <c r="U451">
        <v>0.32355685744700602</v>
      </c>
      <c r="V451">
        <v>0.64663796112435201</v>
      </c>
      <c r="W451">
        <v>0.62194043965138601</v>
      </c>
      <c r="X451">
        <v>0.139617750044573</v>
      </c>
      <c r="Y451">
        <v>0.63667897028509102</v>
      </c>
      <c r="Z451">
        <v>1.2829284878377201E-2</v>
      </c>
      <c r="AA451" s="1">
        <v>6.9974664708303907E-5</v>
      </c>
    </row>
    <row r="452" spans="1:27" x14ac:dyDescent="0.55000000000000004">
      <c r="A452">
        <v>1005</v>
      </c>
      <c r="B452">
        <v>9.6722151640000007</v>
      </c>
      <c r="C452">
        <v>-15.58298783</v>
      </c>
      <c r="D452">
        <v>-9.5488663270000007</v>
      </c>
      <c r="E452">
        <v>30.46906779</v>
      </c>
      <c r="F452">
        <v>13.07877148</v>
      </c>
      <c r="G452">
        <v>18.542297640000001</v>
      </c>
      <c r="H452">
        <v>9.6722151640000007</v>
      </c>
      <c r="I452">
        <v>15.58298783</v>
      </c>
      <c r="J452">
        <v>9.5488663270000007</v>
      </c>
      <c r="K452">
        <v>30.46906779</v>
      </c>
      <c r="L452">
        <v>13.07877148</v>
      </c>
      <c r="M452">
        <v>18.542297640000001</v>
      </c>
      <c r="N452">
        <v>8.5493266999999998E-2</v>
      </c>
      <c r="O452">
        <v>43.638732910000002</v>
      </c>
      <c r="P452">
        <v>14.9775734713443</v>
      </c>
      <c r="Q452">
        <v>45.201333125382703</v>
      </c>
      <c r="R452">
        <v>0.35815834029963101</v>
      </c>
      <c r="S452">
        <v>0.63269248457138805</v>
      </c>
      <c r="T452">
        <v>0.48943396752118201</v>
      </c>
      <c r="U452">
        <v>0.31883290955420202</v>
      </c>
      <c r="V452">
        <v>0.64064295445388597</v>
      </c>
      <c r="W452">
        <v>0.61231694157160999</v>
      </c>
      <c r="X452">
        <v>0.115725836694397</v>
      </c>
      <c r="Y452">
        <v>0.55307025624526995</v>
      </c>
      <c r="Z452">
        <v>1.2829284878377201E-2</v>
      </c>
      <c r="AA452">
        <v>1.0433909304297399E-3</v>
      </c>
    </row>
    <row r="453" spans="1:27" x14ac:dyDescent="0.55000000000000004">
      <c r="A453">
        <v>1006</v>
      </c>
      <c r="B453">
        <v>11.03592407</v>
      </c>
      <c r="C453">
        <v>-10.981001669999999</v>
      </c>
      <c r="D453">
        <v>-6.2849406370000001</v>
      </c>
      <c r="E453">
        <v>33.845860989999998</v>
      </c>
      <c r="F453">
        <v>17.875660230000001</v>
      </c>
      <c r="G453">
        <v>23.387464080000001</v>
      </c>
      <c r="H453">
        <v>11.03592407</v>
      </c>
      <c r="I453">
        <v>10.981001669999999</v>
      </c>
      <c r="J453">
        <v>6.2849406370000001</v>
      </c>
      <c r="K453">
        <v>33.845860989999998</v>
      </c>
      <c r="L453">
        <v>17.875660230000001</v>
      </c>
      <c r="M453">
        <v>23.387464080000001</v>
      </c>
      <c r="N453">
        <v>0.12023115199999999</v>
      </c>
      <c r="O453">
        <v>36.067733760000003</v>
      </c>
      <c r="P453">
        <v>312.04942696047601</v>
      </c>
      <c r="Q453">
        <v>64.183516050124894</v>
      </c>
      <c r="R453">
        <v>0.40967605831408799</v>
      </c>
      <c r="S453">
        <v>0.44564209868106602</v>
      </c>
      <c r="T453">
        <v>0.32205805504621698</v>
      </c>
      <c r="U453">
        <v>0.41519850570995798</v>
      </c>
      <c r="V453">
        <v>0.87656143615662796</v>
      </c>
      <c r="W453">
        <v>0.87904916856561999</v>
      </c>
      <c r="X453">
        <v>0.164958914663422</v>
      </c>
      <c r="Y453">
        <v>0.45486905261069999</v>
      </c>
      <c r="Z453">
        <v>0.26729102696572898</v>
      </c>
      <c r="AA453">
        <v>1.48214067322152E-3</v>
      </c>
    </row>
    <row r="454" spans="1:27" x14ac:dyDescent="0.55000000000000004">
      <c r="A454">
        <v>1007</v>
      </c>
      <c r="B454">
        <v>10.955800399999999</v>
      </c>
      <c r="C454">
        <v>-11.79549306</v>
      </c>
      <c r="D454">
        <v>-6.9116285299999998</v>
      </c>
      <c r="E454">
        <v>33.630147639999997</v>
      </c>
      <c r="F454">
        <v>17.891501380000001</v>
      </c>
      <c r="G454">
        <v>23.3093094</v>
      </c>
      <c r="H454">
        <v>10.955800399999999</v>
      </c>
      <c r="I454">
        <v>11.79549306</v>
      </c>
      <c r="J454">
        <v>6.9116285299999998</v>
      </c>
      <c r="K454">
        <v>33.630147639999997</v>
      </c>
      <c r="L454">
        <v>17.891501380000001</v>
      </c>
      <c r="M454">
        <v>23.3093094</v>
      </c>
      <c r="N454">
        <v>0.115257137</v>
      </c>
      <c r="O454">
        <v>37.57591248</v>
      </c>
      <c r="P454">
        <v>595.85908677520695</v>
      </c>
      <c r="Q454">
        <v>79.474321288185493</v>
      </c>
      <c r="R454">
        <v>0.40664917433673597</v>
      </c>
      <c r="S454">
        <v>0.478747571732694</v>
      </c>
      <c r="T454">
        <v>0.35419495640069898</v>
      </c>
      <c r="U454">
        <v>0.40904256297366498</v>
      </c>
      <c r="V454">
        <v>0.87734052865828904</v>
      </c>
      <c r="W454">
        <v>0.87474665964161202</v>
      </c>
      <c r="X454">
        <v>0.157909375858336</v>
      </c>
      <c r="Y454">
        <v>0.47443119529038102</v>
      </c>
      <c r="Z454">
        <v>0.51039282072188996</v>
      </c>
      <c r="AA454">
        <v>1.83556877429275E-3</v>
      </c>
    </row>
    <row r="455" spans="1:27" x14ac:dyDescent="0.55000000000000004">
      <c r="A455">
        <v>1008</v>
      </c>
      <c r="B455">
        <v>10.741965540000001</v>
      </c>
      <c r="C455">
        <v>-12.38949071</v>
      </c>
      <c r="D455">
        <v>-7.521079566</v>
      </c>
      <c r="E455">
        <v>33.806608799999999</v>
      </c>
      <c r="F455">
        <v>17.57605276</v>
      </c>
      <c r="G455">
        <v>23.288383939999999</v>
      </c>
      <c r="H455">
        <v>10.741965540000001</v>
      </c>
      <c r="I455">
        <v>12.38949071</v>
      </c>
      <c r="J455">
        <v>7.521079566</v>
      </c>
      <c r="K455">
        <v>33.806608799999999</v>
      </c>
      <c r="L455">
        <v>17.57605276</v>
      </c>
      <c r="M455">
        <v>23.288383939999999</v>
      </c>
      <c r="N455">
        <v>0.111940652</v>
      </c>
      <c r="O455">
        <v>37.295074460000002</v>
      </c>
      <c r="P455">
        <v>574.67926141589896</v>
      </c>
      <c r="Q455">
        <v>4.5673242869816102</v>
      </c>
      <c r="R455">
        <v>0.39857099579681998</v>
      </c>
      <c r="S455">
        <v>0.50289094934998901</v>
      </c>
      <c r="T455">
        <v>0.38544794220605599</v>
      </c>
      <c r="U455">
        <v>0.41407834215070699</v>
      </c>
      <c r="V455">
        <v>0.86182627278032498</v>
      </c>
      <c r="W455">
        <v>0.873594687956884</v>
      </c>
      <c r="X455">
        <v>0.15320901011678001</v>
      </c>
      <c r="Y455">
        <v>0.470788527916637</v>
      </c>
      <c r="Z455">
        <v>0.49225089581471398</v>
      </c>
      <c r="AA455">
        <v>1.04185940301377E-4</v>
      </c>
    </row>
    <row r="456" spans="1:27" x14ac:dyDescent="0.55000000000000004">
      <c r="A456">
        <v>1009</v>
      </c>
      <c r="B456">
        <v>10.93300838</v>
      </c>
      <c r="C456">
        <v>-11.53645809</v>
      </c>
      <c r="D456">
        <v>-6.8144777400000001</v>
      </c>
      <c r="E456">
        <v>33.95488907</v>
      </c>
      <c r="F456">
        <v>18.050139619999999</v>
      </c>
      <c r="G456">
        <v>23.744209949999998</v>
      </c>
      <c r="H456">
        <v>10.93300838</v>
      </c>
      <c r="I456">
        <v>11.53645809</v>
      </c>
      <c r="J456">
        <v>6.8144777400000001</v>
      </c>
      <c r="K456">
        <v>33.95488907</v>
      </c>
      <c r="L456">
        <v>18.050139619999999</v>
      </c>
      <c r="M456">
        <v>23.744209949999998</v>
      </c>
      <c r="N456">
        <v>0.14180356299999999</v>
      </c>
      <c r="O456">
        <v>36.643405909999998</v>
      </c>
      <c r="P456">
        <v>296.98821781607899</v>
      </c>
      <c r="Q456">
        <v>65.939214183987801</v>
      </c>
      <c r="R456">
        <v>0.405788145378009</v>
      </c>
      <c r="S456">
        <v>0.46821894574100098</v>
      </c>
      <c r="T456">
        <v>0.34921301022044898</v>
      </c>
      <c r="U456">
        <v>0.41830990617324898</v>
      </c>
      <c r="V456">
        <v>0.88514260510227505</v>
      </c>
      <c r="W456">
        <v>0.89868845682421195</v>
      </c>
      <c r="X456">
        <v>0.19553291744864701</v>
      </c>
      <c r="Y456">
        <v>0.46233592678527902</v>
      </c>
      <c r="Z456">
        <v>0.254390102587293</v>
      </c>
      <c r="AA456">
        <v>1.5227214698404501E-3</v>
      </c>
    </row>
    <row r="457" spans="1:27" x14ac:dyDescent="0.55000000000000004">
      <c r="A457">
        <v>1010</v>
      </c>
      <c r="B457">
        <v>9.0956385819999994</v>
      </c>
      <c r="C457">
        <v>-14.48807369</v>
      </c>
      <c r="D457">
        <v>-9.6942930710000006</v>
      </c>
      <c r="E457">
        <v>34.177975259999997</v>
      </c>
      <c r="F457">
        <v>18.398391360000002</v>
      </c>
      <c r="G457">
        <v>23.869951489999998</v>
      </c>
      <c r="H457">
        <v>9.0956385819999994</v>
      </c>
      <c r="I457">
        <v>14.48807369</v>
      </c>
      <c r="J457">
        <v>9.6942930710000006</v>
      </c>
      <c r="K457">
        <v>34.177975259999997</v>
      </c>
      <c r="L457">
        <v>18.398391360000002</v>
      </c>
      <c r="M457">
        <v>23.869951489999998</v>
      </c>
      <c r="N457">
        <v>0.117891379</v>
      </c>
      <c r="O457">
        <v>36.817195890000001</v>
      </c>
      <c r="P457">
        <v>203.79698623512201</v>
      </c>
      <c r="Q457">
        <v>52.040574377452103</v>
      </c>
      <c r="R457">
        <v>0.33637663187598899</v>
      </c>
      <c r="S457">
        <v>0.58818906685494499</v>
      </c>
      <c r="T457">
        <v>0.49689153129165597</v>
      </c>
      <c r="U457">
        <v>0.42467625211752102</v>
      </c>
      <c r="V457">
        <v>0.90227016966193596</v>
      </c>
      <c r="W457">
        <v>0.90561067949812601</v>
      </c>
      <c r="X457">
        <v>0.16164281679106099</v>
      </c>
      <c r="Y457">
        <v>0.46459010551090102</v>
      </c>
      <c r="Z457">
        <v>0.17456563299571801</v>
      </c>
      <c r="AA457">
        <v>1.20147155541019E-3</v>
      </c>
    </row>
    <row r="458" spans="1:27" x14ac:dyDescent="0.55000000000000004">
      <c r="A458">
        <v>1011</v>
      </c>
      <c r="B458">
        <v>9.0152055650000005</v>
      </c>
      <c r="C458">
        <v>-13.75947959</v>
      </c>
      <c r="D458">
        <v>-9.1894613120000006</v>
      </c>
      <c r="E458">
        <v>34.674279130000002</v>
      </c>
      <c r="F458">
        <v>18.678268339999999</v>
      </c>
      <c r="G458">
        <v>24.316783999999998</v>
      </c>
      <c r="H458">
        <v>9.0152055650000005</v>
      </c>
      <c r="I458">
        <v>13.75947959</v>
      </c>
      <c r="J458">
        <v>9.1894613120000006</v>
      </c>
      <c r="K458">
        <v>34.674279130000002</v>
      </c>
      <c r="L458">
        <v>18.678268339999999</v>
      </c>
      <c r="M458">
        <v>24.316783999999998</v>
      </c>
      <c r="N458">
        <v>0.10895655999999999</v>
      </c>
      <c r="O458">
        <v>37.930362700000003</v>
      </c>
      <c r="P458">
        <v>407.59397247024401</v>
      </c>
      <c r="Q458">
        <v>22.942200012502401</v>
      </c>
      <c r="R458">
        <v>0.33333806149588402</v>
      </c>
      <c r="S458">
        <v>0.55857493877542597</v>
      </c>
      <c r="T458">
        <v>0.47100347980572699</v>
      </c>
      <c r="U458">
        <v>0.43883957674958901</v>
      </c>
      <c r="V458">
        <v>0.91603495672003699</v>
      </c>
      <c r="W458">
        <v>0.93020934539774902</v>
      </c>
      <c r="X458">
        <v>0.14897973610937501</v>
      </c>
      <c r="Y458">
        <v>0.47902866486380402</v>
      </c>
      <c r="Z458">
        <v>0.34913126599143501</v>
      </c>
      <c r="AA458">
        <v>5.2889852632828996E-4</v>
      </c>
    </row>
    <row r="459" spans="1:27" x14ac:dyDescent="0.55000000000000004">
      <c r="A459">
        <v>1012</v>
      </c>
      <c r="B459">
        <v>9.2924835869999995</v>
      </c>
      <c r="C459">
        <v>-12.38200412</v>
      </c>
      <c r="D459">
        <v>-8.1876456009999998</v>
      </c>
      <c r="E459">
        <v>34.454235650000001</v>
      </c>
      <c r="F459">
        <v>19.385098670000001</v>
      </c>
      <c r="G459">
        <v>25.26817964</v>
      </c>
      <c r="H459">
        <v>9.2924835869999995</v>
      </c>
      <c r="I459">
        <v>12.38200412</v>
      </c>
      <c r="J459">
        <v>8.1876456009999998</v>
      </c>
      <c r="K459">
        <v>34.454235650000001</v>
      </c>
      <c r="L459">
        <v>19.385098670000001</v>
      </c>
      <c r="M459">
        <v>25.26817964</v>
      </c>
      <c r="N459">
        <v>0.11467357</v>
      </c>
      <c r="O459">
        <v>40.385360720000001</v>
      </c>
      <c r="P459">
        <v>389.23812382551102</v>
      </c>
      <c r="Q459">
        <v>6.0634959956987</v>
      </c>
      <c r="R459">
        <v>0.34381297361690299</v>
      </c>
      <c r="S459">
        <v>0.50258665257468005</v>
      </c>
      <c r="T459">
        <v>0.41962981671219601</v>
      </c>
      <c r="U459">
        <v>0.43256006246651502</v>
      </c>
      <c r="V459">
        <v>0.95079797645341102</v>
      </c>
      <c r="W459">
        <v>0.98258481710798196</v>
      </c>
      <c r="X459">
        <v>0.15708230191266701</v>
      </c>
      <c r="Y459">
        <v>0.51087172226059197</v>
      </c>
      <c r="Z459">
        <v>0.33340826440521598</v>
      </c>
      <c r="AA459">
        <v>1.3876810374246001E-4</v>
      </c>
    </row>
    <row r="460" spans="1:27" x14ac:dyDescent="0.55000000000000004">
      <c r="A460">
        <v>1013</v>
      </c>
      <c r="B460">
        <v>8.5849040740000007</v>
      </c>
      <c r="C460">
        <v>-13.13370701</v>
      </c>
      <c r="D460">
        <v>-8.7470378719999999</v>
      </c>
      <c r="E460">
        <v>34.550243799999997</v>
      </c>
      <c r="F460">
        <v>19.311033760000001</v>
      </c>
      <c r="G460">
        <v>25.137173619999999</v>
      </c>
      <c r="H460">
        <v>8.5849040740000007</v>
      </c>
      <c r="I460">
        <v>13.13370701</v>
      </c>
      <c r="J460">
        <v>8.7470378719999999</v>
      </c>
      <c r="K460">
        <v>34.550243799999997</v>
      </c>
      <c r="L460">
        <v>19.311033760000001</v>
      </c>
      <c r="M460">
        <v>25.137173619999999</v>
      </c>
      <c r="N460">
        <v>0.122471839</v>
      </c>
      <c r="O460">
        <v>39.132110599999997</v>
      </c>
      <c r="P460">
        <v>56.950197077251197</v>
      </c>
      <c r="Q460">
        <v>214.49322972741399</v>
      </c>
      <c r="R460">
        <v>0.317082282291829</v>
      </c>
      <c r="S460">
        <v>0.53314005077294202</v>
      </c>
      <c r="T460">
        <v>0.44831576139437002</v>
      </c>
      <c r="U460">
        <v>0.43529990528856299</v>
      </c>
      <c r="V460">
        <v>0.94715534848655403</v>
      </c>
      <c r="W460">
        <v>0.97537277849239601</v>
      </c>
      <c r="X460">
        <v>0.168134580590555</v>
      </c>
      <c r="Y460">
        <v>0.49461618348680098</v>
      </c>
      <c r="Z460">
        <v>4.8781620305962697E-2</v>
      </c>
      <c r="AA460">
        <v>4.9563642899930604E-3</v>
      </c>
    </row>
    <row r="461" spans="1:27" x14ac:dyDescent="0.55000000000000004">
      <c r="A461">
        <v>1014</v>
      </c>
      <c r="B461">
        <v>9.3235717769999997</v>
      </c>
      <c r="C461">
        <v>-11.94176648</v>
      </c>
      <c r="D461">
        <v>-7.9415386489999999</v>
      </c>
      <c r="E461">
        <v>34.498665219999999</v>
      </c>
      <c r="F461">
        <v>20.267956869999999</v>
      </c>
      <c r="G461">
        <v>25.58452484</v>
      </c>
      <c r="H461">
        <v>9.3235717769999997</v>
      </c>
      <c r="I461">
        <v>11.94176648</v>
      </c>
      <c r="J461">
        <v>7.9415386489999999</v>
      </c>
      <c r="K461">
        <v>34.498665219999999</v>
      </c>
      <c r="L461">
        <v>20.267956869999999</v>
      </c>
      <c r="M461">
        <v>25.58452484</v>
      </c>
      <c r="N461">
        <v>0.15607956100000001</v>
      </c>
      <c r="O461">
        <v>40.714546200000001</v>
      </c>
      <c r="P461">
        <v>127.314283548731</v>
      </c>
      <c r="Q461">
        <v>105.56243517172101</v>
      </c>
      <c r="R461">
        <v>0.34498741238382302</v>
      </c>
      <c r="S461">
        <v>0.48469293938597202</v>
      </c>
      <c r="T461">
        <v>0.40700931625667502</v>
      </c>
      <c r="U461">
        <v>0.433827976059801</v>
      </c>
      <c r="V461">
        <v>0.99421832179763303</v>
      </c>
      <c r="W461">
        <v>1</v>
      </c>
      <c r="X461">
        <v>0.21576590868054399</v>
      </c>
      <c r="Y461">
        <v>0.51514149032086498</v>
      </c>
      <c r="Z461">
        <v>0.10905312638647</v>
      </c>
      <c r="AA461">
        <v>2.43856334566022E-3</v>
      </c>
    </row>
    <row r="462" spans="1:27" x14ac:dyDescent="0.55000000000000004">
      <c r="A462">
        <v>1015</v>
      </c>
      <c r="B462">
        <v>7.8489658909999998</v>
      </c>
      <c r="C462">
        <v>-13.08517277</v>
      </c>
      <c r="D462">
        <v>-8.8038669289999998</v>
      </c>
      <c r="E462">
        <v>34.35715931</v>
      </c>
      <c r="F462">
        <v>20.227005850000001</v>
      </c>
      <c r="G462">
        <v>25.455868599999999</v>
      </c>
      <c r="H462">
        <v>7.8489658909999998</v>
      </c>
      <c r="I462">
        <v>13.08517277</v>
      </c>
      <c r="J462">
        <v>8.8038669289999998</v>
      </c>
      <c r="K462">
        <v>34.35715931</v>
      </c>
      <c r="L462">
        <v>20.227005850000001</v>
      </c>
      <c r="M462">
        <v>25.455868599999999</v>
      </c>
      <c r="N462">
        <v>0.125420794</v>
      </c>
      <c r="O462">
        <v>44.801544190000001</v>
      </c>
      <c r="P462">
        <v>183.55848644733899</v>
      </c>
      <c r="Q462">
        <v>45.841403246429998</v>
      </c>
      <c r="R462">
        <v>0.28928026705158699</v>
      </c>
      <c r="S462">
        <v>0.53116734855149605</v>
      </c>
      <c r="T462">
        <v>0.45122998683142901</v>
      </c>
      <c r="U462">
        <v>0.42978973605839499</v>
      </c>
      <c r="V462">
        <v>0.99220428666651195</v>
      </c>
      <c r="W462">
        <v>0.992917319593282</v>
      </c>
      <c r="X462">
        <v>0.172314055864946</v>
      </c>
      <c r="Y462">
        <v>0.56815273942001099</v>
      </c>
      <c r="Z462">
        <v>0.15723001586219401</v>
      </c>
      <c r="AA462">
        <v>1.05818536171784E-3</v>
      </c>
    </row>
    <row r="463" spans="1:27" x14ac:dyDescent="0.55000000000000004">
      <c r="A463">
        <v>1016</v>
      </c>
      <c r="B463">
        <v>7.7094004619999996</v>
      </c>
      <c r="C463">
        <v>-13.08176836</v>
      </c>
      <c r="D463">
        <v>-8.7872433070000007</v>
      </c>
      <c r="E463">
        <v>34.403381760000002</v>
      </c>
      <c r="F463">
        <v>20.385514709999999</v>
      </c>
      <c r="G463">
        <v>25.44547008</v>
      </c>
      <c r="H463">
        <v>7.7094004619999996</v>
      </c>
      <c r="I463">
        <v>13.08176836</v>
      </c>
      <c r="J463">
        <v>8.7872433070000007</v>
      </c>
      <c r="K463">
        <v>34.403381760000002</v>
      </c>
      <c r="L463">
        <v>20.385514709999999</v>
      </c>
      <c r="M463">
        <v>25.44547008</v>
      </c>
      <c r="N463">
        <v>0.11391340899999999</v>
      </c>
      <c r="O463">
        <v>45.301399230000001</v>
      </c>
      <c r="P463">
        <v>164.731975016842</v>
      </c>
      <c r="Q463">
        <v>62.9033137757283</v>
      </c>
      <c r="R463">
        <v>0.28400781309594197</v>
      </c>
      <c r="S463">
        <v>0.53102897434042995</v>
      </c>
      <c r="T463">
        <v>0.450377518311874</v>
      </c>
      <c r="U463">
        <v>0.431108814155932</v>
      </c>
      <c r="V463">
        <v>1</v>
      </c>
      <c r="W463">
        <v>0.99234486858847404</v>
      </c>
      <c r="X463">
        <v>0.15600494600046899</v>
      </c>
      <c r="Y463">
        <v>0.57463621215568095</v>
      </c>
      <c r="Z463">
        <v>0.14110386038914799</v>
      </c>
      <c r="AA463">
        <v>1.45255037684519E-3</v>
      </c>
    </row>
    <row r="464" spans="1:27" x14ac:dyDescent="0.55000000000000004">
      <c r="A464">
        <v>1017</v>
      </c>
      <c r="B464">
        <v>10.843439249999999</v>
      </c>
      <c r="C464">
        <v>-14.46097726</v>
      </c>
      <c r="D464">
        <v>-8.6811611089999996</v>
      </c>
      <c r="E464">
        <v>30.764353750000001</v>
      </c>
      <c r="F464">
        <v>12.183225609999999</v>
      </c>
      <c r="G464">
        <v>18.39312288</v>
      </c>
      <c r="H464">
        <v>10.843439249999999</v>
      </c>
      <c r="I464">
        <v>14.46097726</v>
      </c>
      <c r="J464">
        <v>8.6811611089999996</v>
      </c>
      <c r="K464">
        <v>30.764353750000001</v>
      </c>
      <c r="L464">
        <v>12.183225609999999</v>
      </c>
      <c r="M464">
        <v>18.39312288</v>
      </c>
      <c r="N464">
        <v>0.35521656299999999</v>
      </c>
      <c r="O464">
        <v>69.687431340000003</v>
      </c>
      <c r="P464">
        <v>0.11610522070809599</v>
      </c>
      <c r="Q464">
        <v>6685.5261265137997</v>
      </c>
      <c r="R464">
        <v>0.40240443411687499</v>
      </c>
      <c r="S464">
        <v>0.58708771680487204</v>
      </c>
      <c r="T464">
        <v>0.44493756459540401</v>
      </c>
      <c r="U464">
        <v>0.32725966413657498</v>
      </c>
      <c r="V464">
        <v>0.59659860968029399</v>
      </c>
      <c r="W464">
        <v>0.60410469201551498</v>
      </c>
      <c r="X464">
        <v>0.49799747073401401</v>
      </c>
      <c r="Y464">
        <v>0.89094026365901202</v>
      </c>
      <c r="Z464" s="1">
        <v>9.9451820762613697E-5</v>
      </c>
      <c r="AA464">
        <v>0.1545263073423</v>
      </c>
    </row>
    <row r="465" spans="1:27" x14ac:dyDescent="0.55000000000000004">
      <c r="A465">
        <v>1018</v>
      </c>
      <c r="B465">
        <v>11.380023850000001</v>
      </c>
      <c r="C465">
        <v>-13.44625239</v>
      </c>
      <c r="D465">
        <v>-7.8783851580000004</v>
      </c>
      <c r="E465">
        <v>31.111627670000001</v>
      </c>
      <c r="F465">
        <v>12.82153226</v>
      </c>
      <c r="G465">
        <v>19.057680659999999</v>
      </c>
      <c r="H465">
        <v>11.380023850000001</v>
      </c>
      <c r="I465">
        <v>13.44625239</v>
      </c>
      <c r="J465">
        <v>7.8783851580000004</v>
      </c>
      <c r="K465">
        <v>31.111627670000001</v>
      </c>
      <c r="L465">
        <v>12.82153226</v>
      </c>
      <c r="M465">
        <v>19.057680659999999</v>
      </c>
      <c r="N465">
        <v>0.35521656299999999</v>
      </c>
      <c r="O465">
        <v>69.687431340000003</v>
      </c>
      <c r="P465">
        <v>0.102586119666742</v>
      </c>
      <c r="Q465">
        <v>8553.8724760265795</v>
      </c>
      <c r="R465">
        <v>0.42267533943404001</v>
      </c>
      <c r="S465">
        <v>0.54584363829030103</v>
      </c>
      <c r="T465">
        <v>0.40377077035028602</v>
      </c>
      <c r="U465">
        <v>0.33717003067313001</v>
      </c>
      <c r="V465">
        <v>0.62799152779388701</v>
      </c>
      <c r="W465">
        <v>0.64068939531119695</v>
      </c>
      <c r="X465">
        <v>0.49799747073401401</v>
      </c>
      <c r="Y465">
        <v>0.89094026365901202</v>
      </c>
      <c r="Z465" s="1">
        <v>8.7871814235459994E-5</v>
      </c>
      <c r="AA465">
        <v>0.19771082850852501</v>
      </c>
    </row>
    <row r="466" spans="1:27" x14ac:dyDescent="0.55000000000000004">
      <c r="A466">
        <v>1019</v>
      </c>
      <c r="B466">
        <v>11.0551108</v>
      </c>
      <c r="C466">
        <v>-13.491186559999999</v>
      </c>
      <c r="D466">
        <v>-8.1935872080000003</v>
      </c>
      <c r="E466">
        <v>31.853796330000002</v>
      </c>
      <c r="F466">
        <v>14.4270268</v>
      </c>
      <c r="G466">
        <v>20.343936859999999</v>
      </c>
      <c r="H466">
        <v>11.0551108</v>
      </c>
      <c r="I466">
        <v>13.491186559999999</v>
      </c>
      <c r="J466">
        <v>8.1935872080000003</v>
      </c>
      <c r="K466">
        <v>31.853796330000002</v>
      </c>
      <c r="L466">
        <v>14.4270268</v>
      </c>
      <c r="M466">
        <v>20.343936859999999</v>
      </c>
      <c r="N466">
        <v>0.17086832199999999</v>
      </c>
      <c r="O466">
        <v>56.319725040000002</v>
      </c>
      <c r="P466">
        <v>0.68079879415201505</v>
      </c>
      <c r="Q466">
        <v>909.99482929419798</v>
      </c>
      <c r="R466">
        <v>0.41040088788835399</v>
      </c>
      <c r="S466">
        <v>0.547670013586954</v>
      </c>
      <c r="T466">
        <v>0.41993450560147999</v>
      </c>
      <c r="U466">
        <v>0.35834974797681901</v>
      </c>
      <c r="V466">
        <v>0.70695225713305399</v>
      </c>
      <c r="W466">
        <v>0.71149934270091997</v>
      </c>
      <c r="X466">
        <v>0.23672562523721599</v>
      </c>
      <c r="Y466">
        <v>0.71755167617073801</v>
      </c>
      <c r="Z466">
        <v>5.8314931265350805E-4</v>
      </c>
      <c r="AA466">
        <v>2.1032025826446199E-2</v>
      </c>
    </row>
    <row r="467" spans="1:27" x14ac:dyDescent="0.55000000000000004">
      <c r="A467">
        <v>1020</v>
      </c>
      <c r="B467">
        <v>10.22393016</v>
      </c>
      <c r="C467">
        <v>-14.22282714</v>
      </c>
      <c r="D467">
        <v>-9.0379423190000008</v>
      </c>
      <c r="E467">
        <v>33.317932390000003</v>
      </c>
      <c r="F467">
        <v>16.883333350000001</v>
      </c>
      <c r="G467">
        <v>22.42723419</v>
      </c>
      <c r="H467">
        <v>10.22393016</v>
      </c>
      <c r="I467">
        <v>14.22282714</v>
      </c>
      <c r="J467">
        <v>9.0379423190000008</v>
      </c>
      <c r="K467">
        <v>33.317932390000003</v>
      </c>
      <c r="L467">
        <v>16.883333350000001</v>
      </c>
      <c r="M467">
        <v>22.42723419</v>
      </c>
      <c r="N467">
        <v>8.1499173999999994E-2</v>
      </c>
      <c r="O467">
        <v>36.238883970000003</v>
      </c>
      <c r="P467">
        <v>14.9775734713443</v>
      </c>
      <c r="Q467">
        <v>5.3414893767019498</v>
      </c>
      <c r="R467">
        <v>0.379000836424149</v>
      </c>
      <c r="S467">
        <v>0.57740796760592505</v>
      </c>
      <c r="T467">
        <v>0.46323350214098902</v>
      </c>
      <c r="U467">
        <v>0.40013268697202897</v>
      </c>
      <c r="V467">
        <v>0.82775725013450696</v>
      </c>
      <c r="W467">
        <v>0.82618736079129096</v>
      </c>
      <c r="X467">
        <v>0.110065115205897</v>
      </c>
      <c r="Y467">
        <v>0.457088991655906</v>
      </c>
      <c r="Z467">
        <v>1.2829284878377201E-2</v>
      </c>
      <c r="AA467">
        <v>1.22079811377208E-4</v>
      </c>
    </row>
    <row r="468" spans="1:27" x14ac:dyDescent="0.55000000000000004">
      <c r="A468">
        <v>1021</v>
      </c>
      <c r="B468">
        <v>10.18204643</v>
      </c>
      <c r="C468">
        <v>-14.169295079999999</v>
      </c>
      <c r="D468">
        <v>-9.0481264879999994</v>
      </c>
      <c r="E468">
        <v>33.053654690000002</v>
      </c>
      <c r="F468">
        <v>17.304943139999999</v>
      </c>
      <c r="G468">
        <v>22.780521749999998</v>
      </c>
      <c r="H468">
        <v>10.18204643</v>
      </c>
      <c r="I468">
        <v>14.169295079999999</v>
      </c>
      <c r="J468">
        <v>9.0481264879999994</v>
      </c>
      <c r="K468">
        <v>33.053654690000002</v>
      </c>
      <c r="L468">
        <v>17.304943139999999</v>
      </c>
      <c r="M468">
        <v>22.780521749999998</v>
      </c>
      <c r="N468">
        <v>8.1499173999999994E-2</v>
      </c>
      <c r="O468">
        <v>36.238883970000003</v>
      </c>
      <c r="P468">
        <v>14.9775734713443</v>
      </c>
      <c r="Q468">
        <v>19.775198995757702</v>
      </c>
      <c r="R468">
        <v>0.37741856752347602</v>
      </c>
      <c r="S468">
        <v>0.57523212610350205</v>
      </c>
      <c r="T468">
        <v>0.463755751953354</v>
      </c>
      <c r="U468">
        <v>0.39259083391713301</v>
      </c>
      <c r="V468">
        <v>0.84849267818207497</v>
      </c>
      <c r="W468">
        <v>0.84563626493421595</v>
      </c>
      <c r="X468">
        <v>0.110065115205897</v>
      </c>
      <c r="Y468">
        <v>0.457088991655906</v>
      </c>
      <c r="Z468">
        <v>1.2829284878377201E-2</v>
      </c>
      <c r="AA468">
        <v>4.55697204487329E-4</v>
      </c>
    </row>
    <row r="469" spans="1:27" x14ac:dyDescent="0.55000000000000004">
      <c r="A469">
        <v>1022</v>
      </c>
      <c r="B469">
        <v>11.090791769999999</v>
      </c>
      <c r="C469">
        <v>-13.13334566</v>
      </c>
      <c r="D469">
        <v>-7.8419042230000002</v>
      </c>
      <c r="E469">
        <v>32.015013230000001</v>
      </c>
      <c r="F469">
        <v>13.81620154</v>
      </c>
      <c r="G469">
        <v>20.126075700000001</v>
      </c>
      <c r="H469">
        <v>11.090791769999999</v>
      </c>
      <c r="I469">
        <v>13.13334566</v>
      </c>
      <c r="J469">
        <v>7.8419042230000002</v>
      </c>
      <c r="K469">
        <v>32.015013230000001</v>
      </c>
      <c r="L469">
        <v>13.81620154</v>
      </c>
      <c r="M469">
        <v>20.126075700000001</v>
      </c>
      <c r="N469">
        <v>0.16901707599999999</v>
      </c>
      <c r="O469">
        <v>51.651271819999998</v>
      </c>
      <c r="P469">
        <v>1.66417483014937</v>
      </c>
      <c r="Q469">
        <v>337.735950394383</v>
      </c>
      <c r="R469">
        <v>0.41174883109152199</v>
      </c>
      <c r="S469">
        <v>0.53312536349345196</v>
      </c>
      <c r="T469">
        <v>0.40190000785030899</v>
      </c>
      <c r="U469">
        <v>0.36295049245796801</v>
      </c>
      <c r="V469">
        <v>0.67691091670695303</v>
      </c>
      <c r="W469">
        <v>0.69950582439728504</v>
      </c>
      <c r="X469">
        <v>0.234101903653192</v>
      </c>
      <c r="Y469">
        <v>0.65699854226691401</v>
      </c>
      <c r="Z469">
        <v>1.42547609759746E-3</v>
      </c>
      <c r="AA469">
        <v>7.8049677518799796E-3</v>
      </c>
    </row>
    <row r="470" spans="1:27" x14ac:dyDescent="0.55000000000000004">
      <c r="A470">
        <v>1023</v>
      </c>
      <c r="B470">
        <v>9.8521487220000008</v>
      </c>
      <c r="C470">
        <v>-13.5539419</v>
      </c>
      <c r="D470">
        <v>-8.646387872</v>
      </c>
      <c r="E470">
        <v>32.790129450000002</v>
      </c>
      <c r="F470">
        <v>16.338500209999999</v>
      </c>
      <c r="G470">
        <v>22.424088619999999</v>
      </c>
      <c r="H470">
        <v>9.8521487220000008</v>
      </c>
      <c r="I470">
        <v>13.5539419</v>
      </c>
      <c r="J470">
        <v>8.646387872</v>
      </c>
      <c r="K470">
        <v>32.790129450000002</v>
      </c>
      <c r="L470">
        <v>16.338500209999999</v>
      </c>
      <c r="M470">
        <v>22.424088619999999</v>
      </c>
      <c r="N470">
        <v>8.5832468999999995E-2</v>
      </c>
      <c r="O470">
        <v>38.708805079999998</v>
      </c>
      <c r="P470">
        <v>14.9775734713443</v>
      </c>
      <c r="Q470">
        <v>38.8551643971008</v>
      </c>
      <c r="R470">
        <v>0.36495580731153998</v>
      </c>
      <c r="S470">
        <v>0.550220740632965</v>
      </c>
      <c r="T470">
        <v>0.44315437379225098</v>
      </c>
      <c r="U470">
        <v>0.385070454269753</v>
      </c>
      <c r="V470">
        <v>0.80096150525296494</v>
      </c>
      <c r="W470">
        <v>0.82601419338793003</v>
      </c>
      <c r="X470">
        <v>0.116206578642655</v>
      </c>
      <c r="Y470">
        <v>0.489125612064777</v>
      </c>
      <c r="Z470">
        <v>1.2829284878377201E-2</v>
      </c>
      <c r="AA470">
        <v>8.9670706860594705E-4</v>
      </c>
    </row>
    <row r="471" spans="1:27" x14ac:dyDescent="0.55000000000000004">
      <c r="A471">
        <v>1024</v>
      </c>
      <c r="B471">
        <v>9.9745075819999993</v>
      </c>
      <c r="C471">
        <v>-12.24277983</v>
      </c>
      <c r="D471">
        <v>-7.3297572640000004</v>
      </c>
      <c r="E471">
        <v>32.152430799999998</v>
      </c>
      <c r="F471">
        <v>14.250743269999999</v>
      </c>
      <c r="G471">
        <v>20.683145540000002</v>
      </c>
      <c r="H471">
        <v>9.9745075819999993</v>
      </c>
      <c r="I471">
        <v>12.24277983</v>
      </c>
      <c r="J471">
        <v>7.3297572640000004</v>
      </c>
      <c r="K471">
        <v>32.152430799999998</v>
      </c>
      <c r="L471">
        <v>14.250743269999999</v>
      </c>
      <c r="M471">
        <v>20.683145540000002</v>
      </c>
      <c r="N471">
        <v>0.133696601</v>
      </c>
      <c r="O471">
        <v>43.752647400000001</v>
      </c>
      <c r="P471">
        <v>0.88103373360849002</v>
      </c>
      <c r="Q471">
        <v>653.74493090779504</v>
      </c>
      <c r="R471">
        <v>0.36957823752250102</v>
      </c>
      <c r="S471">
        <v>0.49692780088230398</v>
      </c>
      <c r="T471">
        <v>0.37563682886724098</v>
      </c>
      <c r="U471">
        <v>0.36687206102051001</v>
      </c>
      <c r="V471">
        <v>0.69828235776405101</v>
      </c>
      <c r="W471">
        <v>0.73017318760439898</v>
      </c>
      <c r="X471">
        <v>0.18404313641454201</v>
      </c>
      <c r="Y471">
        <v>0.55454780759718303</v>
      </c>
      <c r="Z471">
        <v>7.5466381637512704E-4</v>
      </c>
      <c r="AA471">
        <v>1.51091255228722E-2</v>
      </c>
    </row>
    <row r="472" spans="1:27" x14ac:dyDescent="0.55000000000000004">
      <c r="A472">
        <v>1025</v>
      </c>
      <c r="B472">
        <v>11.1074895</v>
      </c>
      <c r="C472">
        <v>-12.35638941</v>
      </c>
      <c r="D472">
        <v>-6.4723228519999996</v>
      </c>
      <c r="E472">
        <v>30.911247150000001</v>
      </c>
      <c r="F472">
        <v>11.69137546</v>
      </c>
      <c r="G472">
        <v>17.932679109999999</v>
      </c>
      <c r="H472">
        <v>11.1074895</v>
      </c>
      <c r="I472">
        <v>12.35638941</v>
      </c>
      <c r="J472">
        <v>6.4723228519999996</v>
      </c>
      <c r="K472">
        <v>30.911247150000001</v>
      </c>
      <c r="L472">
        <v>11.69137546</v>
      </c>
      <c r="M472">
        <v>17.932679109999999</v>
      </c>
      <c r="N472">
        <v>0.52603483200000001</v>
      </c>
      <c r="O472">
        <v>70.767723079999996</v>
      </c>
      <c r="P472">
        <v>4.6951640976001102E-2</v>
      </c>
      <c r="Q472">
        <v>17144.661482228999</v>
      </c>
      <c r="R472">
        <v>0.41237963209446099</v>
      </c>
      <c r="S472">
        <v>0.50154552788994899</v>
      </c>
      <c r="T472">
        <v>0.331667118547049</v>
      </c>
      <c r="U472">
        <v>0.331451650208552</v>
      </c>
      <c r="V472">
        <v>0.57240865100900695</v>
      </c>
      <c r="W472">
        <v>0.57875670991861505</v>
      </c>
      <c r="X472">
        <v>0.74009364775258701</v>
      </c>
      <c r="Y472">
        <v>0.90495241014624095</v>
      </c>
      <c r="Z472" s="1">
        <v>4.0217193976104003E-5</v>
      </c>
      <c r="AA472">
        <v>0.39627631920015699</v>
      </c>
    </row>
    <row r="473" spans="1:27" x14ac:dyDescent="0.55000000000000004">
      <c r="A473">
        <v>1026</v>
      </c>
      <c r="B473">
        <v>8.6819058929999997</v>
      </c>
      <c r="C473">
        <v>-11.41277959</v>
      </c>
      <c r="D473">
        <v>-6.7828304299999997</v>
      </c>
      <c r="E473">
        <v>32.195962940000001</v>
      </c>
      <c r="F473">
        <v>13.758769170000001</v>
      </c>
      <c r="G473">
        <v>20.596503739999999</v>
      </c>
      <c r="H473">
        <v>8.6819058929999997</v>
      </c>
      <c r="I473">
        <v>11.41277959</v>
      </c>
      <c r="J473">
        <v>6.7828304299999997</v>
      </c>
      <c r="K473">
        <v>32.195962940000001</v>
      </c>
      <c r="L473">
        <v>13.758769170000001</v>
      </c>
      <c r="M473">
        <v>20.596503739999999</v>
      </c>
      <c r="N473">
        <v>0.118003488</v>
      </c>
      <c r="O473">
        <v>39.498386379999999</v>
      </c>
      <c r="P473">
        <v>4.9925244904481101</v>
      </c>
      <c r="Q473">
        <v>105.300687717123</v>
      </c>
      <c r="R473">
        <v>0.32074678307798998</v>
      </c>
      <c r="S473">
        <v>0.46319196166346999</v>
      </c>
      <c r="T473">
        <v>0.34759011868071299</v>
      </c>
      <c r="U473">
        <v>0.36811436410943899</v>
      </c>
      <c r="V473">
        <v>0.67408630303814698</v>
      </c>
      <c r="W473">
        <v>0.72540345253937</v>
      </c>
      <c r="X473">
        <v>0.16180170588687201</v>
      </c>
      <c r="Y473">
        <v>0.499367038921541</v>
      </c>
      <c r="Z473">
        <v>4.2764282927923898E-3</v>
      </c>
      <c r="AA473">
        <v>2.43251337612633E-3</v>
      </c>
    </row>
    <row r="474" spans="1:27" x14ac:dyDescent="0.55000000000000004">
      <c r="A474">
        <v>1027</v>
      </c>
      <c r="B474">
        <v>7.5670084009999998</v>
      </c>
      <c r="C474">
        <v>-11.78717986</v>
      </c>
      <c r="D474">
        <v>-7.3031576490000001</v>
      </c>
      <c r="E474">
        <v>32.410126589999997</v>
      </c>
      <c r="F474">
        <v>14.67493711</v>
      </c>
      <c r="G474">
        <v>21.28312841</v>
      </c>
      <c r="H474">
        <v>7.5670084009999998</v>
      </c>
      <c r="I474">
        <v>11.78717986</v>
      </c>
      <c r="J474">
        <v>7.3031576490000001</v>
      </c>
      <c r="K474">
        <v>32.410126589999997</v>
      </c>
      <c r="L474">
        <v>14.67493711</v>
      </c>
      <c r="M474">
        <v>21.28312841</v>
      </c>
      <c r="N474">
        <v>0.13826791899999999</v>
      </c>
      <c r="O474">
        <v>44.596607210000002</v>
      </c>
      <c r="P474">
        <v>14.9775734713443</v>
      </c>
      <c r="Q474">
        <v>30.530112074053999</v>
      </c>
      <c r="R474">
        <v>0.27862857562537902</v>
      </c>
      <c r="S474">
        <v>0.47840967691642999</v>
      </c>
      <c r="T474">
        <v>0.37427278591560498</v>
      </c>
      <c r="U474">
        <v>0.37422608211667302</v>
      </c>
      <c r="V474">
        <v>0.71914487342703304</v>
      </c>
      <c r="W474">
        <v>0.76320296461105996</v>
      </c>
      <c r="X474">
        <v>0.19052194350124901</v>
      </c>
      <c r="Y474">
        <v>0.56549456211652604</v>
      </c>
      <c r="Z474">
        <v>1.2829284878377201E-2</v>
      </c>
      <c r="AA474">
        <v>7.0428375354538505E-4</v>
      </c>
    </row>
    <row r="475" spans="1:27" x14ac:dyDescent="0.55000000000000004">
      <c r="A475">
        <v>1028</v>
      </c>
      <c r="B475">
        <v>7.8718778570000003</v>
      </c>
      <c r="C475">
        <v>-11.467196400000001</v>
      </c>
      <c r="D475">
        <v>-6.9375607090000004</v>
      </c>
      <c r="E475">
        <v>32.233683509999999</v>
      </c>
      <c r="F475">
        <v>14.077331170000001</v>
      </c>
      <c r="G475">
        <v>20.84143048</v>
      </c>
      <c r="H475">
        <v>7.8718778570000003</v>
      </c>
      <c r="I475">
        <v>11.467196400000001</v>
      </c>
      <c r="J475">
        <v>6.9375607090000004</v>
      </c>
      <c r="K475">
        <v>32.233683509999999</v>
      </c>
      <c r="L475">
        <v>14.077331170000001</v>
      </c>
      <c r="M475">
        <v>20.84143048</v>
      </c>
      <c r="N475">
        <v>0.13819445699999999</v>
      </c>
      <c r="O475">
        <v>45.325851440000001</v>
      </c>
      <c r="P475">
        <v>14.9775734713443</v>
      </c>
      <c r="Q475">
        <v>25.848498900303699</v>
      </c>
      <c r="R475">
        <v>0.29014582728834398</v>
      </c>
      <c r="S475">
        <v>0.46540376434073399</v>
      </c>
      <c r="T475">
        <v>0.35552477286554302</v>
      </c>
      <c r="U475">
        <v>0.36919081889956001</v>
      </c>
      <c r="V475">
        <v>0.68975367980776503</v>
      </c>
      <c r="W475">
        <v>0.73888696350222205</v>
      </c>
      <c r="X475">
        <v>0.190417827767843</v>
      </c>
      <c r="Y475">
        <v>0.57495337458113505</v>
      </c>
      <c r="Z475">
        <v>1.2829284878377201E-2</v>
      </c>
      <c r="AA475">
        <v>5.9607404004840799E-4</v>
      </c>
    </row>
    <row r="476" spans="1:27" x14ac:dyDescent="0.55000000000000004">
      <c r="A476">
        <v>1029</v>
      </c>
      <c r="B476">
        <v>4.6066824569999998</v>
      </c>
      <c r="C476">
        <v>-14.562326219999999</v>
      </c>
      <c r="D476">
        <v>-9.6959923450000005</v>
      </c>
      <c r="E476">
        <v>32.66809362</v>
      </c>
      <c r="F476">
        <v>15.523694320000001</v>
      </c>
      <c r="G476">
        <v>22.314806449999999</v>
      </c>
      <c r="H476">
        <v>4.6066824569999998</v>
      </c>
      <c r="I476">
        <v>14.562326219999999</v>
      </c>
      <c r="J476">
        <v>9.6959923450000005</v>
      </c>
      <c r="K476">
        <v>32.66809362</v>
      </c>
      <c r="L476">
        <v>15.523694320000001</v>
      </c>
      <c r="M476">
        <v>22.314806449999999</v>
      </c>
      <c r="N476">
        <v>0.15636472400000001</v>
      </c>
      <c r="O476">
        <v>52.267543789999998</v>
      </c>
      <c r="P476">
        <v>25.081398760138899</v>
      </c>
      <c r="Q476">
        <v>7.7534043196153597</v>
      </c>
      <c r="R476">
        <v>0.166794417658919</v>
      </c>
      <c r="S476">
        <v>0.59120710383005604</v>
      </c>
      <c r="T476">
        <v>0.49697867100110599</v>
      </c>
      <c r="U476">
        <v>0.38158784375326898</v>
      </c>
      <c r="V476">
        <v>0.76088807881562104</v>
      </c>
      <c r="W476">
        <v>0.819998078784685</v>
      </c>
      <c r="X476">
        <v>0.216170062595294</v>
      </c>
      <c r="Y476">
        <v>0.66499202476786601</v>
      </c>
      <c r="Z476">
        <v>2.1483881248029399E-2</v>
      </c>
      <c r="AA476">
        <v>1.7782825005965101E-4</v>
      </c>
    </row>
    <row r="477" spans="1:27" x14ac:dyDescent="0.55000000000000004">
      <c r="A477">
        <v>1030</v>
      </c>
      <c r="B477">
        <v>4.6066824569999998</v>
      </c>
      <c r="C477">
        <v>-14.562326219999999</v>
      </c>
      <c r="D477">
        <v>-9.6959923450000005</v>
      </c>
      <c r="E477">
        <v>32.66809362</v>
      </c>
      <c r="F477">
        <v>15.523694320000001</v>
      </c>
      <c r="G477">
        <v>22.314806449999999</v>
      </c>
      <c r="H477">
        <v>4.6066824569999998</v>
      </c>
      <c r="I477">
        <v>14.562326219999999</v>
      </c>
      <c r="J477">
        <v>9.6959923450000005</v>
      </c>
      <c r="K477">
        <v>32.66809362</v>
      </c>
      <c r="L477">
        <v>15.523694320000001</v>
      </c>
      <c r="M477">
        <v>22.314806449999999</v>
      </c>
      <c r="N477">
        <v>0.13522289700000001</v>
      </c>
      <c r="O477">
        <v>45.522792819999999</v>
      </c>
      <c r="P477">
        <v>25.081398760138899</v>
      </c>
      <c r="Q477">
        <v>5.0887019041954797</v>
      </c>
      <c r="R477">
        <v>0.166794417658919</v>
      </c>
      <c r="S477">
        <v>0.59120710383005604</v>
      </c>
      <c r="T477">
        <v>0.49697867100110599</v>
      </c>
      <c r="U477">
        <v>0.38158784375326898</v>
      </c>
      <c r="V477">
        <v>0.76088807881562104</v>
      </c>
      <c r="W477">
        <v>0.819998078784685</v>
      </c>
      <c r="X477">
        <v>0.18620631502981499</v>
      </c>
      <c r="Y477">
        <v>0.57750784330821903</v>
      </c>
      <c r="Z477">
        <v>2.1483881248029399E-2</v>
      </c>
      <c r="AA477">
        <v>1.16236940776766E-4</v>
      </c>
    </row>
    <row r="478" spans="1:27" x14ac:dyDescent="0.55000000000000004">
      <c r="A478">
        <v>1031</v>
      </c>
      <c r="B478">
        <v>3.9677104929999998</v>
      </c>
      <c r="C478">
        <v>-15.253288789999999</v>
      </c>
      <c r="D478">
        <v>-10.083648800000001</v>
      </c>
      <c r="E478">
        <v>32.20071789</v>
      </c>
      <c r="F478">
        <v>14.975568640000001</v>
      </c>
      <c r="G478">
        <v>21.630189380000001</v>
      </c>
      <c r="H478">
        <v>3.9677104929999998</v>
      </c>
      <c r="I478">
        <v>15.253288789999999</v>
      </c>
      <c r="J478">
        <v>10.083648800000001</v>
      </c>
      <c r="K478">
        <v>32.20071789</v>
      </c>
      <c r="L478">
        <v>14.975568640000001</v>
      </c>
      <c r="M478">
        <v>21.630189380000001</v>
      </c>
      <c r="N478">
        <v>0.112979472</v>
      </c>
      <c r="O478">
        <v>42.043392179999998</v>
      </c>
      <c r="P478">
        <v>12.5406993800694</v>
      </c>
      <c r="Q478">
        <v>18.5976075068229</v>
      </c>
      <c r="R478">
        <v>0.14265555832049101</v>
      </c>
      <c r="S478">
        <v>0.61929167663421902</v>
      </c>
      <c r="T478">
        <v>0.51685790816671595</v>
      </c>
      <c r="U478">
        <v>0.36825005900228702</v>
      </c>
      <c r="V478">
        <v>0.733930401673769</v>
      </c>
      <c r="W478">
        <v>0.78230908750222705</v>
      </c>
      <c r="X478">
        <v>0.15468130199798699</v>
      </c>
      <c r="Y478">
        <v>0.53237756076487797</v>
      </c>
      <c r="Z478">
        <v>1.0741940624014699E-2</v>
      </c>
      <c r="AA478">
        <v>4.2847862984118001E-4</v>
      </c>
    </row>
    <row r="479" spans="1:27" x14ac:dyDescent="0.55000000000000004">
      <c r="A479">
        <v>1032</v>
      </c>
      <c r="B479">
        <v>6.9922054149999999</v>
      </c>
      <c r="C479">
        <v>-11.20595101</v>
      </c>
      <c r="D479">
        <v>-6.3910604580000001</v>
      </c>
      <c r="E479">
        <v>31.531048370000001</v>
      </c>
      <c r="F479">
        <v>13.413699060000001</v>
      </c>
      <c r="G479">
        <v>20.0334954</v>
      </c>
      <c r="H479">
        <v>6.9922054149999999</v>
      </c>
      <c r="I479">
        <v>11.20595101</v>
      </c>
      <c r="J479">
        <v>6.3910604580000001</v>
      </c>
      <c r="K479">
        <v>31.531048370000001</v>
      </c>
      <c r="L479">
        <v>13.413699060000001</v>
      </c>
      <c r="M479">
        <v>20.0334954</v>
      </c>
      <c r="N479">
        <v>8.6057350000000005E-2</v>
      </c>
      <c r="O479">
        <v>32.153541560000001</v>
      </c>
      <c r="P479">
        <v>25.081398760138899</v>
      </c>
      <c r="Q479">
        <v>4.0975637726278302</v>
      </c>
      <c r="R479">
        <v>0.25691386949100697</v>
      </c>
      <c r="S479">
        <v>0.45478529455125399</v>
      </c>
      <c r="T479">
        <v>0.32749993809091199</v>
      </c>
      <c r="U479">
        <v>0.34913929364000801</v>
      </c>
      <c r="V479">
        <v>0.65711521601175005</v>
      </c>
      <c r="W479">
        <v>0.69440916778072204</v>
      </c>
      <c r="X479">
        <v>0.116525296486494</v>
      </c>
      <c r="Y479">
        <v>0.404099216598098</v>
      </c>
      <c r="Z479">
        <v>2.1483881248029399E-2</v>
      </c>
      <c r="AA479" s="1">
        <v>9.3328005486208897E-5</v>
      </c>
    </row>
    <row r="480" spans="1:27" x14ac:dyDescent="0.55000000000000004">
      <c r="A480">
        <v>1033</v>
      </c>
      <c r="B480">
        <v>6.8083683239999999</v>
      </c>
      <c r="C480">
        <v>-11.17220447</v>
      </c>
      <c r="D480">
        <v>-6.2173713499999996</v>
      </c>
      <c r="E480">
        <v>31.8831585</v>
      </c>
      <c r="F480">
        <v>13.07983604</v>
      </c>
      <c r="G480">
        <v>19.749111979999999</v>
      </c>
      <c r="H480">
        <v>6.8083683239999999</v>
      </c>
      <c r="I480">
        <v>11.17220447</v>
      </c>
      <c r="J480">
        <v>6.2173713499999996</v>
      </c>
      <c r="K480">
        <v>31.8831585</v>
      </c>
      <c r="L480">
        <v>13.07983604</v>
      </c>
      <c r="M480">
        <v>19.749111979999999</v>
      </c>
      <c r="N480">
        <v>8.0171503000000005E-2</v>
      </c>
      <c r="O480">
        <v>33.4405365</v>
      </c>
      <c r="P480">
        <v>25.081398760138899</v>
      </c>
      <c r="Q480">
        <v>15.5447740199174</v>
      </c>
      <c r="R480">
        <v>0.24996893617491101</v>
      </c>
      <c r="S480">
        <v>0.45341364693868003</v>
      </c>
      <c r="T480">
        <v>0.31859306468152898</v>
      </c>
      <c r="U480">
        <v>0.35918767403532798</v>
      </c>
      <c r="V480">
        <v>0.64069531117758105</v>
      </c>
      <c r="W480">
        <v>0.67875351923363703</v>
      </c>
      <c r="X480">
        <v>0.10818344250589799</v>
      </c>
      <c r="Y480">
        <v>0.42079244950905398</v>
      </c>
      <c r="Z480">
        <v>2.1483881248029399E-2</v>
      </c>
      <c r="AA480">
        <v>3.5791614962084399E-4</v>
      </c>
    </row>
    <row r="481" spans="1:27" x14ac:dyDescent="0.55000000000000004">
      <c r="A481">
        <v>1034</v>
      </c>
      <c r="B481">
        <v>9.6454847109999999</v>
      </c>
      <c r="C481">
        <v>-10.22989653</v>
      </c>
      <c r="D481">
        <v>-4.7962590609999998</v>
      </c>
      <c r="E481">
        <v>30.94370692</v>
      </c>
      <c r="F481">
        <v>11.184578419999999</v>
      </c>
      <c r="G481">
        <v>17.51699833</v>
      </c>
      <c r="H481">
        <v>9.6454847109999999</v>
      </c>
      <c r="I481">
        <v>10.22989653</v>
      </c>
      <c r="J481">
        <v>4.7962590609999998</v>
      </c>
      <c r="K481">
        <v>30.94370692</v>
      </c>
      <c r="L481">
        <v>11.184578419999999</v>
      </c>
      <c r="M481">
        <v>17.51699833</v>
      </c>
      <c r="N481">
        <v>0.41534102000000001</v>
      </c>
      <c r="O481">
        <v>68.870864870000005</v>
      </c>
      <c r="P481">
        <v>0.12862255774430201</v>
      </c>
      <c r="Q481">
        <v>9954.2641290342799</v>
      </c>
      <c r="R481">
        <v>0.35714852659672602</v>
      </c>
      <c r="S481">
        <v>0.415112996376855</v>
      </c>
      <c r="T481">
        <v>0.24571764143598299</v>
      </c>
      <c r="U481">
        <v>0.33237797435749</v>
      </c>
      <c r="V481">
        <v>0.54748358093973604</v>
      </c>
      <c r="W481">
        <v>0.55587298413931996</v>
      </c>
      <c r="X481">
        <v>0.58321026015185795</v>
      </c>
      <c r="Y481">
        <v>0.88034882009747994</v>
      </c>
      <c r="Z481">
        <v>1.1017374998989499E-4</v>
      </c>
      <c r="AA481">
        <v>0.230079154111584</v>
      </c>
    </row>
    <row r="482" spans="1:27" x14ac:dyDescent="0.55000000000000004">
      <c r="A482">
        <v>1035</v>
      </c>
      <c r="B482">
        <v>8.6848537199999996</v>
      </c>
      <c r="C482">
        <v>-10.03379724</v>
      </c>
      <c r="D482">
        <v>-4.7961569280000003</v>
      </c>
      <c r="E482">
        <v>30.979075959999999</v>
      </c>
      <c r="F482">
        <v>11.378807159999999</v>
      </c>
      <c r="G482">
        <v>18.031388830000001</v>
      </c>
      <c r="H482">
        <v>8.6848537199999996</v>
      </c>
      <c r="I482">
        <v>10.03379724</v>
      </c>
      <c r="J482">
        <v>4.7961569280000003</v>
      </c>
      <c r="K482">
        <v>30.979075959999999</v>
      </c>
      <c r="L482">
        <v>11.378807159999999</v>
      </c>
      <c r="M482">
        <v>18.031388830000001</v>
      </c>
      <c r="N482">
        <v>0.123124495</v>
      </c>
      <c r="O482">
        <v>42.086803439999997</v>
      </c>
      <c r="P482">
        <v>6.2703496900347204</v>
      </c>
      <c r="Q482">
        <v>111.46358812793601</v>
      </c>
      <c r="R482">
        <v>0.32085814505522198</v>
      </c>
      <c r="S482">
        <v>0.40714242745464901</v>
      </c>
      <c r="T482">
        <v>0.24571240399932201</v>
      </c>
      <c r="U482">
        <v>0.33338732210939098</v>
      </c>
      <c r="V482">
        <v>0.55703605376784504</v>
      </c>
      <c r="W482">
        <v>0.58419079846182698</v>
      </c>
      <c r="X482">
        <v>0.16905957253335599</v>
      </c>
      <c r="Y482">
        <v>0.53294063545275405</v>
      </c>
      <c r="Z482">
        <v>5.3709703120073601E-3</v>
      </c>
      <c r="AA482">
        <v>2.5749612168628599E-3</v>
      </c>
    </row>
    <row r="483" spans="1:27" x14ac:dyDescent="0.55000000000000004">
      <c r="A483">
        <v>1036</v>
      </c>
      <c r="B483">
        <v>5.5977179430000001</v>
      </c>
      <c r="C483">
        <v>-12.54114285</v>
      </c>
      <c r="D483">
        <v>-7.3674040109999996</v>
      </c>
      <c r="E483">
        <v>31.610198520000001</v>
      </c>
      <c r="F483">
        <v>13.743134789999999</v>
      </c>
      <c r="G483">
        <v>19.94480239</v>
      </c>
      <c r="H483">
        <v>5.5977179430000001</v>
      </c>
      <c r="I483">
        <v>12.54114285</v>
      </c>
      <c r="J483">
        <v>7.3674040109999996</v>
      </c>
      <c r="K483">
        <v>31.610198520000001</v>
      </c>
      <c r="L483">
        <v>13.743134789999999</v>
      </c>
      <c r="M483">
        <v>19.94480239</v>
      </c>
      <c r="N483">
        <v>0.14721700500000001</v>
      </c>
      <c r="O483">
        <v>46.340476989999999</v>
      </c>
      <c r="P483">
        <v>4.1802331266898198</v>
      </c>
      <c r="Q483">
        <v>367.83413204635298</v>
      </c>
      <c r="R483">
        <v>0.20423340957679401</v>
      </c>
      <c r="S483">
        <v>0.50905493818477798</v>
      </c>
      <c r="T483">
        <v>0.37756737485060898</v>
      </c>
      <c r="U483">
        <v>0.35139804948877201</v>
      </c>
      <c r="V483">
        <v>0.67331737980807205</v>
      </c>
      <c r="W483">
        <v>0.68952651114362595</v>
      </c>
      <c r="X483">
        <v>0.203205244421541</v>
      </c>
      <c r="Y483">
        <v>0.58811378422777805</v>
      </c>
      <c r="Z483">
        <v>3.5806468746715698E-3</v>
      </c>
      <c r="AA483">
        <v>8.5006500930868596E-3</v>
      </c>
    </row>
    <row r="484" spans="1:27" x14ac:dyDescent="0.55000000000000004">
      <c r="A484">
        <v>1037</v>
      </c>
      <c r="B484">
        <v>8.2923317500000007</v>
      </c>
      <c r="C484">
        <v>-9.8500405620000002</v>
      </c>
      <c r="D484">
        <v>-4.4053684789999998</v>
      </c>
      <c r="E484">
        <v>31.403638999999998</v>
      </c>
      <c r="F484">
        <v>11.63475865</v>
      </c>
      <c r="G484">
        <v>17.984418260000002</v>
      </c>
      <c r="H484">
        <v>8.2923317500000007</v>
      </c>
      <c r="I484">
        <v>9.8500405620000002</v>
      </c>
      <c r="J484">
        <v>4.4053684789999998</v>
      </c>
      <c r="K484">
        <v>31.403638999999998</v>
      </c>
      <c r="L484">
        <v>11.63475865</v>
      </c>
      <c r="M484">
        <v>17.984418260000002</v>
      </c>
      <c r="N484">
        <v>0.113226682</v>
      </c>
      <c r="O484">
        <v>48.886642459999997</v>
      </c>
      <c r="P484">
        <v>25.081398760138899</v>
      </c>
      <c r="Q484">
        <v>9.2969848127967598</v>
      </c>
      <c r="R484">
        <v>0.30602958737992397</v>
      </c>
      <c r="S484">
        <v>0.39967353112710702</v>
      </c>
      <c r="T484">
        <v>0.225672556451184</v>
      </c>
      <c r="U484">
        <v>0.34550333515256498</v>
      </c>
      <c r="V484">
        <v>0.56962414785494597</v>
      </c>
      <c r="W484">
        <v>0.58160501221600303</v>
      </c>
      <c r="X484">
        <v>0.15503166613802399</v>
      </c>
      <c r="Y484">
        <v>0.62113934780967095</v>
      </c>
      <c r="Z484">
        <v>2.1483881248029399E-2</v>
      </c>
      <c r="AA484">
        <v>2.1350620907241501E-4</v>
      </c>
    </row>
    <row r="485" spans="1:27" x14ac:dyDescent="0.55000000000000004">
      <c r="A485">
        <v>1038</v>
      </c>
      <c r="B485">
        <v>6.9618283459999999</v>
      </c>
      <c r="C485">
        <v>-10.80412347</v>
      </c>
      <c r="D485">
        <v>-5.5893281999999997</v>
      </c>
      <c r="E485">
        <v>31.288534590000001</v>
      </c>
      <c r="F485">
        <v>13.01048795</v>
      </c>
      <c r="G485">
        <v>18.99376818</v>
      </c>
      <c r="H485">
        <v>6.9618283459999999</v>
      </c>
      <c r="I485">
        <v>10.80412347</v>
      </c>
      <c r="J485">
        <v>5.5893281999999997</v>
      </c>
      <c r="K485">
        <v>31.288534590000001</v>
      </c>
      <c r="L485">
        <v>13.01048795</v>
      </c>
      <c r="M485">
        <v>18.99376818</v>
      </c>
      <c r="N485">
        <v>8.9422241E-2</v>
      </c>
      <c r="O485">
        <v>36.10787964</v>
      </c>
      <c r="P485">
        <v>25.081398760138899</v>
      </c>
      <c r="Q485">
        <v>8.1713783344796607</v>
      </c>
      <c r="R485">
        <v>0.25576629520446997</v>
      </c>
      <c r="S485">
        <v>0.43845278206530602</v>
      </c>
      <c r="T485">
        <v>0.28638666499940302</v>
      </c>
      <c r="U485">
        <v>0.342218530773722</v>
      </c>
      <c r="V485">
        <v>0.63728466378623105</v>
      </c>
      <c r="W485">
        <v>0.637170936588629</v>
      </c>
      <c r="X485">
        <v>0.121294266760887</v>
      </c>
      <c r="Y485">
        <v>0.45538977301481798</v>
      </c>
      <c r="Z485">
        <v>2.1483881248029399E-2</v>
      </c>
      <c r="AA485">
        <v>1.8748920382047099E-4</v>
      </c>
    </row>
    <row r="486" spans="1:27" x14ac:dyDescent="0.55000000000000004">
      <c r="A486">
        <v>1039</v>
      </c>
      <c r="B486">
        <v>8.1847701169999993</v>
      </c>
      <c r="C486">
        <v>-9.5508023200000007</v>
      </c>
      <c r="D486">
        <v>-4.0770199910000002</v>
      </c>
      <c r="E486">
        <v>30.99683726</v>
      </c>
      <c r="F486">
        <v>11.64638158</v>
      </c>
      <c r="G486">
        <v>17.756032600000001</v>
      </c>
      <c r="H486">
        <v>8.1847701169999993</v>
      </c>
      <c r="I486">
        <v>9.5508023200000007</v>
      </c>
      <c r="J486">
        <v>4.0770199910000002</v>
      </c>
      <c r="K486">
        <v>30.99683726</v>
      </c>
      <c r="L486">
        <v>11.64638158</v>
      </c>
      <c r="M486">
        <v>17.756032600000001</v>
      </c>
      <c r="N486">
        <v>0.10329379900000001</v>
      </c>
      <c r="O486">
        <v>47.410457610000002</v>
      </c>
      <c r="P486">
        <v>25.081398760138899</v>
      </c>
      <c r="Q486">
        <v>31.590641026762601</v>
      </c>
      <c r="R486">
        <v>0.30196616163438</v>
      </c>
      <c r="S486">
        <v>0.38751081992085601</v>
      </c>
      <c r="T486">
        <v>0.20883466459685801</v>
      </c>
      <c r="U486">
        <v>0.33389418710278201</v>
      </c>
      <c r="V486">
        <v>0.57019578170793805</v>
      </c>
      <c r="W486">
        <v>0.56903210755737699</v>
      </c>
      <c r="X486">
        <v>0.14095405596699001</v>
      </c>
      <c r="Y486">
        <v>0.60199218820959099</v>
      </c>
      <c r="Z486">
        <v>2.1483881248029399E-2</v>
      </c>
      <c r="AA486">
        <v>7.2879657206941601E-4</v>
      </c>
    </row>
    <row r="487" spans="1:27" x14ac:dyDescent="0.55000000000000004">
      <c r="A487">
        <v>1040</v>
      </c>
      <c r="B487">
        <v>6.6075940849999997</v>
      </c>
      <c r="C487">
        <v>-11.03182681</v>
      </c>
      <c r="D487">
        <v>-5.7036151430000004</v>
      </c>
      <c r="E487">
        <v>31.20835486</v>
      </c>
      <c r="F487">
        <v>12.86332045</v>
      </c>
      <c r="G487">
        <v>18.869328620000001</v>
      </c>
      <c r="H487">
        <v>6.6075940849999997</v>
      </c>
      <c r="I487">
        <v>11.03182681</v>
      </c>
      <c r="J487">
        <v>5.7036151430000004</v>
      </c>
      <c r="K487">
        <v>31.20835486</v>
      </c>
      <c r="L487">
        <v>12.86332045</v>
      </c>
      <c r="M487">
        <v>18.869328620000001</v>
      </c>
      <c r="N487">
        <v>0.101298995</v>
      </c>
      <c r="O487">
        <v>38.706672670000003</v>
      </c>
      <c r="P487">
        <v>25.081398760138899</v>
      </c>
      <c r="Q487">
        <v>81.794001586520906</v>
      </c>
      <c r="R487">
        <v>0.24238415720642301</v>
      </c>
      <c r="S487">
        <v>0.44770791585639003</v>
      </c>
      <c r="T487">
        <v>0.29224736257202399</v>
      </c>
      <c r="U487">
        <v>0.33993039317587997</v>
      </c>
      <c r="V487">
        <v>0.63004673625330898</v>
      </c>
      <c r="W487">
        <v>0.63032038947616398</v>
      </c>
      <c r="X487">
        <v>0.138126873458184</v>
      </c>
      <c r="Y487">
        <v>0.489097953201727</v>
      </c>
      <c r="Z487">
        <v>2.1483881248029399E-2</v>
      </c>
      <c r="AA487">
        <v>1.88918532294202E-3</v>
      </c>
    </row>
    <row r="488" spans="1:27" x14ac:dyDescent="0.55000000000000004">
      <c r="A488">
        <v>1041</v>
      </c>
      <c r="B488">
        <v>6.4003745839999997</v>
      </c>
      <c r="C488">
        <v>-11.232544580000001</v>
      </c>
      <c r="D488">
        <v>-5.8852499470000001</v>
      </c>
      <c r="E488">
        <v>30.921574669999998</v>
      </c>
      <c r="F488">
        <v>12.39404356</v>
      </c>
      <c r="G488">
        <v>18.09957322</v>
      </c>
      <c r="H488">
        <v>6.4003745839999997</v>
      </c>
      <c r="I488">
        <v>11.232544580000001</v>
      </c>
      <c r="J488">
        <v>5.8852499470000001</v>
      </c>
      <c r="K488">
        <v>30.921574669999998</v>
      </c>
      <c r="L488">
        <v>12.39404356</v>
      </c>
      <c r="M488">
        <v>18.09957322</v>
      </c>
      <c r="N488">
        <v>9.1943443E-2</v>
      </c>
      <c r="O488">
        <v>38.64397812</v>
      </c>
      <c r="P488">
        <v>25.081398760138899</v>
      </c>
      <c r="Q488">
        <v>22.986028516200701</v>
      </c>
      <c r="R488">
        <v>0.23455589138470301</v>
      </c>
      <c r="S488">
        <v>0.45586620556614099</v>
      </c>
      <c r="T488">
        <v>0.30156169566173102</v>
      </c>
      <c r="U488">
        <v>0.33174637291221298</v>
      </c>
      <c r="V488">
        <v>0.60696696576937104</v>
      </c>
      <c r="W488">
        <v>0.58794443095642601</v>
      </c>
      <c r="X488">
        <v>0.12486749911632999</v>
      </c>
      <c r="Y488">
        <v>0.48828476062973603</v>
      </c>
      <c r="Z488">
        <v>2.1483881248029399E-2</v>
      </c>
      <c r="AA488">
        <v>5.2991156812652704E-4</v>
      </c>
    </row>
    <row r="489" spans="1:27" x14ac:dyDescent="0.55000000000000004">
      <c r="A489">
        <v>1042</v>
      </c>
      <c r="B489">
        <v>9.3123628820000004</v>
      </c>
      <c r="C489">
        <v>-9.6476477509999992</v>
      </c>
      <c r="D489">
        <v>-3.4973721659999999</v>
      </c>
      <c r="E489">
        <v>30.754988669999999</v>
      </c>
      <c r="F489">
        <v>9.5335028239999993</v>
      </c>
      <c r="G489">
        <v>15.91915614</v>
      </c>
      <c r="H489">
        <v>9.3123628820000004</v>
      </c>
      <c r="I489">
        <v>9.6476477509999992</v>
      </c>
      <c r="J489">
        <v>3.4973721659999999</v>
      </c>
      <c r="K489">
        <v>30.754988669999999</v>
      </c>
      <c r="L489">
        <v>9.5335028239999993</v>
      </c>
      <c r="M489">
        <v>15.91915614</v>
      </c>
      <c r="N489">
        <v>0.115211777</v>
      </c>
      <c r="O489">
        <v>42.031425480000003</v>
      </c>
      <c r="P489">
        <v>6.2703496900347204</v>
      </c>
      <c r="Q489">
        <v>156.638364921115</v>
      </c>
      <c r="R489">
        <v>0.34456396666947497</v>
      </c>
      <c r="S489">
        <v>0.39144715840829403</v>
      </c>
      <c r="T489">
        <v>0.17911000391578</v>
      </c>
      <c r="U489">
        <v>0.326992407167079</v>
      </c>
      <c r="V489">
        <v>0.46628110406662299</v>
      </c>
      <c r="W489">
        <v>0.467909854079398</v>
      </c>
      <c r="X489">
        <v>0.157845088340064</v>
      </c>
      <c r="Y489">
        <v>0.53222234421812498</v>
      </c>
      <c r="Z489">
        <v>5.3709703120073601E-3</v>
      </c>
      <c r="AA489">
        <v>3.6191204569915999E-3</v>
      </c>
    </row>
    <row r="490" spans="1:27" x14ac:dyDescent="0.55000000000000004">
      <c r="A490">
        <v>1043</v>
      </c>
      <c r="B490">
        <v>10.724531669999999</v>
      </c>
      <c r="C490">
        <v>-9.8381884569999993</v>
      </c>
      <c r="D490">
        <v>-3.6418117369999998</v>
      </c>
      <c r="E490">
        <v>29.961217000000001</v>
      </c>
      <c r="F490">
        <v>9.1237490510000008</v>
      </c>
      <c r="G490">
        <v>14.976677479999999</v>
      </c>
      <c r="H490">
        <v>10.724531669999999</v>
      </c>
      <c r="I490">
        <v>9.8381884569999993</v>
      </c>
      <c r="J490">
        <v>3.6418117369999998</v>
      </c>
      <c r="K490">
        <v>29.961217000000001</v>
      </c>
      <c r="L490">
        <v>9.1237490510000008</v>
      </c>
      <c r="M490">
        <v>14.976677479999999</v>
      </c>
      <c r="N490">
        <v>0.44367063000000001</v>
      </c>
      <c r="O490">
        <v>62.09704971</v>
      </c>
      <c r="P490">
        <v>8.9045268318432305E-2</v>
      </c>
      <c r="Q490">
        <v>9438.1213622274008</v>
      </c>
      <c r="R490">
        <v>0.39791238515446897</v>
      </c>
      <c r="S490">
        <v>0.39919179547280798</v>
      </c>
      <c r="T490">
        <v>0.18651694490946999</v>
      </c>
      <c r="U490">
        <v>0.30434006346089698</v>
      </c>
      <c r="V490">
        <v>0.44612877345480101</v>
      </c>
      <c r="W490">
        <v>0.416025272819042</v>
      </c>
      <c r="X490">
        <v>0.62336106086877197</v>
      </c>
      <c r="Y490">
        <v>0.79248765557600498</v>
      </c>
      <c r="Z490" s="1">
        <v>7.6273177128081496E-5</v>
      </c>
      <c r="AA490">
        <v>0.218149150745892</v>
      </c>
    </row>
    <row r="491" spans="1:27" x14ac:dyDescent="0.55000000000000004">
      <c r="A491">
        <v>1044</v>
      </c>
      <c r="B491">
        <v>8.8167816129999999</v>
      </c>
      <c r="C491">
        <v>-8.8218979239999999</v>
      </c>
      <c r="D491">
        <v>-3.5265056910000001</v>
      </c>
      <c r="E491">
        <v>30.614261249999998</v>
      </c>
      <c r="F491">
        <v>10.45802713</v>
      </c>
      <c r="G491">
        <v>15.951518869999999</v>
      </c>
      <c r="H491">
        <v>8.8167816129999999</v>
      </c>
      <c r="I491">
        <v>8.8218979239999999</v>
      </c>
      <c r="J491">
        <v>3.5265056910000001</v>
      </c>
      <c r="K491">
        <v>30.614261249999998</v>
      </c>
      <c r="L491">
        <v>10.45802713</v>
      </c>
      <c r="M491">
        <v>15.951518869999999</v>
      </c>
      <c r="N491">
        <v>0.19404497700000001</v>
      </c>
      <c r="O491">
        <v>50.313323969999999</v>
      </c>
      <c r="P491">
        <v>1.6720932506759301</v>
      </c>
      <c r="Q491">
        <v>664.78132512534296</v>
      </c>
      <c r="R491">
        <v>0.32584207084753197</v>
      </c>
      <c r="S491">
        <v>0.35788407968116998</v>
      </c>
      <c r="T491">
        <v>0.180603987172025</v>
      </c>
      <c r="U491">
        <v>0.322976383407092</v>
      </c>
      <c r="V491">
        <v>0.51175065358844696</v>
      </c>
      <c r="W491">
        <v>0.46969146120299299</v>
      </c>
      <c r="X491">
        <v>0.26957328025928201</v>
      </c>
      <c r="Y491">
        <v>0.63964441414364204</v>
      </c>
      <c r="Z491">
        <v>1.4322587498686299E-3</v>
      </c>
      <c r="AA491">
        <v>1.53642181612424E-2</v>
      </c>
    </row>
    <row r="492" spans="1:27" x14ac:dyDescent="0.55000000000000004">
      <c r="A492">
        <v>1045</v>
      </c>
      <c r="B492">
        <v>9.8285257539999993</v>
      </c>
      <c r="C492">
        <v>-8.1121502759999995</v>
      </c>
      <c r="D492">
        <v>-2.8596017759999999</v>
      </c>
      <c r="E492">
        <v>30.3286883</v>
      </c>
      <c r="F492">
        <v>9.6655030669999995</v>
      </c>
      <c r="G492">
        <v>14.6675685</v>
      </c>
      <c r="H492">
        <v>9.8285257539999993</v>
      </c>
      <c r="I492">
        <v>8.1121502759999995</v>
      </c>
      <c r="J492">
        <v>2.8596017759999999</v>
      </c>
      <c r="K492">
        <v>30.3286883</v>
      </c>
      <c r="L492">
        <v>9.6655030669999995</v>
      </c>
      <c r="M492">
        <v>14.6675685</v>
      </c>
      <c r="N492">
        <v>0.137577489</v>
      </c>
      <c r="O492">
        <v>38.479133609999998</v>
      </c>
      <c r="P492">
        <v>12.5406993800694</v>
      </c>
      <c r="Q492">
        <v>84.276091034376705</v>
      </c>
      <c r="R492">
        <v>0.36406338708994201</v>
      </c>
      <c r="S492">
        <v>0.32903597653017103</v>
      </c>
      <c r="T492">
        <v>0.14640478599283099</v>
      </c>
      <c r="U492">
        <v>0.31482681488370501</v>
      </c>
      <c r="V492">
        <v>0.47277308220827902</v>
      </c>
      <c r="W492">
        <v>0.39900845252189499</v>
      </c>
      <c r="X492">
        <v>0.189543415475661</v>
      </c>
      <c r="Y492">
        <v>0.48614661096496498</v>
      </c>
      <c r="Z492">
        <v>1.0741940624014699E-2</v>
      </c>
      <c r="AA492">
        <v>1.9465557587422899E-3</v>
      </c>
    </row>
    <row r="493" spans="1:27" x14ac:dyDescent="0.55000000000000004">
      <c r="A493">
        <v>1046</v>
      </c>
      <c r="B493">
        <v>10.45576906</v>
      </c>
      <c r="C493">
        <v>-7.8570863620000004</v>
      </c>
      <c r="D493">
        <v>-2.540255004</v>
      </c>
      <c r="E493">
        <v>29.973381329999999</v>
      </c>
      <c r="F493">
        <v>9.2499987830000006</v>
      </c>
      <c r="G493">
        <v>14.274110589999999</v>
      </c>
      <c r="H493">
        <v>10.45576906</v>
      </c>
      <c r="I493">
        <v>7.8570863620000004</v>
      </c>
      <c r="J493">
        <v>2.540255004</v>
      </c>
      <c r="K493">
        <v>29.973381329999999</v>
      </c>
      <c r="L493">
        <v>9.2499987830000006</v>
      </c>
      <c r="M493">
        <v>14.274110589999999</v>
      </c>
      <c r="N493">
        <v>0.134182617</v>
      </c>
      <c r="O493">
        <v>39.076477050000001</v>
      </c>
      <c r="P493">
        <v>3.1351748450173602</v>
      </c>
      <c r="Q493">
        <v>358.85237096413101</v>
      </c>
      <c r="R493">
        <v>0.38775916528922499</v>
      </c>
      <c r="S493">
        <v>0.31866875640354803</v>
      </c>
      <c r="T493">
        <v>0.130028507107807</v>
      </c>
      <c r="U493">
        <v>0.30468720432586999</v>
      </c>
      <c r="V493">
        <v>0.452337932482894</v>
      </c>
      <c r="W493">
        <v>0.37734812240479199</v>
      </c>
      <c r="X493">
        <v>0.184731953929546</v>
      </c>
      <c r="Y493">
        <v>0.49389457706944101</v>
      </c>
      <c r="Z493">
        <v>2.6854851560036801E-3</v>
      </c>
      <c r="AA493">
        <v>8.2930477651425201E-3</v>
      </c>
    </row>
    <row r="494" spans="1:27" x14ac:dyDescent="0.55000000000000004">
      <c r="A494">
        <v>1047</v>
      </c>
      <c r="B494">
        <v>12.324559199999999</v>
      </c>
      <c r="C494">
        <v>-7.1537456050000001</v>
      </c>
      <c r="D494">
        <v>-2.0268257740000002</v>
      </c>
      <c r="E494">
        <v>27.88545495</v>
      </c>
      <c r="F494">
        <v>8.3408959459999998</v>
      </c>
      <c r="G494">
        <v>12.63969159</v>
      </c>
      <c r="H494">
        <v>12.324559199999999</v>
      </c>
      <c r="I494">
        <v>7.1537456050000001</v>
      </c>
      <c r="J494">
        <v>2.0268257740000002</v>
      </c>
      <c r="K494">
        <v>27.88545495</v>
      </c>
      <c r="L494">
        <v>8.3408959459999998</v>
      </c>
      <c r="M494">
        <v>12.63969159</v>
      </c>
      <c r="N494">
        <v>0.101673521</v>
      </c>
      <c r="O494">
        <v>30.81647491</v>
      </c>
      <c r="P494">
        <v>12.5406993800694</v>
      </c>
      <c r="Q494">
        <v>58.106203468317098</v>
      </c>
      <c r="R494">
        <v>0.45835766548023099</v>
      </c>
      <c r="S494">
        <v>0.290081065038296</v>
      </c>
      <c r="T494">
        <v>0.103699572559493</v>
      </c>
      <c r="U494">
        <v>0.24510278253242801</v>
      </c>
      <c r="V494">
        <v>0.40762683489558899</v>
      </c>
      <c r="W494">
        <v>0.28737139506014298</v>
      </c>
      <c r="X494">
        <v>0.138657679169569</v>
      </c>
      <c r="Y494">
        <v>0.38675651826089902</v>
      </c>
      <c r="Z494">
        <v>1.0741940624014699E-2</v>
      </c>
      <c r="AA494">
        <v>1.3416710895753799E-3</v>
      </c>
    </row>
    <row r="495" spans="1:27" x14ac:dyDescent="0.55000000000000004">
      <c r="A495">
        <v>1048</v>
      </c>
      <c r="B495">
        <v>12.906823190000001</v>
      </c>
      <c r="C495">
        <v>-7.1987745949999997</v>
      </c>
      <c r="D495">
        <v>-2.1028760110000002</v>
      </c>
      <c r="E495">
        <v>27.47612999</v>
      </c>
      <c r="F495">
        <v>8.1008333050000001</v>
      </c>
      <c r="G495">
        <v>12.61250822</v>
      </c>
      <c r="H495">
        <v>12.906823190000001</v>
      </c>
      <c r="I495">
        <v>7.1987745949999997</v>
      </c>
      <c r="J495">
        <v>2.1028760110000002</v>
      </c>
      <c r="K495">
        <v>27.47612999</v>
      </c>
      <c r="L495">
        <v>8.1008333050000001</v>
      </c>
      <c r="M495">
        <v>12.61250822</v>
      </c>
      <c r="N495">
        <v>0.108670264</v>
      </c>
      <c r="O495">
        <v>40.457820890000001</v>
      </c>
      <c r="P495">
        <v>4.7591420079339803</v>
      </c>
      <c r="Q495">
        <v>183.523626393933</v>
      </c>
      <c r="R495">
        <v>0.48035423081379502</v>
      </c>
      <c r="S495">
        <v>0.29191129434862301</v>
      </c>
      <c r="T495">
        <v>0.107599470725316</v>
      </c>
      <c r="U495">
        <v>0.23342162782273701</v>
      </c>
      <c r="V495">
        <v>0.395820179221477</v>
      </c>
      <c r="W495">
        <v>0.28587491792007103</v>
      </c>
      <c r="X495">
        <v>0.14857397642394199</v>
      </c>
      <c r="Y495">
        <v>0.51181158181790898</v>
      </c>
      <c r="Z495">
        <v>4.0765207203458101E-3</v>
      </c>
      <c r="AA495">
        <v>4.2405401115621797E-3</v>
      </c>
    </row>
    <row r="496" spans="1:27" x14ac:dyDescent="0.55000000000000004">
      <c r="A496">
        <v>1049</v>
      </c>
      <c r="B496">
        <v>13.06638184</v>
      </c>
      <c r="C496">
        <v>-6.8642439509999997</v>
      </c>
      <c r="D496">
        <v>-1.7759258579999999</v>
      </c>
      <c r="E496">
        <v>27.102866129999999</v>
      </c>
      <c r="F496">
        <v>7.7090212210000004</v>
      </c>
      <c r="G496">
        <v>12.22371792</v>
      </c>
      <c r="H496">
        <v>13.06638184</v>
      </c>
      <c r="I496">
        <v>6.8642439509999997</v>
      </c>
      <c r="J496">
        <v>1.7759258579999999</v>
      </c>
      <c r="K496">
        <v>27.102866129999999</v>
      </c>
      <c r="L496">
        <v>7.7090212210000004</v>
      </c>
      <c r="M496">
        <v>12.22371792</v>
      </c>
      <c r="N496">
        <v>8.2140446000000006E-2</v>
      </c>
      <c r="O496">
        <v>36.151397709999998</v>
      </c>
      <c r="P496">
        <v>28.554852047603902</v>
      </c>
      <c r="Q496">
        <v>16.015482852677099</v>
      </c>
      <c r="R496">
        <v>0.48638198167858798</v>
      </c>
      <c r="S496">
        <v>0.278314103075814</v>
      </c>
      <c r="T496">
        <v>9.0833286262273202E-2</v>
      </c>
      <c r="U496">
        <v>0.22276957060102201</v>
      </c>
      <c r="V496">
        <v>0.376550248900481</v>
      </c>
      <c r="W496">
        <v>0.264471545334863</v>
      </c>
      <c r="X496">
        <v>0.110973972909104</v>
      </c>
      <c r="Y496">
        <v>0.45595423310379501</v>
      </c>
      <c r="Z496">
        <v>2.44591243220748E-2</v>
      </c>
      <c r="AA496">
        <v>3.6879600364616601E-4</v>
      </c>
    </row>
    <row r="497" spans="1:27" x14ac:dyDescent="0.55000000000000004">
      <c r="A497">
        <v>1050</v>
      </c>
      <c r="B497">
        <v>13.193044649999999</v>
      </c>
      <c r="C497">
        <v>-7.5857548079999999</v>
      </c>
      <c r="D497">
        <v>-2.4634555840000001</v>
      </c>
      <c r="E497">
        <v>27.034624220000001</v>
      </c>
      <c r="F497">
        <v>8.1339034619999993</v>
      </c>
      <c r="G497">
        <v>12.71647312</v>
      </c>
      <c r="H497">
        <v>13.193044649999999</v>
      </c>
      <c r="I497">
        <v>7.5857548079999999</v>
      </c>
      <c r="J497">
        <v>2.4634555840000001</v>
      </c>
      <c r="K497">
        <v>27.034624220000001</v>
      </c>
      <c r="L497">
        <v>8.1339034619999993</v>
      </c>
      <c r="M497">
        <v>12.71647312</v>
      </c>
      <c r="N497">
        <v>0.12911692299999999</v>
      </c>
      <c r="O497">
        <v>45.421257019999999</v>
      </c>
      <c r="P497">
        <v>1.7846782529752401</v>
      </c>
      <c r="Q497">
        <v>385.01679349690801</v>
      </c>
      <c r="R497">
        <v>0.49116700500709198</v>
      </c>
      <c r="S497">
        <v>0.30764032865183999</v>
      </c>
      <c r="T497">
        <v>0.12609019042387301</v>
      </c>
      <c r="U497">
        <v>0.220822109814866</v>
      </c>
      <c r="V497">
        <v>0.39744662119995899</v>
      </c>
      <c r="W497">
        <v>0.29159831042879403</v>
      </c>
      <c r="X497">
        <v>0.17755248092279199</v>
      </c>
      <c r="Y497">
        <v>0.57619085230419798</v>
      </c>
      <c r="Z497">
        <v>1.52869527012968E-3</v>
      </c>
      <c r="AA497">
        <v>8.8978061168064893E-3</v>
      </c>
    </row>
    <row r="498" spans="1:27" x14ac:dyDescent="0.55000000000000004">
      <c r="A498">
        <v>1051</v>
      </c>
      <c r="B498">
        <v>13.658196630000001</v>
      </c>
      <c r="C498">
        <v>-6.7340983830000001</v>
      </c>
      <c r="D498">
        <v>-1.689402399</v>
      </c>
      <c r="E498">
        <v>27.278019069999999</v>
      </c>
      <c r="F498">
        <v>7.5112985549999998</v>
      </c>
      <c r="G498">
        <v>12.13380544</v>
      </c>
      <c r="H498">
        <v>13.658196630000001</v>
      </c>
      <c r="I498">
        <v>6.7340983830000001</v>
      </c>
      <c r="J498">
        <v>1.689402399</v>
      </c>
      <c r="K498">
        <v>27.278019069999999</v>
      </c>
      <c r="L498">
        <v>7.5112985549999998</v>
      </c>
      <c r="M498">
        <v>12.13380544</v>
      </c>
      <c r="N498">
        <v>0.12611034500000001</v>
      </c>
      <c r="O498">
        <v>46.461177829999997</v>
      </c>
      <c r="P498">
        <v>28.554852047603902</v>
      </c>
      <c r="Q498">
        <v>18.127261437250301</v>
      </c>
      <c r="R498">
        <v>0.50873935379360502</v>
      </c>
      <c r="S498">
        <v>0.27302426128361001</v>
      </c>
      <c r="T498">
        <v>8.6396315486564498E-2</v>
      </c>
      <c r="U498">
        <v>0.227768016310263</v>
      </c>
      <c r="V498">
        <v>0.36682593933400698</v>
      </c>
      <c r="W498">
        <v>0.259521755410834</v>
      </c>
      <c r="X498">
        <v>0.17329133810727701</v>
      </c>
      <c r="Y498">
        <v>0.58967935932993698</v>
      </c>
      <c r="Z498">
        <v>2.44591243220748E-2</v>
      </c>
      <c r="AA498">
        <v>4.1760716063944301E-4</v>
      </c>
    </row>
    <row r="499" spans="1:27" x14ac:dyDescent="0.55000000000000004">
      <c r="A499">
        <v>1052</v>
      </c>
      <c r="B499">
        <v>13.677157380000001</v>
      </c>
      <c r="C499">
        <v>-7.4865654660000001</v>
      </c>
      <c r="D499">
        <v>-2.3456620379999999</v>
      </c>
      <c r="E499">
        <v>26.712832370000001</v>
      </c>
      <c r="F499">
        <v>7.798205351</v>
      </c>
      <c r="G499">
        <v>12.159547140000001</v>
      </c>
      <c r="H499">
        <v>13.677157380000001</v>
      </c>
      <c r="I499">
        <v>7.4865654660000001</v>
      </c>
      <c r="J499">
        <v>2.3456620379999999</v>
      </c>
      <c r="K499">
        <v>26.712832370000001</v>
      </c>
      <c r="L499">
        <v>7.798205351</v>
      </c>
      <c r="M499">
        <v>12.159547140000001</v>
      </c>
      <c r="N499">
        <v>0.12911692299999999</v>
      </c>
      <c r="O499">
        <v>45.421257019999999</v>
      </c>
      <c r="P499">
        <v>28.554852047603902</v>
      </c>
      <c r="Q499">
        <v>27.7327976890911</v>
      </c>
      <c r="R499">
        <v>0.50945564637448104</v>
      </c>
      <c r="S499">
        <v>0.30360872054780602</v>
      </c>
      <c r="T499">
        <v>0.12004967231225699</v>
      </c>
      <c r="U499">
        <v>0.21163894056917101</v>
      </c>
      <c r="V499">
        <v>0.38093646372390799</v>
      </c>
      <c r="W499">
        <v>0.26093886688732099</v>
      </c>
      <c r="X499">
        <v>0.17755248092279199</v>
      </c>
      <c r="Y499">
        <v>0.57619085230419798</v>
      </c>
      <c r="Z499">
        <v>2.44591243220748E-2</v>
      </c>
      <c r="AA499">
        <v>6.3962728217029996E-4</v>
      </c>
    </row>
    <row r="500" spans="1:27" x14ac:dyDescent="0.55000000000000004">
      <c r="A500">
        <v>1053</v>
      </c>
      <c r="B500">
        <v>13.79345698</v>
      </c>
      <c r="C500">
        <v>-6.9336771449999999</v>
      </c>
      <c r="D500">
        <v>-1.866587099</v>
      </c>
      <c r="E500">
        <v>26.96433803</v>
      </c>
      <c r="F500">
        <v>7.7102507060000001</v>
      </c>
      <c r="G500">
        <v>12.123241760000001</v>
      </c>
      <c r="H500">
        <v>13.79345698</v>
      </c>
      <c r="I500">
        <v>6.9336771449999999</v>
      </c>
      <c r="J500">
        <v>1.866587099</v>
      </c>
      <c r="K500">
        <v>26.96433803</v>
      </c>
      <c r="L500">
        <v>7.7102507060000001</v>
      </c>
      <c r="M500">
        <v>12.123241760000001</v>
      </c>
      <c r="N500">
        <v>0.120620608</v>
      </c>
      <c r="O500">
        <v>39.468921659999999</v>
      </c>
      <c r="P500">
        <v>14.277426023801899</v>
      </c>
      <c r="Q500">
        <v>70.806957710797207</v>
      </c>
      <c r="R500">
        <v>0.51384917198073998</v>
      </c>
      <c r="S500">
        <v>0.28113625535523301</v>
      </c>
      <c r="T500">
        <v>9.5482444784778603E-2</v>
      </c>
      <c r="U500">
        <v>0.218816310170142</v>
      </c>
      <c r="V500">
        <v>0.376610716893298</v>
      </c>
      <c r="W500">
        <v>0.25894021214982399</v>
      </c>
      <c r="X500">
        <v>0.16551088026563099</v>
      </c>
      <c r="Y500">
        <v>0.49898486070286302</v>
      </c>
      <c r="Z500">
        <v>1.22295621610374E-2</v>
      </c>
      <c r="AA500">
        <v>1.63523335684689E-3</v>
      </c>
    </row>
    <row r="501" spans="1:27" x14ac:dyDescent="0.55000000000000004">
      <c r="A501">
        <v>1054</v>
      </c>
      <c r="B501">
        <v>13.252664319999999</v>
      </c>
      <c r="C501">
        <v>-6.1887888650000002</v>
      </c>
      <c r="D501">
        <v>-1.278615509</v>
      </c>
      <c r="E501">
        <v>27.201304830000002</v>
      </c>
      <c r="F501">
        <v>6.9955977130000004</v>
      </c>
      <c r="G501">
        <v>11.88005654</v>
      </c>
      <c r="H501">
        <v>13.252664319999999</v>
      </c>
      <c r="I501">
        <v>6.1887888650000002</v>
      </c>
      <c r="J501">
        <v>1.278615509</v>
      </c>
      <c r="K501">
        <v>27.201304830000002</v>
      </c>
      <c r="L501">
        <v>6.9955977130000004</v>
      </c>
      <c r="M501">
        <v>11.88005654</v>
      </c>
      <c r="N501">
        <v>0.12265440800000001</v>
      </c>
      <c r="O501">
        <v>52.294303890000002</v>
      </c>
      <c r="P501">
        <v>28.554852047603902</v>
      </c>
      <c r="Q501">
        <v>18.373788490609002</v>
      </c>
      <c r="R501">
        <v>0.49341929604490897</v>
      </c>
      <c r="S501">
        <v>0.25085984091699898</v>
      </c>
      <c r="T501">
        <v>6.5330936836199796E-2</v>
      </c>
      <c r="U501">
        <v>0.22557877550296801</v>
      </c>
      <c r="V501">
        <v>0.34146296637419699</v>
      </c>
      <c r="W501">
        <v>0.24555257395289401</v>
      </c>
      <c r="X501">
        <v>0.168393330765234</v>
      </c>
      <c r="Y501">
        <v>0.66533912215584801</v>
      </c>
      <c r="Z501">
        <v>2.44591243220748E-2</v>
      </c>
      <c r="AA501">
        <v>4.23305329373838E-4</v>
      </c>
    </row>
    <row r="502" spans="1:27" x14ac:dyDescent="0.55000000000000004">
      <c r="A502">
        <v>1055</v>
      </c>
      <c r="B502">
        <v>14.35773017</v>
      </c>
      <c r="C502">
        <v>-7.3322942160000002</v>
      </c>
      <c r="D502">
        <v>-2.191385715</v>
      </c>
      <c r="E502">
        <v>27.024259579999999</v>
      </c>
      <c r="F502">
        <v>8.0180006860000006</v>
      </c>
      <c r="G502">
        <v>12.172038410000001</v>
      </c>
      <c r="H502">
        <v>14.35773017</v>
      </c>
      <c r="I502">
        <v>7.3322942160000002</v>
      </c>
      <c r="J502">
        <v>2.191385715</v>
      </c>
      <c r="K502">
        <v>27.024259579999999</v>
      </c>
      <c r="L502">
        <v>8.0180006860000006</v>
      </c>
      <c r="M502">
        <v>12.172038410000001</v>
      </c>
      <c r="N502">
        <v>0.12813925700000001</v>
      </c>
      <c r="O502">
        <v>41.252418519999999</v>
      </c>
      <c r="P502">
        <v>14.277426023801899</v>
      </c>
      <c r="Q502">
        <v>20.829077534651699</v>
      </c>
      <c r="R502">
        <v>0.53516608716523195</v>
      </c>
      <c r="S502">
        <v>0.297338276474093</v>
      </c>
      <c r="T502">
        <v>0.11213829724188699</v>
      </c>
      <c r="U502">
        <v>0.220526327795245</v>
      </c>
      <c r="V502">
        <v>0.391746341630405</v>
      </c>
      <c r="W502">
        <v>0.26162652629104599</v>
      </c>
      <c r="X502">
        <v>0.17616686097483999</v>
      </c>
      <c r="Y502">
        <v>0.52211807401599297</v>
      </c>
      <c r="Z502">
        <v>1.22295621610374E-2</v>
      </c>
      <c r="AA502">
        <v>4.80056306899667E-4</v>
      </c>
    </row>
    <row r="503" spans="1:27" x14ac:dyDescent="0.55000000000000004">
      <c r="A503">
        <v>1056</v>
      </c>
      <c r="B503">
        <v>14.37599954</v>
      </c>
      <c r="C503">
        <v>-7.0621778329999998</v>
      </c>
      <c r="D503">
        <v>-1.9761041699999999</v>
      </c>
      <c r="E503">
        <v>26.55230538</v>
      </c>
      <c r="F503">
        <v>7.7215158429999997</v>
      </c>
      <c r="G503">
        <v>11.94041782</v>
      </c>
      <c r="H503">
        <v>14.37599954</v>
      </c>
      <c r="I503">
        <v>7.0621778329999998</v>
      </c>
      <c r="J503">
        <v>1.9761041699999999</v>
      </c>
      <c r="K503">
        <v>26.55230538</v>
      </c>
      <c r="L503">
        <v>7.7215158429999997</v>
      </c>
      <c r="M503">
        <v>11.94041782</v>
      </c>
      <c r="N503">
        <v>0.155335054</v>
      </c>
      <c r="O503">
        <v>55.352210999999997</v>
      </c>
      <c r="P503">
        <v>14.277426023801899</v>
      </c>
      <c r="Q503">
        <v>22.445189073590701</v>
      </c>
      <c r="R503">
        <v>0.53585626103431805</v>
      </c>
      <c r="S503">
        <v>0.28635924004964403</v>
      </c>
      <c r="T503">
        <v>0.101098540686218</v>
      </c>
      <c r="U503">
        <v>0.207057884468241</v>
      </c>
      <c r="V503">
        <v>0.37716475392766002</v>
      </c>
      <c r="W503">
        <v>0.24887553485382199</v>
      </c>
      <c r="X503">
        <v>0.214710738765062</v>
      </c>
      <c r="Y503">
        <v>0.705002336066618</v>
      </c>
      <c r="Z503">
        <v>1.22295621610374E-2</v>
      </c>
      <c r="AA503">
        <v>5.17410731564285E-4</v>
      </c>
    </row>
    <row r="504" spans="1:27" x14ac:dyDescent="0.55000000000000004">
      <c r="A504">
        <v>1057</v>
      </c>
      <c r="B504">
        <v>13.908876080000001</v>
      </c>
      <c r="C504">
        <v>-7.3220355369999996</v>
      </c>
      <c r="D504">
        <v>-2.236159555</v>
      </c>
      <c r="E504">
        <v>26.39115133</v>
      </c>
      <c r="F504">
        <v>8.1972041149999999</v>
      </c>
      <c r="G504">
        <v>12.269431920000001</v>
      </c>
      <c r="H504">
        <v>13.908876080000001</v>
      </c>
      <c r="I504">
        <v>7.3220355369999996</v>
      </c>
      <c r="J504">
        <v>2.236159555</v>
      </c>
      <c r="K504">
        <v>26.39115133</v>
      </c>
      <c r="L504">
        <v>8.1972041149999999</v>
      </c>
      <c r="M504">
        <v>12.269431920000001</v>
      </c>
      <c r="N504">
        <v>0.106942333</v>
      </c>
      <c r="O504">
        <v>38.616920469999997</v>
      </c>
      <c r="P504">
        <v>14.277426023801899</v>
      </c>
      <c r="Q504">
        <v>69.284841636560202</v>
      </c>
      <c r="R504">
        <v>0.51820943436600497</v>
      </c>
      <c r="S504">
        <v>0.29692130654003401</v>
      </c>
      <c r="T504">
        <v>0.114434324491517</v>
      </c>
      <c r="U504">
        <v>0.20245893357567099</v>
      </c>
      <c r="V504">
        <v>0.40055984619325402</v>
      </c>
      <c r="W504">
        <v>0.26698815589423203</v>
      </c>
      <c r="X504">
        <v>0.14612502590067</v>
      </c>
      <c r="Y504">
        <v>0.487933803808202</v>
      </c>
      <c r="Z504">
        <v>1.22295621610374E-2</v>
      </c>
      <c r="AA504">
        <v>1.6000515214005401E-3</v>
      </c>
    </row>
    <row r="505" spans="1:27" x14ac:dyDescent="0.55000000000000004">
      <c r="A505">
        <v>1058</v>
      </c>
      <c r="B505">
        <v>14.13122154</v>
      </c>
      <c r="C505">
        <v>-7.1925989489999997</v>
      </c>
      <c r="D505">
        <v>-2.1131126400000002</v>
      </c>
      <c r="E505">
        <v>26.429589839999998</v>
      </c>
      <c r="F505">
        <v>8.0853693530000008</v>
      </c>
      <c r="G505">
        <v>12.217269099999999</v>
      </c>
      <c r="H505">
        <v>14.13122154</v>
      </c>
      <c r="I505">
        <v>7.1925989489999997</v>
      </c>
      <c r="J505">
        <v>2.1131126400000002</v>
      </c>
      <c r="K505">
        <v>26.429589839999998</v>
      </c>
      <c r="L505">
        <v>8.0853693530000008</v>
      </c>
      <c r="M505">
        <v>12.217269099999999</v>
      </c>
      <c r="N505">
        <v>0.106942333</v>
      </c>
      <c r="O505">
        <v>38.616920469999997</v>
      </c>
      <c r="P505">
        <v>28.554852047603902</v>
      </c>
      <c r="Q505">
        <v>26.8187279648062</v>
      </c>
      <c r="R505">
        <v>0.52660912337564403</v>
      </c>
      <c r="S505">
        <v>0.29166028164948399</v>
      </c>
      <c r="T505">
        <v>0.108124410715461</v>
      </c>
      <c r="U505">
        <v>0.20355587665512501</v>
      </c>
      <c r="V505">
        <v>0.39505963790665799</v>
      </c>
      <c r="W505">
        <v>0.26411653005491598</v>
      </c>
      <c r="X505">
        <v>0.14612502590067</v>
      </c>
      <c r="Y505">
        <v>0.487933803808202</v>
      </c>
      <c r="Z505">
        <v>2.44591243220748E-2</v>
      </c>
      <c r="AA505">
        <v>6.1849968804618101E-4</v>
      </c>
    </row>
    <row r="506" spans="1:27" x14ac:dyDescent="0.55000000000000004">
      <c r="A506">
        <v>1059</v>
      </c>
      <c r="B506">
        <v>14.24988591</v>
      </c>
      <c r="C506">
        <v>-6.6063066920000004</v>
      </c>
      <c r="D506">
        <v>-1.64287961</v>
      </c>
      <c r="E506">
        <v>26.473303739999999</v>
      </c>
      <c r="F506">
        <v>7.3451798559999997</v>
      </c>
      <c r="G506">
        <v>11.91331246</v>
      </c>
      <c r="H506">
        <v>14.24988591</v>
      </c>
      <c r="I506">
        <v>6.6063066920000004</v>
      </c>
      <c r="J506">
        <v>1.64287961</v>
      </c>
      <c r="K506">
        <v>26.473303739999999</v>
      </c>
      <c r="L506">
        <v>7.3451798559999997</v>
      </c>
      <c r="M506">
        <v>11.91331246</v>
      </c>
      <c r="N506">
        <v>0.19026374800000001</v>
      </c>
      <c r="O506">
        <v>50.999309539999999</v>
      </c>
      <c r="P506">
        <v>7.1387130119009603</v>
      </c>
      <c r="Q506">
        <v>106.775395688806</v>
      </c>
      <c r="R506">
        <v>0.53109198443574701</v>
      </c>
      <c r="S506">
        <v>0.26783009418182802</v>
      </c>
      <c r="T506">
        <v>8.4010601166041698E-2</v>
      </c>
      <c r="U506">
        <v>0.20480336673944299</v>
      </c>
      <c r="V506">
        <v>0.35865596223155399</v>
      </c>
      <c r="W506">
        <v>0.24738335225786701</v>
      </c>
      <c r="X506">
        <v>0.264214245241009</v>
      </c>
      <c r="Y506">
        <v>0.64854213125010096</v>
      </c>
      <c r="Z506">
        <v>6.1147810805187103E-3</v>
      </c>
      <c r="AA506">
        <v>2.4665994317625102E-3</v>
      </c>
    </row>
    <row r="507" spans="1:27" x14ac:dyDescent="0.55000000000000004">
      <c r="A507">
        <v>1060</v>
      </c>
      <c r="B507">
        <v>14.040342040000001</v>
      </c>
      <c r="C507">
        <v>-6.7345510439999998</v>
      </c>
      <c r="D507">
        <v>-1.7886557190000001</v>
      </c>
      <c r="E507">
        <v>26.19375921</v>
      </c>
      <c r="F507">
        <v>8.4656379939999997</v>
      </c>
      <c r="G507">
        <v>12.0916096</v>
      </c>
      <c r="H507">
        <v>14.040342040000001</v>
      </c>
      <c r="I507">
        <v>6.7345510439999998</v>
      </c>
      <c r="J507">
        <v>1.7886557190000001</v>
      </c>
      <c r="K507">
        <v>26.19375921</v>
      </c>
      <c r="L507">
        <v>8.4656379939999997</v>
      </c>
      <c r="M507">
        <v>12.0916096</v>
      </c>
      <c r="N507">
        <v>9.8565839000000002E-2</v>
      </c>
      <c r="O507">
        <v>30.886875150000002</v>
      </c>
      <c r="P507">
        <v>28.554852047603902</v>
      </c>
      <c r="Q507">
        <v>58.8823368494539</v>
      </c>
      <c r="R507">
        <v>0.52317590941502801</v>
      </c>
      <c r="S507">
        <v>0.273042659951442</v>
      </c>
      <c r="T507">
        <v>9.1486080566715394E-2</v>
      </c>
      <c r="U507">
        <v>0.19682583489487199</v>
      </c>
      <c r="V507">
        <v>0.41376184366948399</v>
      </c>
      <c r="W507">
        <v>0.25719882378145498</v>
      </c>
      <c r="X507">
        <v>0.134253244351245</v>
      </c>
      <c r="Y507">
        <v>0.38766965907193202</v>
      </c>
      <c r="Z507">
        <v>2.44591243220748E-2</v>
      </c>
      <c r="AA507">
        <v>1.3596104552793099E-3</v>
      </c>
    </row>
    <row r="508" spans="1:27" x14ac:dyDescent="0.55000000000000004">
      <c r="A508">
        <v>1061</v>
      </c>
      <c r="B508">
        <v>14.48199571</v>
      </c>
      <c r="C508">
        <v>-6.7206155279999997</v>
      </c>
      <c r="D508">
        <v>-1.7227641709999999</v>
      </c>
      <c r="E508">
        <v>26.39089358</v>
      </c>
      <c r="F508">
        <v>7.6862480360000003</v>
      </c>
      <c r="G508">
        <v>11.810620520000001</v>
      </c>
      <c r="H508">
        <v>14.48199571</v>
      </c>
      <c r="I508">
        <v>6.7206155279999997</v>
      </c>
      <c r="J508">
        <v>1.7227641709999999</v>
      </c>
      <c r="K508">
        <v>26.39089358</v>
      </c>
      <c r="L508">
        <v>7.6862480360000003</v>
      </c>
      <c r="M508">
        <v>11.810620520000001</v>
      </c>
      <c r="N508">
        <v>0.14056785399999999</v>
      </c>
      <c r="O508">
        <v>48.765613559999998</v>
      </c>
      <c r="P508">
        <v>14.277426023801899</v>
      </c>
      <c r="Q508">
        <v>30.235265071776301</v>
      </c>
      <c r="R508">
        <v>0.53986054726625998</v>
      </c>
      <c r="S508">
        <v>0.27247624285353</v>
      </c>
      <c r="T508">
        <v>8.8107125584781398E-2</v>
      </c>
      <c r="U508">
        <v>0.20245157800755101</v>
      </c>
      <c r="V508">
        <v>0.37543022808933901</v>
      </c>
      <c r="W508">
        <v>0.241730037724768</v>
      </c>
      <c r="X508">
        <v>0.19378158003866899</v>
      </c>
      <c r="Y508">
        <v>0.61956951753772205</v>
      </c>
      <c r="Z508">
        <v>1.22295621610374E-2</v>
      </c>
      <c r="AA508">
        <v>6.9746872879690599E-4</v>
      </c>
    </row>
    <row r="509" spans="1:27" x14ac:dyDescent="0.55000000000000004">
      <c r="A509">
        <v>1062</v>
      </c>
      <c r="B509">
        <v>14.446725929999999</v>
      </c>
      <c r="C509">
        <v>-6.7710548409999998</v>
      </c>
      <c r="D509">
        <v>-1.77498125</v>
      </c>
      <c r="E509">
        <v>26.128975440000001</v>
      </c>
      <c r="F509">
        <v>8.2393915609999997</v>
      </c>
      <c r="G509">
        <v>12.00886899</v>
      </c>
      <c r="H509">
        <v>14.446725929999999</v>
      </c>
      <c r="I509">
        <v>6.7710548409999998</v>
      </c>
      <c r="J509">
        <v>1.77498125</v>
      </c>
      <c r="K509">
        <v>26.128975440000001</v>
      </c>
      <c r="L509">
        <v>8.2393915609999997</v>
      </c>
      <c r="M509">
        <v>12.00886899</v>
      </c>
      <c r="N509">
        <v>0.133921653</v>
      </c>
      <c r="O509">
        <v>49.371730800000002</v>
      </c>
      <c r="P509">
        <v>28.554852047603902</v>
      </c>
      <c r="Q509">
        <v>41.752479646553901</v>
      </c>
      <c r="R509">
        <v>0.53852813785507503</v>
      </c>
      <c r="S509">
        <v>0.27452637786755901</v>
      </c>
      <c r="T509">
        <v>9.0784846242203093E-2</v>
      </c>
      <c r="U509">
        <v>0.19497706114785501</v>
      </c>
      <c r="V509">
        <v>0.402634690686413</v>
      </c>
      <c r="W509">
        <v>0.25264385390757299</v>
      </c>
      <c r="X509">
        <v>0.184362096612121</v>
      </c>
      <c r="Y509">
        <v>0.62743128602195997</v>
      </c>
      <c r="Z509">
        <v>2.44591243220748E-2</v>
      </c>
      <c r="AA509">
        <v>9.6367493660743601E-4</v>
      </c>
    </row>
    <row r="510" spans="1:27" x14ac:dyDescent="0.55000000000000004">
      <c r="A510">
        <v>1063</v>
      </c>
      <c r="B510">
        <v>14.33952944</v>
      </c>
      <c r="C510">
        <v>-6.458968552</v>
      </c>
      <c r="D510">
        <v>-1.5499721120000001</v>
      </c>
      <c r="E510">
        <v>26.325138460000002</v>
      </c>
      <c r="F510">
        <v>8.1696394160000008</v>
      </c>
      <c r="G510">
        <v>11.98889752</v>
      </c>
      <c r="H510">
        <v>14.33952944</v>
      </c>
      <c r="I510">
        <v>6.458968552</v>
      </c>
      <c r="J510">
        <v>1.5499721120000001</v>
      </c>
      <c r="K510">
        <v>26.325138460000002</v>
      </c>
      <c r="L510">
        <v>8.1696394160000008</v>
      </c>
      <c r="M510">
        <v>11.98889752</v>
      </c>
      <c r="N510">
        <v>0.116702266</v>
      </c>
      <c r="O510">
        <v>38.623908999999998</v>
      </c>
      <c r="P510">
        <v>14.277426023801899</v>
      </c>
      <c r="Q510">
        <v>79.623781913379403</v>
      </c>
      <c r="R510">
        <v>0.53447850635405503</v>
      </c>
      <c r="S510">
        <v>0.26184145036909601</v>
      </c>
      <c r="T510">
        <v>7.9246253343675702E-2</v>
      </c>
      <c r="U510">
        <v>0.200575084256292</v>
      </c>
      <c r="V510">
        <v>0.39920417123900898</v>
      </c>
      <c r="W510">
        <v>0.25154440051718702</v>
      </c>
      <c r="X510">
        <v>0.159957518649191</v>
      </c>
      <c r="Y510">
        <v>0.48802444997577299</v>
      </c>
      <c r="Z510">
        <v>1.22295621610374E-2</v>
      </c>
      <c r="AA510">
        <v>1.8390233722766201E-3</v>
      </c>
    </row>
    <row r="511" spans="1:27" x14ac:dyDescent="0.55000000000000004">
      <c r="A511">
        <v>1064</v>
      </c>
      <c r="B511">
        <v>14.339996770000001</v>
      </c>
      <c r="C511">
        <v>-6.6787750370000003</v>
      </c>
      <c r="D511">
        <v>-1.7698385640000001</v>
      </c>
      <c r="E511">
        <v>26.27993515</v>
      </c>
      <c r="F511">
        <v>7.7378131960000003</v>
      </c>
      <c r="G511">
        <v>11.84344267</v>
      </c>
      <c r="H511">
        <v>14.339996770000001</v>
      </c>
      <c r="I511">
        <v>6.6787750370000003</v>
      </c>
      <c r="J511">
        <v>1.7698385640000001</v>
      </c>
      <c r="K511">
        <v>26.27993515</v>
      </c>
      <c r="L511">
        <v>7.7378131960000003</v>
      </c>
      <c r="M511">
        <v>11.84344267</v>
      </c>
      <c r="N511">
        <v>0.125768661</v>
      </c>
      <c r="O511">
        <v>44.244850159999999</v>
      </c>
      <c r="P511">
        <v>14.277426023801899</v>
      </c>
      <c r="Q511">
        <v>48.580858956175199</v>
      </c>
      <c r="R511">
        <v>0.53449616098331898</v>
      </c>
      <c r="S511">
        <v>0.27077561192694899</v>
      </c>
      <c r="T511">
        <v>9.0521126463147E-2</v>
      </c>
      <c r="U511">
        <v>0.19928508997521999</v>
      </c>
      <c r="V511">
        <v>0.37796628320547199</v>
      </c>
      <c r="W511">
        <v>0.24353693647069199</v>
      </c>
      <c r="X511">
        <v>0.172807078486613</v>
      </c>
      <c r="Y511">
        <v>0.56093202485921501</v>
      </c>
      <c r="Z511">
        <v>1.22295621610374E-2</v>
      </c>
      <c r="AA511">
        <v>1.1215045011869699E-3</v>
      </c>
    </row>
    <row r="512" spans="1:27" x14ac:dyDescent="0.55000000000000004">
      <c r="A512">
        <v>1065</v>
      </c>
      <c r="B512">
        <v>12.29560755</v>
      </c>
      <c r="C512">
        <v>-6.2936162949999996</v>
      </c>
      <c r="D512">
        <v>-1.574014085</v>
      </c>
      <c r="E512">
        <v>26.805814439999999</v>
      </c>
      <c r="F512">
        <v>7.4323029539999999</v>
      </c>
      <c r="G512">
        <v>11.811068580000001</v>
      </c>
      <c r="H512">
        <v>12.29560755</v>
      </c>
      <c r="I512">
        <v>6.2936162949999996</v>
      </c>
      <c r="J512">
        <v>1.574014085</v>
      </c>
      <c r="K512">
        <v>26.805814439999999</v>
      </c>
      <c r="L512">
        <v>7.4323029539999999</v>
      </c>
      <c r="M512">
        <v>11.811068580000001</v>
      </c>
      <c r="N512">
        <v>0.201873153</v>
      </c>
      <c r="O512">
        <v>50.234142300000002</v>
      </c>
      <c r="P512">
        <v>0.44616956324381002</v>
      </c>
      <c r="Q512">
        <v>491.06784814307298</v>
      </c>
      <c r="R512">
        <v>0.45726394017405197</v>
      </c>
      <c r="S512">
        <v>0.25512061236473199</v>
      </c>
      <c r="T512">
        <v>8.0479139000632305E-2</v>
      </c>
      <c r="U512">
        <v>0.21429242631042</v>
      </c>
      <c r="V512">
        <v>0.36294081228178698</v>
      </c>
      <c r="W512">
        <v>0.241754703965465</v>
      </c>
      <c r="X512">
        <v>0.28066794533066503</v>
      </c>
      <c r="Y512">
        <v>0.63861737198636004</v>
      </c>
      <c r="Z512">
        <v>3.8217381753241999E-4</v>
      </c>
      <c r="AA512">
        <v>1.13490454254401E-2</v>
      </c>
    </row>
    <row r="513" spans="1:27" x14ac:dyDescent="0.55000000000000004">
      <c r="A513">
        <v>1066</v>
      </c>
      <c r="B513">
        <v>14.27718522</v>
      </c>
      <c r="C513">
        <v>-5.9235107500000002</v>
      </c>
      <c r="D513">
        <v>-1.101911646</v>
      </c>
      <c r="E513">
        <v>25.879653399999999</v>
      </c>
      <c r="F513">
        <v>7.9891736939999998</v>
      </c>
      <c r="G513">
        <v>11.7351353</v>
      </c>
      <c r="H513">
        <v>14.27718522</v>
      </c>
      <c r="I513">
        <v>5.9235107500000002</v>
      </c>
      <c r="J513">
        <v>1.101911646</v>
      </c>
      <c r="K513">
        <v>25.879653399999999</v>
      </c>
      <c r="L513">
        <v>7.9891736939999998</v>
      </c>
      <c r="M513">
        <v>11.7351353</v>
      </c>
      <c r="N513">
        <v>9.8884277000000007E-2</v>
      </c>
      <c r="O513">
        <v>24.286514279999999</v>
      </c>
      <c r="P513">
        <v>14.277426023801899</v>
      </c>
      <c r="Q513">
        <v>81.392443126817398</v>
      </c>
      <c r="R513">
        <v>0.53212328821940702</v>
      </c>
      <c r="S513">
        <v>0.24007745869031999</v>
      </c>
      <c r="T513">
        <v>5.6269465124974598E-2</v>
      </c>
      <c r="U513">
        <v>0.187862006835565</v>
      </c>
      <c r="V513">
        <v>0.39032858513465601</v>
      </c>
      <c r="W513">
        <v>0.23757448577726201</v>
      </c>
      <c r="X513">
        <v>0.13470455803606701</v>
      </c>
      <c r="Y513">
        <v>0.30205831913980202</v>
      </c>
      <c r="Z513">
        <v>1.22295621610374E-2</v>
      </c>
      <c r="AA513">
        <v>1.8799037944892999E-3</v>
      </c>
    </row>
    <row r="514" spans="1:27" x14ac:dyDescent="0.55000000000000004">
      <c r="A514">
        <v>1067</v>
      </c>
      <c r="B514">
        <v>13.98789056</v>
      </c>
      <c r="C514">
        <v>-6.5611647030000002</v>
      </c>
      <c r="D514">
        <v>-1.793368579</v>
      </c>
      <c r="E514">
        <v>26.080307080000001</v>
      </c>
      <c r="F514">
        <v>7.4354541919999999</v>
      </c>
      <c r="G514">
        <v>11.76623466</v>
      </c>
      <c r="H514">
        <v>13.98789056</v>
      </c>
      <c r="I514">
        <v>6.5611647030000002</v>
      </c>
      <c r="J514">
        <v>1.793368579</v>
      </c>
      <c r="K514">
        <v>26.080307080000001</v>
      </c>
      <c r="L514">
        <v>7.4354541919999999</v>
      </c>
      <c r="M514">
        <v>11.76623466</v>
      </c>
      <c r="N514">
        <v>9.9032328000000003E-2</v>
      </c>
      <c r="O514">
        <v>32.239788060000002</v>
      </c>
      <c r="P514">
        <v>28.554852047603902</v>
      </c>
      <c r="Q514">
        <v>48.489067662690999</v>
      </c>
      <c r="R514">
        <v>0.52119441575154002</v>
      </c>
      <c r="S514">
        <v>0.26599527196187001</v>
      </c>
      <c r="T514">
        <v>9.1727758631042502E-2</v>
      </c>
      <c r="U514">
        <v>0.19358818263278199</v>
      </c>
      <c r="V514">
        <v>0.36309579508901701</v>
      </c>
      <c r="W514">
        <v>0.23928654286624201</v>
      </c>
      <c r="X514">
        <v>0.13491438676992401</v>
      </c>
      <c r="Y514">
        <v>0.40521789458781499</v>
      </c>
      <c r="Z514">
        <v>2.44591243220748E-2</v>
      </c>
      <c r="AA514">
        <v>1.1193828586674301E-3</v>
      </c>
    </row>
    <row r="515" spans="1:27" x14ac:dyDescent="0.55000000000000004">
      <c r="A515">
        <v>1068</v>
      </c>
      <c r="B515">
        <v>13.84203003</v>
      </c>
      <c r="C515">
        <v>-6.4355847309999996</v>
      </c>
      <c r="D515">
        <v>-1.721900784</v>
      </c>
      <c r="E515">
        <v>26.036704660000002</v>
      </c>
      <c r="F515">
        <v>7.3842022519999997</v>
      </c>
      <c r="G515">
        <v>11.64397258</v>
      </c>
      <c r="H515">
        <v>13.84203003</v>
      </c>
      <c r="I515">
        <v>6.4355847309999996</v>
      </c>
      <c r="J515">
        <v>1.721900784</v>
      </c>
      <c r="K515">
        <v>26.036704660000002</v>
      </c>
      <c r="L515">
        <v>7.3842022519999997</v>
      </c>
      <c r="M515">
        <v>11.64397258</v>
      </c>
      <c r="N515">
        <v>0.108330205</v>
      </c>
      <c r="O515">
        <v>37.532112120000001</v>
      </c>
      <c r="P515">
        <v>28.554852047603902</v>
      </c>
      <c r="Q515">
        <v>21.675732011182799</v>
      </c>
      <c r="R515">
        <v>0.51568414767239401</v>
      </c>
      <c r="S515">
        <v>0.26089100145648098</v>
      </c>
      <c r="T515">
        <v>8.8062850622460206E-2</v>
      </c>
      <c r="U515">
        <v>0.192343873920856</v>
      </c>
      <c r="V515">
        <v>0.360575144621749</v>
      </c>
      <c r="W515">
        <v>0.23255586864087499</v>
      </c>
      <c r="X515">
        <v>0.14809201987244</v>
      </c>
      <c r="Y515">
        <v>0.47386307370082398</v>
      </c>
      <c r="Z515">
        <v>2.44591243220748E-2</v>
      </c>
      <c r="AA515">
        <v>4.9962568073218499E-4</v>
      </c>
    </row>
    <row r="516" spans="1:27" x14ac:dyDescent="0.55000000000000004">
      <c r="A516">
        <v>1069</v>
      </c>
      <c r="B516">
        <v>12.77213909</v>
      </c>
      <c r="C516">
        <v>-6.4685707949999998</v>
      </c>
      <c r="D516">
        <v>-1.792890922</v>
      </c>
      <c r="E516">
        <v>26.44323898</v>
      </c>
      <c r="F516">
        <v>7.5808756219999998</v>
      </c>
      <c r="G516">
        <v>11.69046627</v>
      </c>
      <c r="H516">
        <v>12.77213909</v>
      </c>
      <c r="I516">
        <v>6.4685707949999998</v>
      </c>
      <c r="J516">
        <v>1.792890922</v>
      </c>
      <c r="K516">
        <v>26.44323898</v>
      </c>
      <c r="L516">
        <v>7.5808756219999998</v>
      </c>
      <c r="M516">
        <v>11.69046627</v>
      </c>
      <c r="N516">
        <v>7.7969693000000007E-2</v>
      </c>
      <c r="O516">
        <v>35.579715729999997</v>
      </c>
      <c r="P516">
        <v>28.554852047603902</v>
      </c>
      <c r="Q516">
        <v>39.190538303812801</v>
      </c>
      <c r="R516">
        <v>0.47526618199758303</v>
      </c>
      <c r="S516">
        <v>0.26223173908273301</v>
      </c>
      <c r="T516">
        <v>9.1703264116210298E-2</v>
      </c>
      <c r="U516">
        <v>0.20394539044386201</v>
      </c>
      <c r="V516">
        <v>0.37024784817189099</v>
      </c>
      <c r="W516">
        <v>0.23511540207041601</v>
      </c>
      <c r="X516">
        <v>0.105062875914035</v>
      </c>
      <c r="Y516">
        <v>0.44853911425092902</v>
      </c>
      <c r="Z516">
        <v>2.44591243220748E-2</v>
      </c>
      <c r="AA516">
        <v>9.04458822758371E-4</v>
      </c>
    </row>
    <row r="517" spans="1:27" x14ac:dyDescent="0.55000000000000004">
      <c r="A517">
        <v>1070</v>
      </c>
      <c r="B517">
        <v>12.88341147</v>
      </c>
      <c r="C517">
        <v>-7.1907187080000003</v>
      </c>
      <c r="D517">
        <v>-2.5176054130000001</v>
      </c>
      <c r="E517">
        <v>26.276879560000001</v>
      </c>
      <c r="F517">
        <v>7.5890047879999996</v>
      </c>
      <c r="G517">
        <v>11.69280464</v>
      </c>
      <c r="H517">
        <v>12.88341147</v>
      </c>
      <c r="I517">
        <v>7.1907187080000003</v>
      </c>
      <c r="J517">
        <v>2.5176054130000001</v>
      </c>
      <c r="K517">
        <v>26.276879560000001</v>
      </c>
      <c r="L517">
        <v>7.5890047879999996</v>
      </c>
      <c r="M517">
        <v>11.69280464</v>
      </c>
      <c r="N517">
        <v>9.7803614999999997E-2</v>
      </c>
      <c r="O517">
        <v>28.879999160000001</v>
      </c>
      <c r="P517">
        <v>14.277426023801899</v>
      </c>
      <c r="Q517">
        <v>25.772232721742402</v>
      </c>
      <c r="R517">
        <v>0.47946979104524401</v>
      </c>
      <c r="S517">
        <v>0.29158385816788501</v>
      </c>
      <c r="T517">
        <v>0.12886702356900401</v>
      </c>
      <c r="U517">
        <v>0.199197890749648</v>
      </c>
      <c r="V517">
        <v>0.37064765325393001</v>
      </c>
      <c r="W517">
        <v>0.23524413214509099</v>
      </c>
      <c r="X517">
        <v>0.133172964604165</v>
      </c>
      <c r="Y517">
        <v>0.36163906075079499</v>
      </c>
      <c r="Z517">
        <v>1.22295621610374E-2</v>
      </c>
      <c r="AA517">
        <v>5.9431124140927802E-4</v>
      </c>
    </row>
    <row r="518" spans="1:27" x14ac:dyDescent="0.55000000000000004">
      <c r="A518">
        <v>1071</v>
      </c>
      <c r="B518">
        <v>12.29961039</v>
      </c>
      <c r="C518">
        <v>-7.7374274280000002</v>
      </c>
      <c r="D518">
        <v>-3.040990705</v>
      </c>
      <c r="E518">
        <v>26.737613289999999</v>
      </c>
      <c r="F518">
        <v>7.6179635030000004</v>
      </c>
      <c r="G518">
        <v>11.872952550000001</v>
      </c>
      <c r="H518">
        <v>12.29961039</v>
      </c>
      <c r="I518">
        <v>7.7374274280000002</v>
      </c>
      <c r="J518">
        <v>3.040990705</v>
      </c>
      <c r="K518">
        <v>26.737613289999999</v>
      </c>
      <c r="L518">
        <v>7.6179635030000004</v>
      </c>
      <c r="M518">
        <v>11.872952550000001</v>
      </c>
      <c r="N518">
        <v>8.7657421999999999E-2</v>
      </c>
      <c r="O518">
        <v>30.699668880000001</v>
      </c>
      <c r="P518">
        <v>7.1387130119009603</v>
      </c>
      <c r="Q518">
        <v>51.990878549645601</v>
      </c>
      <c r="R518">
        <v>0.45741515806334598</v>
      </c>
      <c r="S518">
        <v>0.31380514990805902</v>
      </c>
      <c r="T518">
        <v>0.155706510476709</v>
      </c>
      <c r="U518">
        <v>0.212346128717112</v>
      </c>
      <c r="V518">
        <v>0.37207188809257702</v>
      </c>
      <c r="W518">
        <v>0.24516149077820701</v>
      </c>
      <c r="X518">
        <v>0.118793035858999</v>
      </c>
      <c r="Y518">
        <v>0.38524146159393602</v>
      </c>
      <c r="Z518">
        <v>6.1147810805187103E-3</v>
      </c>
      <c r="AA518">
        <v>1.2003228976528401E-3</v>
      </c>
    </row>
    <row r="519" spans="1:27" x14ac:dyDescent="0.55000000000000004">
      <c r="A519">
        <v>1072</v>
      </c>
      <c r="B519">
        <v>12.1505265</v>
      </c>
      <c r="C519">
        <v>-7.4898197729999998</v>
      </c>
      <c r="D519">
        <v>-2.701084018</v>
      </c>
      <c r="E519">
        <v>26.89549933</v>
      </c>
      <c r="F519">
        <v>7.7496765820000002</v>
      </c>
      <c r="G519">
        <v>11.83268947</v>
      </c>
      <c r="H519">
        <v>12.1505265</v>
      </c>
      <c r="I519">
        <v>7.4898197729999998</v>
      </c>
      <c r="J519">
        <v>2.701084018</v>
      </c>
      <c r="K519">
        <v>26.89549933</v>
      </c>
      <c r="L519">
        <v>7.7496765820000002</v>
      </c>
      <c r="M519">
        <v>11.83268947</v>
      </c>
      <c r="N519">
        <v>0.21476399900000001</v>
      </c>
      <c r="O519">
        <v>51.520706179999998</v>
      </c>
      <c r="P519">
        <v>0.350602359373548</v>
      </c>
      <c r="Q519">
        <v>544.62675655415705</v>
      </c>
      <c r="R519">
        <v>0.45178311901767798</v>
      </c>
      <c r="S519">
        <v>0.30374099373572799</v>
      </c>
      <c r="T519">
        <v>0.13827590779256299</v>
      </c>
      <c r="U519">
        <v>0.2168518184257</v>
      </c>
      <c r="V519">
        <v>0.37854974306014799</v>
      </c>
      <c r="W519">
        <v>0.24294495990624801</v>
      </c>
      <c r="X519">
        <v>0.29893779757425198</v>
      </c>
      <c r="Y519">
        <v>0.65530501374481398</v>
      </c>
      <c r="Z519">
        <v>3.0031417011841901E-4</v>
      </c>
      <c r="AA519">
        <v>1.2586993525652601E-2</v>
      </c>
    </row>
    <row r="520" spans="1:27" x14ac:dyDescent="0.55000000000000004">
      <c r="A520">
        <v>1073</v>
      </c>
      <c r="B520">
        <v>12.86980578</v>
      </c>
      <c r="C520">
        <v>-7.1255449689999999</v>
      </c>
      <c r="D520">
        <v>-2.3957618360000001</v>
      </c>
      <c r="E520">
        <v>26.16157982</v>
      </c>
      <c r="F520">
        <v>7.8388418590000004</v>
      </c>
      <c r="G520">
        <v>11.93169518</v>
      </c>
      <c r="H520">
        <v>12.86980578</v>
      </c>
      <c r="I520">
        <v>7.1255449689999999</v>
      </c>
      <c r="J520">
        <v>2.3957618360000001</v>
      </c>
      <c r="K520">
        <v>26.16157982</v>
      </c>
      <c r="L520">
        <v>7.8388418590000004</v>
      </c>
      <c r="M520">
        <v>11.93169518</v>
      </c>
      <c r="N520">
        <v>8.5020386000000003E-2</v>
      </c>
      <c r="O520">
        <v>26.905586240000002</v>
      </c>
      <c r="P520">
        <v>4.0792645782291199</v>
      </c>
      <c r="Q520">
        <v>232.30635199284399</v>
      </c>
      <c r="R520">
        <v>0.47895580004780502</v>
      </c>
      <c r="S520">
        <v>0.28893483389748897</v>
      </c>
      <c r="T520">
        <v>0.122618817630349</v>
      </c>
      <c r="U520">
        <v>0.195907512120093</v>
      </c>
      <c r="V520">
        <v>0.38293503066358597</v>
      </c>
      <c r="W520">
        <v>0.248395343054164</v>
      </c>
      <c r="X520">
        <v>0.115055635064589</v>
      </c>
      <c r="Y520">
        <v>0.33602953136448599</v>
      </c>
      <c r="Z520">
        <v>3.4941606174392599E-3</v>
      </c>
      <c r="AA520">
        <v>5.3680926377421799E-3</v>
      </c>
    </row>
    <row r="521" spans="1:27" x14ac:dyDescent="0.55000000000000004">
      <c r="A521">
        <v>1074</v>
      </c>
      <c r="B521">
        <v>13.07597039</v>
      </c>
      <c r="C521">
        <v>-6.4017411429999997</v>
      </c>
      <c r="D521">
        <v>-1.7663323099999999</v>
      </c>
      <c r="E521">
        <v>26.365850900000002</v>
      </c>
      <c r="F521">
        <v>7.8539431860000004</v>
      </c>
      <c r="G521">
        <v>11.99209321</v>
      </c>
      <c r="H521">
        <v>13.07597039</v>
      </c>
      <c r="I521">
        <v>6.4017411429999997</v>
      </c>
      <c r="J521">
        <v>1.7663323099999999</v>
      </c>
      <c r="K521">
        <v>26.365850900000002</v>
      </c>
      <c r="L521">
        <v>7.8539431860000004</v>
      </c>
      <c r="M521">
        <v>11.99209321</v>
      </c>
      <c r="N521">
        <v>0.117518678</v>
      </c>
      <c r="O521">
        <v>37.881069179999997</v>
      </c>
      <c r="P521">
        <v>9.51828401586795</v>
      </c>
      <c r="Q521">
        <v>75.715069194495399</v>
      </c>
      <c r="R521">
        <v>0.48674421456633599</v>
      </c>
      <c r="S521">
        <v>0.25951540927188599</v>
      </c>
      <c r="T521">
        <v>9.0341323821065703E-2</v>
      </c>
      <c r="U521">
        <v>0.20173691985568701</v>
      </c>
      <c r="V521">
        <v>0.38367773751446599</v>
      </c>
      <c r="W521">
        <v>0.25172032708669401</v>
      </c>
      <c r="X521">
        <v>0.161114597603504</v>
      </c>
      <c r="Y521">
        <v>0.47838929311121497</v>
      </c>
      <c r="Z521">
        <v>8.1530414406916201E-3</v>
      </c>
      <c r="AA521">
        <v>1.7486782993808201E-3</v>
      </c>
    </row>
    <row r="522" spans="1:27" x14ac:dyDescent="0.55000000000000004">
      <c r="A522">
        <v>1075</v>
      </c>
      <c r="B522">
        <v>13.245050320000001</v>
      </c>
      <c r="C522">
        <v>-5.8249527030000001</v>
      </c>
      <c r="D522">
        <v>-1.2892941870000001</v>
      </c>
      <c r="E522">
        <v>26.403530719999999</v>
      </c>
      <c r="F522">
        <v>7.9135765889999998</v>
      </c>
      <c r="G522">
        <v>12.17801646</v>
      </c>
      <c r="H522">
        <v>13.245050320000001</v>
      </c>
      <c r="I522">
        <v>5.8249527030000001</v>
      </c>
      <c r="J522">
        <v>1.2892941870000001</v>
      </c>
      <c r="K522">
        <v>26.403530719999999</v>
      </c>
      <c r="L522">
        <v>7.9135765889999998</v>
      </c>
      <c r="M522">
        <v>12.17801646</v>
      </c>
      <c r="N522">
        <v>0.11261072</v>
      </c>
      <c r="O522">
        <v>39.018573760000002</v>
      </c>
      <c r="P522">
        <v>28.554852047603902</v>
      </c>
      <c r="Q522">
        <v>35.252605551974497</v>
      </c>
      <c r="R522">
        <v>0.49313165701634798</v>
      </c>
      <c r="S522">
        <v>0.23607150993623899</v>
      </c>
      <c r="T522">
        <v>6.5878545343266107E-2</v>
      </c>
      <c r="U522">
        <v>0.202812211738335</v>
      </c>
      <c r="V522">
        <v>0.38661060142433501</v>
      </c>
      <c r="W522">
        <v>0.261955625117542</v>
      </c>
      <c r="X522">
        <v>0.15415867962281299</v>
      </c>
      <c r="Y522">
        <v>0.49314353052198501</v>
      </c>
      <c r="Z522">
        <v>2.44591243220748E-2</v>
      </c>
      <c r="AA522">
        <v>8.1343836484526705E-4</v>
      </c>
    </row>
    <row r="523" spans="1:27" x14ac:dyDescent="0.55000000000000004">
      <c r="A523">
        <v>1076</v>
      </c>
      <c r="B523">
        <v>12.32651521</v>
      </c>
      <c r="C523">
        <v>-7.6403231380000003</v>
      </c>
      <c r="D523">
        <v>-2.950220694</v>
      </c>
      <c r="E523">
        <v>26.778058080000001</v>
      </c>
      <c r="F523">
        <v>7.5566029840000004</v>
      </c>
      <c r="G523">
        <v>11.91839746</v>
      </c>
      <c r="H523">
        <v>12.32651521</v>
      </c>
      <c r="I523">
        <v>7.6403231380000003</v>
      </c>
      <c r="J523">
        <v>2.950220694</v>
      </c>
      <c r="K523">
        <v>26.778058080000001</v>
      </c>
      <c r="L523">
        <v>7.5566029840000004</v>
      </c>
      <c r="M523">
        <v>11.91839746</v>
      </c>
      <c r="N523">
        <v>8.6274809999999993E-2</v>
      </c>
      <c r="O523">
        <v>29.974281309999999</v>
      </c>
      <c r="P523">
        <v>14.277426023801899</v>
      </c>
      <c r="Q523">
        <v>46.050645940240102</v>
      </c>
      <c r="R523">
        <v>0.458431558941783</v>
      </c>
      <c r="S523">
        <v>0.30985828994703202</v>
      </c>
      <c r="T523">
        <v>0.15105177416851601</v>
      </c>
      <c r="U523">
        <v>0.21350032622608101</v>
      </c>
      <c r="V523">
        <v>0.36905408191998801</v>
      </c>
      <c r="W523">
        <v>0.24766328761015299</v>
      </c>
      <c r="X523">
        <v>0.116833496744948</v>
      </c>
      <c r="Y523">
        <v>0.37583267273209098</v>
      </c>
      <c r="Z523">
        <v>1.22295621610374E-2</v>
      </c>
      <c r="AA523">
        <v>1.06302174847348E-3</v>
      </c>
    </row>
    <row r="524" spans="1:27" x14ac:dyDescent="0.55000000000000004">
      <c r="A524">
        <v>1077</v>
      </c>
      <c r="B524">
        <v>12.21442287</v>
      </c>
      <c r="C524">
        <v>-7.8148640289999998</v>
      </c>
      <c r="D524">
        <v>-3.0559833959999998</v>
      </c>
      <c r="E524">
        <v>27.03194444</v>
      </c>
      <c r="F524">
        <v>7.5435884010000001</v>
      </c>
      <c r="G524">
        <v>11.90617131</v>
      </c>
      <c r="H524">
        <v>12.21442287</v>
      </c>
      <c r="I524">
        <v>7.8148640289999998</v>
      </c>
      <c r="J524">
        <v>3.0559833959999998</v>
      </c>
      <c r="K524">
        <v>27.03194444</v>
      </c>
      <c r="L524">
        <v>7.5435884010000001</v>
      </c>
      <c r="M524">
        <v>11.90617131</v>
      </c>
      <c r="N524">
        <v>0.10216560199999999</v>
      </c>
      <c r="O524">
        <v>33.307224269999999</v>
      </c>
      <c r="P524">
        <v>23.1397557186542</v>
      </c>
      <c r="Q524">
        <v>18.100210882371499</v>
      </c>
      <c r="R524">
        <v>0.45419697373207002</v>
      </c>
      <c r="S524">
        <v>0.31695260528829999</v>
      </c>
      <c r="T524">
        <v>0.15647534395360699</v>
      </c>
      <c r="U524">
        <v>0.22074563530725799</v>
      </c>
      <c r="V524">
        <v>0.36841400439862498</v>
      </c>
      <c r="W524">
        <v>0.24699022338058599</v>
      </c>
      <c r="X524">
        <v>0.139355092447322</v>
      </c>
      <c r="Y524">
        <v>0.41906329577573098</v>
      </c>
      <c r="Z524">
        <v>1.9820735227815599E-2</v>
      </c>
      <c r="AA524">
        <v>4.1698192043169101E-4</v>
      </c>
    </row>
    <row r="525" spans="1:27" x14ac:dyDescent="0.55000000000000004">
      <c r="A525">
        <v>1078</v>
      </c>
      <c r="B525">
        <v>12.18637738</v>
      </c>
      <c r="C525">
        <v>-7.9762888189999996</v>
      </c>
      <c r="D525">
        <v>-3.134266325</v>
      </c>
      <c r="E525">
        <v>27.271825750000001</v>
      </c>
      <c r="F525">
        <v>7.5256372929999999</v>
      </c>
      <c r="G525">
        <v>11.86547751</v>
      </c>
      <c r="H525">
        <v>12.18637738</v>
      </c>
      <c r="I525">
        <v>7.9762888189999996</v>
      </c>
      <c r="J525">
        <v>3.134266325</v>
      </c>
      <c r="K525">
        <v>27.271825750000001</v>
      </c>
      <c r="L525">
        <v>7.5256372929999999</v>
      </c>
      <c r="M525">
        <v>11.86547751</v>
      </c>
      <c r="N525">
        <v>0.167875528</v>
      </c>
      <c r="O525">
        <v>48.981636049999999</v>
      </c>
      <c r="P525">
        <v>11.5698778593271</v>
      </c>
      <c r="Q525">
        <v>40.567466353124701</v>
      </c>
      <c r="R525">
        <v>0.45313748102139001</v>
      </c>
      <c r="S525">
        <v>0.32351380912767902</v>
      </c>
      <c r="T525">
        <v>0.16048973579859699</v>
      </c>
      <c r="U525">
        <v>0.22759127378010599</v>
      </c>
      <c r="V525">
        <v>0.367531140866666</v>
      </c>
      <c r="W525">
        <v>0.24474998085573901</v>
      </c>
      <c r="X525">
        <v>0.232484018117288</v>
      </c>
      <c r="Y525">
        <v>0.62237148173159396</v>
      </c>
      <c r="Z525">
        <v>9.9103676139078202E-3</v>
      </c>
      <c r="AA525">
        <v>9.3628481610558297E-4</v>
      </c>
    </row>
    <row r="526" spans="1:27" x14ac:dyDescent="0.55000000000000004">
      <c r="A526">
        <v>1079</v>
      </c>
      <c r="B526">
        <v>12.482180230000001</v>
      </c>
      <c r="C526">
        <v>-6.6819495099999999</v>
      </c>
      <c r="D526">
        <v>-2.134882368</v>
      </c>
      <c r="E526">
        <v>26.724231190000001</v>
      </c>
      <c r="F526">
        <v>7.7763937930000004</v>
      </c>
      <c r="G526">
        <v>12.12113547</v>
      </c>
      <c r="H526">
        <v>12.482180230000001</v>
      </c>
      <c r="I526">
        <v>6.6819495099999999</v>
      </c>
      <c r="J526">
        <v>2.134882368</v>
      </c>
      <c r="K526">
        <v>26.724231190000001</v>
      </c>
      <c r="L526">
        <v>7.7763937930000004</v>
      </c>
      <c r="M526">
        <v>12.12113547</v>
      </c>
      <c r="N526">
        <v>9.9954732000000004E-2</v>
      </c>
      <c r="O526">
        <v>32.787715910000003</v>
      </c>
      <c r="P526">
        <v>22.295239086586498</v>
      </c>
      <c r="Q526">
        <v>8.5525184899153306</v>
      </c>
      <c r="R526">
        <v>0.46431221761445901</v>
      </c>
      <c r="S526">
        <v>0.270904640215824</v>
      </c>
      <c r="T526">
        <v>0.109240774393561</v>
      </c>
      <c r="U526">
        <v>0.211964235610861</v>
      </c>
      <c r="V526">
        <v>0.37986373723073502</v>
      </c>
      <c r="W526">
        <v>0.25882425835765799</v>
      </c>
      <c r="X526">
        <v>0.13622168535908499</v>
      </c>
      <c r="Y526">
        <v>0.41232490560562801</v>
      </c>
      <c r="Z526">
        <v>1.9097350730450099E-2</v>
      </c>
      <c r="AA526">
        <v>1.9629878835708699E-4</v>
      </c>
    </row>
    <row r="527" spans="1:27" x14ac:dyDescent="0.55000000000000004">
      <c r="A527">
        <v>1080</v>
      </c>
      <c r="B527">
        <v>12.19330819</v>
      </c>
      <c r="C527">
        <v>-7.5365945969999997</v>
      </c>
      <c r="D527">
        <v>-2.8256050020000001</v>
      </c>
      <c r="E527">
        <v>27.151395109999999</v>
      </c>
      <c r="F527">
        <v>8.18797161</v>
      </c>
      <c r="G527">
        <v>12.263183229999999</v>
      </c>
      <c r="H527">
        <v>12.19330819</v>
      </c>
      <c r="I527">
        <v>7.5365945969999997</v>
      </c>
      <c r="J527">
        <v>2.8256050020000001</v>
      </c>
      <c r="K527">
        <v>27.151395109999999</v>
      </c>
      <c r="L527">
        <v>8.18797161</v>
      </c>
      <c r="M527">
        <v>12.263183229999999</v>
      </c>
      <c r="N527">
        <v>0.13646428299999999</v>
      </c>
      <c r="O527">
        <v>44.36677933</v>
      </c>
      <c r="P527">
        <v>11.5698778593271</v>
      </c>
      <c r="Q527">
        <v>50.510368789324303</v>
      </c>
      <c r="R527">
        <v>0.45339931073711598</v>
      </c>
      <c r="S527">
        <v>0.305642183477496</v>
      </c>
      <c r="T527">
        <v>0.14466141264125901</v>
      </c>
      <c r="U527">
        <v>0.22415447154447601</v>
      </c>
      <c r="V527">
        <v>0.40010577717572399</v>
      </c>
      <c r="W527">
        <v>0.26664415801095198</v>
      </c>
      <c r="X527">
        <v>0.18796569830049101</v>
      </c>
      <c r="Y527">
        <v>0.56251353226859901</v>
      </c>
      <c r="Z527">
        <v>9.9103676139078202E-3</v>
      </c>
      <c r="AA527">
        <v>1.1661027408290899E-3</v>
      </c>
    </row>
    <row r="528" spans="1:27" x14ac:dyDescent="0.55000000000000004">
      <c r="A528">
        <v>1081</v>
      </c>
      <c r="B528">
        <v>12.160507989999999</v>
      </c>
      <c r="C528">
        <v>-7.5284194080000004</v>
      </c>
      <c r="D528">
        <v>-2.824210806</v>
      </c>
      <c r="E528">
        <v>26.961343679999999</v>
      </c>
      <c r="F528">
        <v>8.2418799820000004</v>
      </c>
      <c r="G528">
        <v>12.28753139</v>
      </c>
      <c r="H528">
        <v>12.160507989999999</v>
      </c>
      <c r="I528">
        <v>7.5284194080000004</v>
      </c>
      <c r="J528">
        <v>2.824210806</v>
      </c>
      <c r="K528">
        <v>26.961343679999999</v>
      </c>
      <c r="L528">
        <v>8.2418799820000004</v>
      </c>
      <c r="M528">
        <v>12.28753139</v>
      </c>
      <c r="N528">
        <v>0.129784912</v>
      </c>
      <c r="O528">
        <v>39.742588040000001</v>
      </c>
      <c r="P528">
        <v>11.5698778593271</v>
      </c>
      <c r="Q528">
        <v>55.872570873192501</v>
      </c>
      <c r="R528">
        <v>0.45216019625529202</v>
      </c>
      <c r="S528">
        <v>0.30530989819805099</v>
      </c>
      <c r="T528">
        <v>0.14458991750018299</v>
      </c>
      <c r="U528">
        <v>0.218730858587602</v>
      </c>
      <c r="V528">
        <v>0.40275707511823</v>
      </c>
      <c r="W528">
        <v>0.267984553438113</v>
      </c>
      <c r="X528">
        <v>0.17849920391756999</v>
      </c>
      <c r="Y528">
        <v>0.50253450684307099</v>
      </c>
      <c r="Z528">
        <v>9.9103676139078202E-3</v>
      </c>
      <c r="AA528">
        <v>1.29004342744149E-3</v>
      </c>
    </row>
    <row r="529" spans="1:27" x14ac:dyDescent="0.55000000000000004">
      <c r="A529">
        <v>1082</v>
      </c>
      <c r="B529">
        <v>12.00430265</v>
      </c>
      <c r="C529">
        <v>-7.7308413739999997</v>
      </c>
      <c r="D529">
        <v>-2.9694925489999999</v>
      </c>
      <c r="E529">
        <v>27.51457825</v>
      </c>
      <c r="F529">
        <v>8.027181058</v>
      </c>
      <c r="G529">
        <v>12.14765169</v>
      </c>
      <c r="H529">
        <v>12.00430265</v>
      </c>
      <c r="I529">
        <v>7.7308413739999997</v>
      </c>
      <c r="J529">
        <v>2.9694925489999999</v>
      </c>
      <c r="K529">
        <v>27.51457825</v>
      </c>
      <c r="L529">
        <v>8.027181058</v>
      </c>
      <c r="M529">
        <v>12.14765169</v>
      </c>
      <c r="N529">
        <v>0.27374661</v>
      </c>
      <c r="O529">
        <v>52.597190859999998</v>
      </c>
      <c r="P529">
        <v>0.42066488842616101</v>
      </c>
      <c r="Q529">
        <v>1968.6380342592099</v>
      </c>
      <c r="R529">
        <v>0.44625912556266401</v>
      </c>
      <c r="S529">
        <v>0.31353745593868099</v>
      </c>
      <c r="T529">
        <v>0.152040045539274</v>
      </c>
      <c r="U529">
        <v>0.23451884914385701</v>
      </c>
      <c r="V529">
        <v>0.39219784666556001</v>
      </c>
      <c r="W529">
        <v>0.260284008089612</v>
      </c>
      <c r="X529">
        <v>0.38253227910873899</v>
      </c>
      <c r="Y529">
        <v>0.66926777997629305</v>
      </c>
      <c r="Z529">
        <v>3.6032737227264399E-4</v>
      </c>
      <c r="AA529">
        <v>4.5501257617550799E-2</v>
      </c>
    </row>
    <row r="530" spans="1:27" x14ac:dyDescent="0.55000000000000004">
      <c r="A530">
        <v>1083</v>
      </c>
      <c r="B530">
        <v>12.05469637</v>
      </c>
      <c r="C530">
        <v>-7.1321236929999996</v>
      </c>
      <c r="D530">
        <v>-2.5888450820000002</v>
      </c>
      <c r="E530">
        <v>26.999961110000001</v>
      </c>
      <c r="F530">
        <v>8.1157321160000002</v>
      </c>
      <c r="G530">
        <v>12.17280742</v>
      </c>
      <c r="H530">
        <v>12.05469637</v>
      </c>
      <c r="I530">
        <v>7.1321236929999996</v>
      </c>
      <c r="J530">
        <v>2.5888450820000002</v>
      </c>
      <c r="K530">
        <v>26.999961110000001</v>
      </c>
      <c r="L530">
        <v>8.1157321160000002</v>
      </c>
      <c r="M530">
        <v>12.17280742</v>
      </c>
      <c r="N530">
        <v>0.132965744</v>
      </c>
      <c r="O530">
        <v>41.757453920000003</v>
      </c>
      <c r="P530">
        <v>22.295239086586498</v>
      </c>
      <c r="Q530">
        <v>14.087179660526999</v>
      </c>
      <c r="R530">
        <v>0.44816288188869302</v>
      </c>
      <c r="S530">
        <v>0.28920222993478301</v>
      </c>
      <c r="T530">
        <v>0.132520233150283</v>
      </c>
      <c r="U530">
        <v>0.219832907615643</v>
      </c>
      <c r="V530">
        <v>0.396552926019137</v>
      </c>
      <c r="W530">
        <v>0.26166886121440203</v>
      </c>
      <c r="X530">
        <v>0.18300731228002101</v>
      </c>
      <c r="Y530">
        <v>0.52866873967787897</v>
      </c>
      <c r="Z530">
        <v>1.9097350730450099E-2</v>
      </c>
      <c r="AA530">
        <v>3.2422565402227501E-4</v>
      </c>
    </row>
    <row r="531" spans="1:27" x14ac:dyDescent="0.55000000000000004">
      <c r="A531">
        <v>1084</v>
      </c>
      <c r="B531">
        <v>12.299424159999999</v>
      </c>
      <c r="C531">
        <v>-6.8802329200000001</v>
      </c>
      <c r="D531">
        <v>-2.324432609</v>
      </c>
      <c r="E531">
        <v>27.17164163</v>
      </c>
      <c r="F531">
        <v>7.6222857450000001</v>
      </c>
      <c r="G531">
        <v>12.10111768</v>
      </c>
      <c r="H531">
        <v>12.299424159999999</v>
      </c>
      <c r="I531">
        <v>6.8802329200000001</v>
      </c>
      <c r="J531">
        <v>2.324432609</v>
      </c>
      <c r="K531">
        <v>27.17164163</v>
      </c>
      <c r="L531">
        <v>7.6222857450000001</v>
      </c>
      <c r="M531">
        <v>12.10111768</v>
      </c>
      <c r="N531">
        <v>0.123410612</v>
      </c>
      <c r="O531">
        <v>36.853317259999997</v>
      </c>
      <c r="P531">
        <v>22.295239086586498</v>
      </c>
      <c r="Q531">
        <v>18.106676500296299</v>
      </c>
      <c r="R531">
        <v>0.45740812273155101</v>
      </c>
      <c r="S531">
        <v>0.27896398395712402</v>
      </c>
      <c r="T531">
        <v>0.11896101546535499</v>
      </c>
      <c r="U531">
        <v>0.22473225876872199</v>
      </c>
      <c r="V531">
        <v>0.37228446270569299</v>
      </c>
      <c r="W531">
        <v>0.25772225499568502</v>
      </c>
      <c r="X531">
        <v>0.16946507852686299</v>
      </c>
      <c r="Y531">
        <v>0.465058625179263</v>
      </c>
      <c r="Z531">
        <v>1.9097350730450099E-2</v>
      </c>
      <c r="AA531">
        <v>4.1713136521434401E-4</v>
      </c>
    </row>
    <row r="532" spans="1:27" x14ac:dyDescent="0.55000000000000004">
      <c r="A532">
        <v>1085</v>
      </c>
      <c r="B532">
        <v>11.76257425</v>
      </c>
      <c r="C532">
        <v>-7.3755239320000001</v>
      </c>
      <c r="D532">
        <v>-2.8993265899999998</v>
      </c>
      <c r="E532">
        <v>27.467527310000001</v>
      </c>
      <c r="F532">
        <v>8.0473799380000006</v>
      </c>
      <c r="G532">
        <v>12.211955680000001</v>
      </c>
      <c r="H532">
        <v>11.76257425</v>
      </c>
      <c r="I532">
        <v>7.3755239320000001</v>
      </c>
      <c r="J532">
        <v>2.8993265899999998</v>
      </c>
      <c r="K532">
        <v>27.467527310000001</v>
      </c>
      <c r="L532">
        <v>8.0473799380000006</v>
      </c>
      <c r="M532">
        <v>12.211955680000001</v>
      </c>
      <c r="N532">
        <v>0.12612125299999999</v>
      </c>
      <c r="O532">
        <v>37.146266939999997</v>
      </c>
      <c r="P532">
        <v>1.6665876393627801</v>
      </c>
      <c r="Q532">
        <v>331.43095491263398</v>
      </c>
      <c r="R532">
        <v>0.43712719462601402</v>
      </c>
      <c r="S532">
        <v>0.29909537325330798</v>
      </c>
      <c r="T532">
        <v>0.14844189639994601</v>
      </c>
      <c r="U532">
        <v>0.23317612792456799</v>
      </c>
      <c r="V532">
        <v>0.39319125913561098</v>
      </c>
      <c r="W532">
        <v>0.26382401990751397</v>
      </c>
      <c r="X532">
        <v>0.17330679772476601</v>
      </c>
      <c r="Y532">
        <v>0.46885838933329299</v>
      </c>
      <c r="Z532">
        <v>1.42754282868813E-3</v>
      </c>
      <c r="AA532">
        <v>7.6592355588604496E-3</v>
      </c>
    </row>
    <row r="533" spans="1:27" x14ac:dyDescent="0.55000000000000004">
      <c r="A533">
        <v>1086</v>
      </c>
      <c r="B533">
        <v>11.914545370000001</v>
      </c>
      <c r="C533">
        <v>-7.1014108450000002</v>
      </c>
      <c r="D533">
        <v>-2.6931765749999999</v>
      </c>
      <c r="E533">
        <v>27.276852420000001</v>
      </c>
      <c r="F533">
        <v>8.0634948170000005</v>
      </c>
      <c r="G533">
        <v>12.257697869999999</v>
      </c>
      <c r="H533">
        <v>11.914545370000001</v>
      </c>
      <c r="I533">
        <v>7.1014108450000002</v>
      </c>
      <c r="J533">
        <v>2.6931765749999999</v>
      </c>
      <c r="K533">
        <v>27.276852420000001</v>
      </c>
      <c r="L533">
        <v>8.0634948170000005</v>
      </c>
      <c r="M533">
        <v>12.257697869999999</v>
      </c>
      <c r="N533">
        <v>0.12011693399999999</v>
      </c>
      <c r="O533">
        <v>38.598110200000001</v>
      </c>
      <c r="P533">
        <v>23.332226951078901</v>
      </c>
      <c r="Q533">
        <v>19.204734766527299</v>
      </c>
      <c r="R533">
        <v>0.44286830643664699</v>
      </c>
      <c r="S533">
        <v>0.287953888486014</v>
      </c>
      <c r="T533">
        <v>0.13787040974721099</v>
      </c>
      <c r="U533">
        <v>0.22773472291143801</v>
      </c>
      <c r="V533">
        <v>0.39398381405707</v>
      </c>
      <c r="W533">
        <v>0.26634218236021201</v>
      </c>
      <c r="X533">
        <v>0.164797036538157</v>
      </c>
      <c r="Y533">
        <v>0.48768982132741001</v>
      </c>
      <c r="Z533">
        <v>1.9985599601633802E-2</v>
      </c>
      <c r="AA533">
        <v>4.4251162752607698E-4</v>
      </c>
    </row>
    <row r="534" spans="1:27" x14ac:dyDescent="0.55000000000000004">
      <c r="A534">
        <v>1087</v>
      </c>
      <c r="B534">
        <v>11.509736589999999</v>
      </c>
      <c r="C534">
        <v>-7.5308932950000003</v>
      </c>
      <c r="D534">
        <v>-3.1340949579999999</v>
      </c>
      <c r="E534">
        <v>27.596748309999999</v>
      </c>
      <c r="F534">
        <v>8.3185750820000006</v>
      </c>
      <c r="G534">
        <v>12.31830759</v>
      </c>
      <c r="H534">
        <v>11.509736589999999</v>
      </c>
      <c r="I534">
        <v>7.5308932950000003</v>
      </c>
      <c r="J534">
        <v>3.1340949579999999</v>
      </c>
      <c r="K534">
        <v>27.596748309999999</v>
      </c>
      <c r="L534">
        <v>8.3185750820000006</v>
      </c>
      <c r="M534">
        <v>12.31830759</v>
      </c>
      <c r="N534">
        <v>0.11580330899999999</v>
      </c>
      <c r="O534">
        <v>42.480258939999999</v>
      </c>
      <c r="P534">
        <v>23.332226951078901</v>
      </c>
      <c r="Q534">
        <v>25.362843125884499</v>
      </c>
      <c r="R534">
        <v>0.42757558195119399</v>
      </c>
      <c r="S534">
        <v>0.30541045076425</v>
      </c>
      <c r="T534">
        <v>0.16048094800416801</v>
      </c>
      <c r="U534">
        <v>0.23686378599638699</v>
      </c>
      <c r="V534">
        <v>0.406529059937774</v>
      </c>
      <c r="W534">
        <v>0.26967882018128198</v>
      </c>
      <c r="X534">
        <v>0.15868345086781099</v>
      </c>
      <c r="Y534">
        <v>0.53804403104310194</v>
      </c>
      <c r="Z534">
        <v>1.9985599601633802E-2</v>
      </c>
      <c r="AA534">
        <v>5.8484870590446195E-4</v>
      </c>
    </row>
    <row r="535" spans="1:27" x14ac:dyDescent="0.55000000000000004">
      <c r="A535">
        <v>1088</v>
      </c>
      <c r="B535">
        <v>11.159242190000001</v>
      </c>
      <c r="C535">
        <v>-7.7959378340000001</v>
      </c>
      <c r="D535">
        <v>-3.4053923949999998</v>
      </c>
      <c r="E535">
        <v>28.23431549</v>
      </c>
      <c r="F535">
        <v>8.1588678940000001</v>
      </c>
      <c r="G535">
        <v>12.41198618</v>
      </c>
      <c r="H535">
        <v>11.159242190000001</v>
      </c>
      <c r="I535">
        <v>7.7959378340000001</v>
      </c>
      <c r="J535">
        <v>3.4053923949999998</v>
      </c>
      <c r="K535">
        <v>28.23431549</v>
      </c>
      <c r="L535">
        <v>8.1588678940000001</v>
      </c>
      <c r="M535">
        <v>12.41198618</v>
      </c>
      <c r="N535">
        <v>0.13437549800000001</v>
      </c>
      <c r="O535">
        <v>47.222743989999998</v>
      </c>
      <c r="P535">
        <v>1.9443522459232401</v>
      </c>
      <c r="Q535">
        <v>380.798380881056</v>
      </c>
      <c r="R535">
        <v>0.41433472711377101</v>
      </c>
      <c r="S535">
        <v>0.31618333915947999</v>
      </c>
      <c r="T535">
        <v>0.174393230446479</v>
      </c>
      <c r="U535">
        <v>0.25505842740648099</v>
      </c>
      <c r="V535">
        <v>0.398674410961398</v>
      </c>
      <c r="W535">
        <v>0.27483593898035502</v>
      </c>
      <c r="X535">
        <v>0.185005319026809</v>
      </c>
      <c r="Y535">
        <v>0.59955741004393803</v>
      </c>
      <c r="Z535">
        <v>1.66546663346949E-3</v>
      </c>
      <c r="AA535">
        <v>8.8003027128232807E-3</v>
      </c>
    </row>
    <row r="536" spans="1:27" x14ac:dyDescent="0.55000000000000004">
      <c r="A536">
        <v>1089</v>
      </c>
      <c r="B536">
        <v>10.48284956</v>
      </c>
      <c r="C536">
        <v>-8.2615533540000001</v>
      </c>
      <c r="D536">
        <v>-4.0626459749999997</v>
      </c>
      <c r="E536">
        <v>28.537930339999999</v>
      </c>
      <c r="F536">
        <v>8.0276139919999991</v>
      </c>
      <c r="G536">
        <v>12.517821100000001</v>
      </c>
      <c r="H536">
        <v>10.48284956</v>
      </c>
      <c r="I536">
        <v>8.2615533540000001</v>
      </c>
      <c r="J536">
        <v>4.0626459749999997</v>
      </c>
      <c r="K536">
        <v>28.537930339999999</v>
      </c>
      <c r="L536">
        <v>8.0276139919999991</v>
      </c>
      <c r="M536">
        <v>12.517821100000001</v>
      </c>
      <c r="N536">
        <v>0.139232457</v>
      </c>
      <c r="O536">
        <v>36.832008360000003</v>
      </c>
      <c r="P536">
        <v>2.1211115410071701</v>
      </c>
      <c r="Q536">
        <v>399.126838801502</v>
      </c>
      <c r="R536">
        <v>0.38878220294524701</v>
      </c>
      <c r="S536">
        <v>0.33510855094076097</v>
      </c>
      <c r="T536">
        <v>0.20809755711573499</v>
      </c>
      <c r="U536">
        <v>0.26372286857569199</v>
      </c>
      <c r="V536">
        <v>0.39221913903594502</v>
      </c>
      <c r="W536">
        <v>0.28066227833420598</v>
      </c>
      <c r="X536">
        <v>0.19188895748491799</v>
      </c>
      <c r="Y536">
        <v>0.46478223370349198</v>
      </c>
      <c r="Z536">
        <v>1.81687269105762E-3</v>
      </c>
      <c r="AA536">
        <v>9.2239424085446605E-3</v>
      </c>
    </row>
    <row r="537" spans="1:27" x14ac:dyDescent="0.55000000000000004">
      <c r="A537">
        <v>1090</v>
      </c>
      <c r="B537">
        <v>10.81802953</v>
      </c>
      <c r="C537">
        <v>-7.9144599089999996</v>
      </c>
      <c r="D537">
        <v>-3.7095703580000001</v>
      </c>
      <c r="E537">
        <v>27.958692930000002</v>
      </c>
      <c r="F537">
        <v>8.6273975390000004</v>
      </c>
      <c r="G537">
        <v>12.611821620000001</v>
      </c>
      <c r="H537">
        <v>10.81802953</v>
      </c>
      <c r="I537">
        <v>7.9144599089999996</v>
      </c>
      <c r="J537">
        <v>3.7095703580000001</v>
      </c>
      <c r="K537">
        <v>27.958692930000002</v>
      </c>
      <c r="L537">
        <v>8.6273975390000004</v>
      </c>
      <c r="M537">
        <v>12.611821620000001</v>
      </c>
      <c r="N537">
        <v>9.8161943000000002E-2</v>
      </c>
      <c r="O537">
        <v>38.294010159999999</v>
      </c>
      <c r="P537">
        <v>11.6661134755395</v>
      </c>
      <c r="Q537">
        <v>29.0642888343958</v>
      </c>
      <c r="R537">
        <v>0.40144451460324099</v>
      </c>
      <c r="S537">
        <v>0.32100073736418699</v>
      </c>
      <c r="T537">
        <v>0.189991644426272</v>
      </c>
      <c r="U537">
        <v>0.24719281919915101</v>
      </c>
      <c r="V537">
        <v>0.42171743076900298</v>
      </c>
      <c r="W537">
        <v>0.28583711976611298</v>
      </c>
      <c r="X537">
        <v>0.13368081332214299</v>
      </c>
      <c r="Y537">
        <v>0.48374542913271201</v>
      </c>
      <c r="Z537">
        <v>9.9927998008169198E-3</v>
      </c>
      <c r="AA537">
        <v>6.7040305753017699E-4</v>
      </c>
    </row>
    <row r="538" spans="1:27" x14ac:dyDescent="0.55000000000000004">
      <c r="A538">
        <v>1091</v>
      </c>
      <c r="B538">
        <v>10.99872594</v>
      </c>
      <c r="C538">
        <v>-7.7771490669999999</v>
      </c>
      <c r="D538">
        <v>-3.5479505150000001</v>
      </c>
      <c r="E538">
        <v>28.153973480000001</v>
      </c>
      <c r="F538">
        <v>8.1876923759999993</v>
      </c>
      <c r="G538">
        <v>12.347999379999999</v>
      </c>
      <c r="H538">
        <v>10.99872594</v>
      </c>
      <c r="I538">
        <v>7.7771490669999999</v>
      </c>
      <c r="J538">
        <v>3.5479505150000001</v>
      </c>
      <c r="K538">
        <v>28.153973480000001</v>
      </c>
      <c r="L538">
        <v>8.1876923759999993</v>
      </c>
      <c r="M538">
        <v>12.347999379999999</v>
      </c>
      <c r="N538">
        <v>9.2758030000000005E-2</v>
      </c>
      <c r="O538">
        <v>38.809295650000003</v>
      </c>
      <c r="P538">
        <v>23.332226951078901</v>
      </c>
      <c r="Q538">
        <v>14.072902696063901</v>
      </c>
      <c r="R538">
        <v>0.40827080037115498</v>
      </c>
      <c r="S538">
        <v>0.31541965887110801</v>
      </c>
      <c r="T538">
        <v>0.18170368959351799</v>
      </c>
      <c r="U538">
        <v>0.25276565872582801</v>
      </c>
      <c r="V538">
        <v>0.40009204401142701</v>
      </c>
      <c r="W538">
        <v>0.27131338885259898</v>
      </c>
      <c r="X538">
        <v>0.12602199154681501</v>
      </c>
      <c r="Y538">
        <v>0.49042904569782902</v>
      </c>
      <c r="Z538">
        <v>1.9985599601633802E-2</v>
      </c>
      <c r="AA538">
        <v>3.2389565960009101E-4</v>
      </c>
    </row>
    <row r="539" spans="1:27" x14ac:dyDescent="0.55000000000000004">
      <c r="A539">
        <v>1092</v>
      </c>
      <c r="B539">
        <v>11.612561510000001</v>
      </c>
      <c r="C539">
        <v>-6.986838691</v>
      </c>
      <c r="D539">
        <v>-2.769118448</v>
      </c>
      <c r="E539">
        <v>27.972540590000001</v>
      </c>
      <c r="F539">
        <v>8.1295114510000008</v>
      </c>
      <c r="G539">
        <v>12.230972059999999</v>
      </c>
      <c r="H539">
        <v>11.612561510000001</v>
      </c>
      <c r="I539">
        <v>6.986838691</v>
      </c>
      <c r="J539">
        <v>2.769118448</v>
      </c>
      <c r="K539">
        <v>27.972540590000001</v>
      </c>
      <c r="L539">
        <v>8.1295114510000008</v>
      </c>
      <c r="M539">
        <v>12.230972059999999</v>
      </c>
      <c r="N539">
        <v>9.8703466000000004E-2</v>
      </c>
      <c r="O539">
        <v>43.138908389999997</v>
      </c>
      <c r="P539">
        <v>23.332226951078901</v>
      </c>
      <c r="Q539">
        <v>12.9133472916598</v>
      </c>
      <c r="R539">
        <v>0.43146006580996499</v>
      </c>
      <c r="S539">
        <v>0.28329703710209198</v>
      </c>
      <c r="T539">
        <v>0.14176475094725</v>
      </c>
      <c r="U539">
        <v>0.24758799827356501</v>
      </c>
      <c r="V539">
        <v>0.397230615238441</v>
      </c>
      <c r="W539">
        <v>0.26487089444723799</v>
      </c>
      <c r="X539">
        <v>0.13444829942790301</v>
      </c>
      <c r="Y539">
        <v>0.54658717937554502</v>
      </c>
      <c r="Z539">
        <v>1.9985599601633802E-2</v>
      </c>
      <c r="AA539">
        <v>2.9709396679941799E-4</v>
      </c>
    </row>
    <row r="540" spans="1:27" x14ac:dyDescent="0.55000000000000004">
      <c r="A540">
        <v>1093</v>
      </c>
      <c r="B540">
        <v>10.91666882</v>
      </c>
      <c r="C540">
        <v>-7.7397640770000002</v>
      </c>
      <c r="D540">
        <v>-3.5731027960000001</v>
      </c>
      <c r="E540">
        <v>27.800013610000001</v>
      </c>
      <c r="F540">
        <v>8.2421629979999995</v>
      </c>
      <c r="G540">
        <v>12.27339572</v>
      </c>
      <c r="H540">
        <v>10.91666882</v>
      </c>
      <c r="I540">
        <v>7.7397640770000002</v>
      </c>
      <c r="J540">
        <v>3.5731027960000001</v>
      </c>
      <c r="K540">
        <v>27.800013610000001</v>
      </c>
      <c r="L540">
        <v>8.2421629979999995</v>
      </c>
      <c r="M540">
        <v>12.27339572</v>
      </c>
      <c r="N540">
        <v>9.7969248999999994E-2</v>
      </c>
      <c r="O540">
        <v>36.916633609999998</v>
      </c>
      <c r="P540">
        <v>23.332226951078901</v>
      </c>
      <c r="Q540">
        <v>65.214835862389407</v>
      </c>
      <c r="R540">
        <v>0.405170875196039</v>
      </c>
      <c r="S540">
        <v>0.31390012435647002</v>
      </c>
      <c r="T540">
        <v>0.18299351245808201</v>
      </c>
      <c r="U540">
        <v>0.242664491177942</v>
      </c>
      <c r="V540">
        <v>0.40277099428719498</v>
      </c>
      <c r="W540">
        <v>0.26720636784101398</v>
      </c>
      <c r="X540">
        <v>0.13340771325499201</v>
      </c>
      <c r="Y540">
        <v>0.46587988293620602</v>
      </c>
      <c r="Z540">
        <v>1.9985599601633802E-2</v>
      </c>
      <c r="AA540">
        <v>1.50597835849519E-3</v>
      </c>
    </row>
    <row r="541" spans="1:27" x14ac:dyDescent="0.55000000000000004">
      <c r="A541">
        <v>1094</v>
      </c>
      <c r="B541">
        <v>10.30829138</v>
      </c>
      <c r="C541">
        <v>-8.3058677119999995</v>
      </c>
      <c r="D541">
        <v>-4.2541617790000004</v>
      </c>
      <c r="E541">
        <v>28.275673390000001</v>
      </c>
      <c r="F541">
        <v>7.976732545</v>
      </c>
      <c r="G541">
        <v>12.317675789999999</v>
      </c>
      <c r="H541">
        <v>10.30829138</v>
      </c>
      <c r="I541">
        <v>8.3058677119999995</v>
      </c>
      <c r="J541">
        <v>4.2541617790000004</v>
      </c>
      <c r="K541">
        <v>28.275673390000001</v>
      </c>
      <c r="L541">
        <v>7.976732545</v>
      </c>
      <c r="M541">
        <v>12.317675789999999</v>
      </c>
      <c r="N541">
        <v>0.117859177</v>
      </c>
      <c r="O541">
        <v>36.434223179999996</v>
      </c>
      <c r="P541">
        <v>1.3724839382987599</v>
      </c>
      <c r="Q541">
        <v>687.392295369002</v>
      </c>
      <c r="R541">
        <v>0.38218780508307099</v>
      </c>
      <c r="S541">
        <v>0.33690973362062798</v>
      </c>
      <c r="T541">
        <v>0.21791859334400701</v>
      </c>
      <c r="U541">
        <v>0.25623868288947899</v>
      </c>
      <c r="V541">
        <v>0.38971670999314501</v>
      </c>
      <c r="W541">
        <v>0.26964403883308702</v>
      </c>
      <c r="X541">
        <v>0.16159717775527099</v>
      </c>
      <c r="Y541">
        <v>0.45962267910705601</v>
      </c>
      <c r="Z541">
        <v>1.1756235059784601E-3</v>
      </c>
      <c r="AA541">
        <v>1.5886842846612299E-2</v>
      </c>
    </row>
    <row r="542" spans="1:27" x14ac:dyDescent="0.55000000000000004">
      <c r="A542">
        <v>1095</v>
      </c>
      <c r="B542">
        <v>10.72635116</v>
      </c>
      <c r="C542">
        <v>-7.5863504410000004</v>
      </c>
      <c r="D542">
        <v>-3.7292894570000001</v>
      </c>
      <c r="E542">
        <v>28.232751459999999</v>
      </c>
      <c r="F542">
        <v>8.1521207279999999</v>
      </c>
      <c r="G542">
        <v>12.337328080000001</v>
      </c>
      <c r="H542">
        <v>10.72635116</v>
      </c>
      <c r="I542">
        <v>7.5863504410000004</v>
      </c>
      <c r="J542">
        <v>3.7292894570000001</v>
      </c>
      <c r="K542">
        <v>28.232751459999999</v>
      </c>
      <c r="L542">
        <v>8.1521207279999999</v>
      </c>
      <c r="M542">
        <v>12.337328080000001</v>
      </c>
      <c r="N542">
        <v>0.127725437</v>
      </c>
      <c r="O542">
        <v>34.820732120000002</v>
      </c>
      <c r="P542">
        <v>1.5554817967385901</v>
      </c>
      <c r="Q542">
        <v>287.52500870947301</v>
      </c>
      <c r="R542">
        <v>0.39798112121121698</v>
      </c>
      <c r="S542">
        <v>0.307664538499202</v>
      </c>
      <c r="T542">
        <v>0.19100285071642201</v>
      </c>
      <c r="U542">
        <v>0.25501379373351701</v>
      </c>
      <c r="V542">
        <v>0.39834257479811103</v>
      </c>
      <c r="W542">
        <v>0.27072592098143899</v>
      </c>
      <c r="X542">
        <v>0.17558036492520601</v>
      </c>
      <c r="Y542">
        <v>0.43869456103354998</v>
      </c>
      <c r="Z542">
        <v>1.3323733067755899E-3</v>
      </c>
      <c r="AA542">
        <v>6.6444037726512096E-3</v>
      </c>
    </row>
    <row r="543" spans="1:27" x14ac:dyDescent="0.55000000000000004">
      <c r="A543">
        <v>1096</v>
      </c>
      <c r="B543">
        <v>12.04288371</v>
      </c>
      <c r="C543">
        <v>-6.6117325889999998</v>
      </c>
      <c r="D543">
        <v>-2.3578983560000002</v>
      </c>
      <c r="E543">
        <v>27.263785630000001</v>
      </c>
      <c r="F543">
        <v>8.1585071669999998</v>
      </c>
      <c r="G543">
        <v>12.199914079999999</v>
      </c>
      <c r="H543">
        <v>12.04288371</v>
      </c>
      <c r="I543">
        <v>6.6117325889999998</v>
      </c>
      <c r="J543">
        <v>2.3578983560000002</v>
      </c>
      <c r="K543">
        <v>27.263785630000001</v>
      </c>
      <c r="L543">
        <v>8.1585071669999998</v>
      </c>
      <c r="M543">
        <v>12.199914079999999</v>
      </c>
      <c r="N543">
        <v>9.6570402E-2</v>
      </c>
      <c r="O543">
        <v>31.922542570000001</v>
      </c>
      <c r="P543">
        <v>23.332226951078901</v>
      </c>
      <c r="Q543">
        <v>4.30157180958129</v>
      </c>
      <c r="R543">
        <v>0.44771662735137702</v>
      </c>
      <c r="S543">
        <v>0.268050632899756</v>
      </c>
      <c r="T543">
        <v>0.120677157459011</v>
      </c>
      <c r="U543">
        <v>0.22736182799794699</v>
      </c>
      <c r="V543">
        <v>0.398656669844065</v>
      </c>
      <c r="W543">
        <v>0.263161115376917</v>
      </c>
      <c r="X543">
        <v>0.13142516470842</v>
      </c>
      <c r="Y543">
        <v>0.40110299662673898</v>
      </c>
      <c r="Z543">
        <v>1.9985599601633802E-2</v>
      </c>
      <c r="AA543" s="1">
        <v>9.8043399605823905E-5</v>
      </c>
    </row>
    <row r="544" spans="1:27" x14ac:dyDescent="0.55000000000000004">
      <c r="A544">
        <v>1097</v>
      </c>
      <c r="B544">
        <v>12.01570465</v>
      </c>
      <c r="C544">
        <v>-6.1514368990000001</v>
      </c>
      <c r="D544">
        <v>-2.1503563159999999</v>
      </c>
      <c r="E544">
        <v>27.797824559999999</v>
      </c>
      <c r="F544">
        <v>8.2378817439999992</v>
      </c>
      <c r="G544">
        <v>12.202961760000001</v>
      </c>
      <c r="H544">
        <v>12.01570465</v>
      </c>
      <c r="I544">
        <v>6.1514368990000001</v>
      </c>
      <c r="J544">
        <v>2.1503563159999999</v>
      </c>
      <c r="K544">
        <v>27.797824559999999</v>
      </c>
      <c r="L544">
        <v>8.2378817439999992</v>
      </c>
      <c r="M544">
        <v>12.202961760000001</v>
      </c>
      <c r="N544">
        <v>0.10094855</v>
      </c>
      <c r="O544">
        <v>40.913620000000002</v>
      </c>
      <c r="P544">
        <v>23.332226951078901</v>
      </c>
      <c r="Q544">
        <v>13.07069834953</v>
      </c>
      <c r="R544">
        <v>0.44668986633015201</v>
      </c>
      <c r="S544">
        <v>0.24934164868191799</v>
      </c>
      <c r="T544">
        <v>0.11003428699528001</v>
      </c>
      <c r="U544">
        <v>0.24260202093005501</v>
      </c>
      <c r="V544">
        <v>0.40256043552794402</v>
      </c>
      <c r="W544">
        <v>0.26332889381830399</v>
      </c>
      <c r="X544">
        <v>0.13763019710587099</v>
      </c>
      <c r="Y544">
        <v>0.51772361804070599</v>
      </c>
      <c r="Z544">
        <v>1.9985599601633802E-2</v>
      </c>
      <c r="AA544">
        <v>3.0073094240134297E-4</v>
      </c>
    </row>
    <row r="545" spans="1:27" x14ac:dyDescent="0.55000000000000004">
      <c r="A545">
        <v>1098</v>
      </c>
      <c r="B545">
        <v>12.00984328</v>
      </c>
      <c r="C545">
        <v>-5.0173906959999997</v>
      </c>
      <c r="D545">
        <v>-1.3228620849999999</v>
      </c>
      <c r="E545">
        <v>28.04966477</v>
      </c>
      <c r="F545">
        <v>8.1314256559999993</v>
      </c>
      <c r="G545">
        <v>12.284541219999999</v>
      </c>
      <c r="H545">
        <v>12.00984328</v>
      </c>
      <c r="I545">
        <v>5.0173906959999997</v>
      </c>
      <c r="J545">
        <v>1.3228620849999999</v>
      </c>
      <c r="K545">
        <v>28.04966477</v>
      </c>
      <c r="L545">
        <v>8.1314256559999993</v>
      </c>
      <c r="M545">
        <v>12.284541219999999</v>
      </c>
      <c r="N545">
        <v>9.9552586999999998E-2</v>
      </c>
      <c r="O545">
        <v>29.810178759999999</v>
      </c>
      <c r="P545">
        <v>11.6661134755395</v>
      </c>
      <c r="Q545">
        <v>86.109158059380903</v>
      </c>
      <c r="R545">
        <v>0.44646843754464599</v>
      </c>
      <c r="S545">
        <v>0.203247685659525</v>
      </c>
      <c r="T545">
        <v>6.7599925696633298E-2</v>
      </c>
      <c r="U545">
        <v>0.24978893778733899</v>
      </c>
      <c r="V545">
        <v>0.39732475883042401</v>
      </c>
      <c r="W545">
        <v>0.26781994099124101</v>
      </c>
      <c r="X545">
        <v>0.135651735975584</v>
      </c>
      <c r="Y545">
        <v>0.37370414681229902</v>
      </c>
      <c r="Z545">
        <v>9.9927998008169198E-3</v>
      </c>
      <c r="AA545">
        <v>1.98892484184139E-3</v>
      </c>
    </row>
    <row r="546" spans="1:27" x14ac:dyDescent="0.55000000000000004">
      <c r="A546">
        <v>1099</v>
      </c>
      <c r="B546">
        <v>12.59621185</v>
      </c>
      <c r="C546">
        <v>-4.6647751</v>
      </c>
      <c r="D546">
        <v>-0.97638280499999996</v>
      </c>
      <c r="E546">
        <v>27.915572350000001</v>
      </c>
      <c r="F546">
        <v>8.0465566020000008</v>
      </c>
      <c r="G546">
        <v>12.223950670000001</v>
      </c>
      <c r="H546">
        <v>12.59621185</v>
      </c>
      <c r="I546">
        <v>4.6647751</v>
      </c>
      <c r="J546">
        <v>0.97638280499999996</v>
      </c>
      <c r="K546">
        <v>27.915572350000001</v>
      </c>
      <c r="L546">
        <v>8.0465566020000008</v>
      </c>
      <c r="M546">
        <v>12.223950670000001</v>
      </c>
      <c r="N546">
        <v>0.10208845900000001</v>
      </c>
      <c r="O546">
        <v>37.728176120000001</v>
      </c>
      <c r="P546">
        <v>11.6661134755395</v>
      </c>
      <c r="Q546">
        <v>73.044435029641505</v>
      </c>
      <c r="R546">
        <v>0.46862006426563502</v>
      </c>
      <c r="S546">
        <v>0.18891542106559001</v>
      </c>
      <c r="T546">
        <v>4.9832276812547101E-2</v>
      </c>
      <c r="U546">
        <v>0.245962261047624</v>
      </c>
      <c r="V546">
        <v>0.39315076618503902</v>
      </c>
      <c r="W546">
        <v>0.26448435850167601</v>
      </c>
      <c r="X546">
        <v>0.13924575973078601</v>
      </c>
      <c r="Y546">
        <v>0.47640616218993198</v>
      </c>
      <c r="Z546">
        <v>9.9927998008169198E-3</v>
      </c>
      <c r="AA546">
        <v>1.68694988502689E-3</v>
      </c>
    </row>
    <row r="547" spans="1:27" x14ac:dyDescent="0.55000000000000004">
      <c r="A547">
        <v>1100</v>
      </c>
      <c r="B547">
        <v>13.084402470000001</v>
      </c>
      <c r="C547">
        <v>-3.9936350850000002</v>
      </c>
      <c r="D547">
        <v>-0.33263368199999999</v>
      </c>
      <c r="E547">
        <v>27.89778957</v>
      </c>
      <c r="F547">
        <v>8.0738621520000002</v>
      </c>
      <c r="G547">
        <v>12.12956118</v>
      </c>
      <c r="H547">
        <v>13.084402470000001</v>
      </c>
      <c r="I547">
        <v>3.9936350850000002</v>
      </c>
      <c r="J547">
        <v>0.33263368199999999</v>
      </c>
      <c r="K547">
        <v>27.89778957</v>
      </c>
      <c r="L547">
        <v>8.0738621520000002</v>
      </c>
      <c r="M547">
        <v>12.12956118</v>
      </c>
      <c r="N547">
        <v>0.11496587799999999</v>
      </c>
      <c r="O547">
        <v>32.628677369999998</v>
      </c>
      <c r="P547">
        <v>2.33322269510789</v>
      </c>
      <c r="Q547">
        <v>279.80530908789001</v>
      </c>
      <c r="R547">
        <v>0.48706275873496602</v>
      </c>
      <c r="S547">
        <v>0.161636547460245</v>
      </c>
      <c r="T547">
        <v>1.68204661585236E-2</v>
      </c>
      <c r="U547">
        <v>0.245454783066442</v>
      </c>
      <c r="V547">
        <v>0.39449369578665999</v>
      </c>
      <c r="W547">
        <v>0.25928810380448297</v>
      </c>
      <c r="X547">
        <v>0.157496582245363</v>
      </c>
      <c r="Y547">
        <v>0.410262063470414</v>
      </c>
      <c r="Z547">
        <v>1.9985599601633798E-3</v>
      </c>
      <c r="AA547">
        <v>6.4659724385508098E-3</v>
      </c>
    </row>
    <row r="548" spans="1:27" x14ac:dyDescent="0.55000000000000004">
      <c r="A548">
        <v>1101</v>
      </c>
      <c r="B548">
        <v>12.613777689999999</v>
      </c>
      <c r="C548">
        <v>-5.5532563179999999</v>
      </c>
      <c r="D548">
        <v>-1.416471754</v>
      </c>
      <c r="E548">
        <v>27.284358480000002</v>
      </c>
      <c r="F548">
        <v>7.5349393840000003</v>
      </c>
      <c r="G548">
        <v>11.94603345</v>
      </c>
      <c r="H548">
        <v>12.613777689999999</v>
      </c>
      <c r="I548">
        <v>5.5532563179999999</v>
      </c>
      <c r="J548">
        <v>1.416471754</v>
      </c>
      <c r="K548">
        <v>27.284358480000002</v>
      </c>
      <c r="L548">
        <v>7.5349393840000003</v>
      </c>
      <c r="M548">
        <v>11.94603345</v>
      </c>
      <c r="N548">
        <v>0.100531518</v>
      </c>
      <c r="O548">
        <v>30.593126300000002</v>
      </c>
      <c r="P548">
        <v>23.332226951078901</v>
      </c>
      <c r="Q548">
        <v>10.920130538977199</v>
      </c>
      <c r="R548">
        <v>0.469283660424482</v>
      </c>
      <c r="S548">
        <v>0.22502825341778501</v>
      </c>
      <c r="T548">
        <v>7.2400281235779906E-2</v>
      </c>
      <c r="U548">
        <v>0.22794892789937801</v>
      </c>
      <c r="V548">
        <v>0.36798863223237199</v>
      </c>
      <c r="W548">
        <v>0.24918468202439401</v>
      </c>
      <c r="X548">
        <v>0.13703914877430001</v>
      </c>
      <c r="Y548">
        <v>0.38385952911883697</v>
      </c>
      <c r="Z548">
        <v>1.9985599601633802E-2</v>
      </c>
      <c r="AA548">
        <v>2.5102322029808399E-4</v>
      </c>
    </row>
    <row r="549" spans="1:27" x14ac:dyDescent="0.55000000000000004">
      <c r="A549">
        <v>1102</v>
      </c>
      <c r="B549">
        <v>12.60942376</v>
      </c>
      <c r="C549">
        <v>-6.2266343019999999</v>
      </c>
      <c r="D549">
        <v>-1.7967233540000001</v>
      </c>
      <c r="E549">
        <v>26.831544130000001</v>
      </c>
      <c r="F549">
        <v>7.4858389799999996</v>
      </c>
      <c r="G549">
        <v>11.87642819</v>
      </c>
      <c r="H549">
        <v>12.60942376</v>
      </c>
      <c r="I549">
        <v>6.2266343019999999</v>
      </c>
      <c r="J549">
        <v>1.7967233540000001</v>
      </c>
      <c r="K549">
        <v>26.831544130000001</v>
      </c>
      <c r="L549">
        <v>7.4858389799999996</v>
      </c>
      <c r="M549">
        <v>11.87642819</v>
      </c>
      <c r="N549">
        <v>0.129623294</v>
      </c>
      <c r="O549">
        <v>38.283172610000001</v>
      </c>
      <c r="P549">
        <v>22.295239086586498</v>
      </c>
      <c r="Q549">
        <v>14.035729613229</v>
      </c>
      <c r="R549">
        <v>0.46911917917998203</v>
      </c>
      <c r="S549">
        <v>0.25239809056593698</v>
      </c>
      <c r="T549">
        <v>9.1899793346322201E-2</v>
      </c>
      <c r="U549">
        <v>0.215026690083443</v>
      </c>
      <c r="V549">
        <v>0.36557379766638998</v>
      </c>
      <c r="W549">
        <v>0.24535282893117</v>
      </c>
      <c r="X549">
        <v>0.17827014703643901</v>
      </c>
      <c r="Y549">
        <v>0.48360485845856899</v>
      </c>
      <c r="Z549">
        <v>1.9097350730450099E-2</v>
      </c>
      <c r="AA549">
        <v>3.2303644964530099E-4</v>
      </c>
    </row>
    <row r="550" spans="1:27" x14ac:dyDescent="0.55000000000000004">
      <c r="A550">
        <v>1103</v>
      </c>
      <c r="B550">
        <v>13.15319573</v>
      </c>
      <c r="C550">
        <v>-5.3642728919999998</v>
      </c>
      <c r="D550">
        <v>-1.0154664980000001</v>
      </c>
      <c r="E550">
        <v>26.636810669999999</v>
      </c>
      <c r="F550">
        <v>7.9773821199999997</v>
      </c>
      <c r="G550">
        <v>12.234578839999999</v>
      </c>
      <c r="H550">
        <v>13.15319573</v>
      </c>
      <c r="I550">
        <v>5.3642728919999998</v>
      </c>
      <c r="J550">
        <v>1.0154664980000001</v>
      </c>
      <c r="K550">
        <v>26.636810669999999</v>
      </c>
      <c r="L550">
        <v>7.9773821199999997</v>
      </c>
      <c r="M550">
        <v>12.234578839999999</v>
      </c>
      <c r="N550">
        <v>8.9281036999999994E-2</v>
      </c>
      <c r="O550">
        <v>33.845878599999999</v>
      </c>
      <c r="P550">
        <v>20.775109148864701</v>
      </c>
      <c r="Q550">
        <v>15.248715829264601</v>
      </c>
      <c r="R550">
        <v>0.48966160644680701</v>
      </c>
      <c r="S550">
        <v>0.217346912898462</v>
      </c>
      <c r="T550">
        <v>5.1836510180607198E-2</v>
      </c>
      <c r="U550">
        <v>0.20946946319600099</v>
      </c>
      <c r="V550">
        <v>0.38974865710631301</v>
      </c>
      <c r="W550">
        <v>0.26506945201457699</v>
      </c>
      <c r="X550">
        <v>0.121094142097525</v>
      </c>
      <c r="Y550">
        <v>0.42605002269261</v>
      </c>
      <c r="Z550">
        <v>1.7795258635192199E-2</v>
      </c>
      <c r="AA550">
        <v>3.5107312974713901E-4</v>
      </c>
    </row>
    <row r="551" spans="1:27" x14ac:dyDescent="0.55000000000000004">
      <c r="A551">
        <v>1104</v>
      </c>
      <c r="B551">
        <v>13.45032204</v>
      </c>
      <c r="C551">
        <v>-4.4058026760000004</v>
      </c>
      <c r="D551">
        <v>-0.27271385999999997</v>
      </c>
      <c r="E551">
        <v>26.825395100000001</v>
      </c>
      <c r="F551">
        <v>7.9809922279999999</v>
      </c>
      <c r="G551">
        <v>12.17316464</v>
      </c>
      <c r="H551">
        <v>13.45032204</v>
      </c>
      <c r="I551">
        <v>4.4058026760000004</v>
      </c>
      <c r="J551">
        <v>0.27271385999999997</v>
      </c>
      <c r="K551">
        <v>26.825395100000001</v>
      </c>
      <c r="L551">
        <v>7.9809922279999999</v>
      </c>
      <c r="M551">
        <v>12.17316464</v>
      </c>
      <c r="N551">
        <v>0.105951883</v>
      </c>
      <c r="O551">
        <v>32.807380680000001</v>
      </c>
      <c r="P551">
        <v>10.8706966476618</v>
      </c>
      <c r="Q551">
        <v>24.1827022596235</v>
      </c>
      <c r="R551">
        <v>0.50088634024879897</v>
      </c>
      <c r="S551">
        <v>0.178389337292198</v>
      </c>
      <c r="T551">
        <v>1.37477445848326E-2</v>
      </c>
      <c r="U551">
        <v>0.214851211483886</v>
      </c>
      <c r="V551">
        <v>0.389926207856921</v>
      </c>
      <c r="W551">
        <v>0.26168852660408598</v>
      </c>
      <c r="X551">
        <v>0.14472128753046101</v>
      </c>
      <c r="Y551">
        <v>0.41257997155464399</v>
      </c>
      <c r="Z551">
        <v>9.3114725416703105E-3</v>
      </c>
      <c r="AA551">
        <v>5.5757120554621002E-4</v>
      </c>
    </row>
    <row r="552" spans="1:27" x14ac:dyDescent="0.55000000000000004">
      <c r="A552">
        <v>1105</v>
      </c>
      <c r="B552">
        <v>13.38861539</v>
      </c>
      <c r="C552">
        <v>-5.1992649870000003</v>
      </c>
      <c r="D552">
        <v>-0.79205681400000005</v>
      </c>
      <c r="E552">
        <v>26.676114519999999</v>
      </c>
      <c r="F552">
        <v>7.9004625009999998</v>
      </c>
      <c r="G552">
        <v>12.164606790000001</v>
      </c>
      <c r="H552">
        <v>13.38861539</v>
      </c>
      <c r="I552">
        <v>5.1992649870000003</v>
      </c>
      <c r="J552">
        <v>0.79205681400000005</v>
      </c>
      <c r="K552">
        <v>26.676114519999999</v>
      </c>
      <c r="L552">
        <v>7.9004625009999998</v>
      </c>
      <c r="M552">
        <v>12.164606790000001</v>
      </c>
      <c r="N552">
        <v>9.6540219999999996E-2</v>
      </c>
      <c r="O552">
        <v>37.919563289999999</v>
      </c>
      <c r="P552">
        <v>10.3875545744324</v>
      </c>
      <c r="Q552">
        <v>36.469894103926698</v>
      </c>
      <c r="R552">
        <v>0.498555208010585</v>
      </c>
      <c r="S552">
        <v>0.21064007128005899</v>
      </c>
      <c r="T552">
        <v>4.0379938166786797E-2</v>
      </c>
      <c r="U552">
        <v>0.21059110100801301</v>
      </c>
      <c r="V552">
        <v>0.38596563009163998</v>
      </c>
      <c r="W552">
        <v>0.26121740669168497</v>
      </c>
      <c r="X552">
        <v>0.13138238856475801</v>
      </c>
      <c r="Y552">
        <v>0.478888588892386</v>
      </c>
      <c r="Z552">
        <v>8.8976293175960803E-3</v>
      </c>
      <c r="AA552">
        <v>8.4157448813466202E-4</v>
      </c>
    </row>
    <row r="553" spans="1:27" x14ac:dyDescent="0.55000000000000004">
      <c r="A553">
        <v>1106</v>
      </c>
      <c r="B553">
        <v>13.77099585</v>
      </c>
      <c r="C553">
        <v>-4.2007246199999999</v>
      </c>
      <c r="D553">
        <v>4.6250049999999997E-3</v>
      </c>
      <c r="E553">
        <v>26.741592579999999</v>
      </c>
      <c r="F553">
        <v>8.0046774870000004</v>
      </c>
      <c r="G553">
        <v>12.24603385</v>
      </c>
      <c r="H553">
        <v>13.77099585</v>
      </c>
      <c r="I553">
        <v>4.2007246199999999</v>
      </c>
      <c r="J553">
        <v>4.6250049999999997E-3</v>
      </c>
      <c r="K553">
        <v>26.741592579999999</v>
      </c>
      <c r="L553">
        <v>8.0046774870000004</v>
      </c>
      <c r="M553">
        <v>12.24603385</v>
      </c>
      <c r="N553">
        <v>9.9878781E-2</v>
      </c>
      <c r="O553">
        <v>30.68255615</v>
      </c>
      <c r="P553">
        <v>21.741393295323501</v>
      </c>
      <c r="Q553">
        <v>24.493764251183499</v>
      </c>
      <c r="R553">
        <v>0.513000643268685</v>
      </c>
      <c r="S553">
        <v>0.170053821239182</v>
      </c>
      <c r="T553">
        <v>0</v>
      </c>
      <c r="U553">
        <v>0.21245968812996699</v>
      </c>
      <c r="V553">
        <v>0.39109108589208802</v>
      </c>
      <c r="W553">
        <v>0.26570006406173302</v>
      </c>
      <c r="X553">
        <v>0.136114042032359</v>
      </c>
      <c r="Y553">
        <v>0.385019497405303</v>
      </c>
      <c r="Z553">
        <v>1.86229450833406E-2</v>
      </c>
      <c r="AA553">
        <v>5.6476101976991096E-4</v>
      </c>
    </row>
    <row r="554" spans="1:27" x14ac:dyDescent="0.55000000000000004">
      <c r="A554">
        <v>1107</v>
      </c>
      <c r="B554">
        <v>13.789199829999999</v>
      </c>
      <c r="C554">
        <v>-4.2705554660000002</v>
      </c>
      <c r="D554">
        <v>-2.6476016000000002E-2</v>
      </c>
      <c r="E554">
        <v>27.15633381</v>
      </c>
      <c r="F554">
        <v>7.6096516200000002</v>
      </c>
      <c r="G554">
        <v>11.93698011</v>
      </c>
      <c r="H554">
        <v>13.789199829999999</v>
      </c>
      <c r="I554">
        <v>4.2705554660000002</v>
      </c>
      <c r="J554">
        <v>2.6476016000000002E-2</v>
      </c>
      <c r="K554">
        <v>27.15633381</v>
      </c>
      <c r="L554">
        <v>7.6096516200000002</v>
      </c>
      <c r="M554">
        <v>11.93698011</v>
      </c>
      <c r="N554">
        <v>9.3858979999999995E-2</v>
      </c>
      <c r="O554">
        <v>33.707752229999997</v>
      </c>
      <c r="P554">
        <v>21.741393295323501</v>
      </c>
      <c r="Q554">
        <v>13.992797636174901</v>
      </c>
      <c r="R554">
        <v>0.51368834685722597</v>
      </c>
      <c r="S554">
        <v>0.172892136313851</v>
      </c>
      <c r="T554">
        <v>1.12053191524268E-3</v>
      </c>
      <c r="U554">
        <v>0.22429541022255001</v>
      </c>
      <c r="V554">
        <v>0.37166309670306402</v>
      </c>
      <c r="W554">
        <v>0.24868628479287699</v>
      </c>
      <c r="X554">
        <v>0.127582338620046</v>
      </c>
      <c r="Y554">
        <v>0.42425842616499998</v>
      </c>
      <c r="Z554">
        <v>1.86229450833406E-2</v>
      </c>
      <c r="AA554">
        <v>3.2204412995452903E-4</v>
      </c>
    </row>
    <row r="555" spans="1:27" x14ac:dyDescent="0.55000000000000004">
      <c r="A555">
        <v>1108</v>
      </c>
      <c r="B555">
        <v>13.54538951</v>
      </c>
      <c r="C555">
        <v>-5.0527785410000003</v>
      </c>
      <c r="D555">
        <v>-0.62719489500000003</v>
      </c>
      <c r="E555">
        <v>26.722110310000001</v>
      </c>
      <c r="F555">
        <v>7.7509133349999999</v>
      </c>
      <c r="G555">
        <v>12.040819709999999</v>
      </c>
      <c r="H555">
        <v>13.54538951</v>
      </c>
      <c r="I555">
        <v>5.0527785410000003</v>
      </c>
      <c r="J555">
        <v>0.62719489500000003</v>
      </c>
      <c r="K555">
        <v>26.722110310000001</v>
      </c>
      <c r="L555">
        <v>7.7509133349999999</v>
      </c>
      <c r="M555">
        <v>12.040819709999999</v>
      </c>
      <c r="N555">
        <v>0.107848719</v>
      </c>
      <c r="O555">
        <v>34.857749939999998</v>
      </c>
      <c r="P555">
        <v>6.92503638295491</v>
      </c>
      <c r="Q555">
        <v>93.333148939209494</v>
      </c>
      <c r="R555">
        <v>0.50447776587508897</v>
      </c>
      <c r="S555">
        <v>0.20468604506195201</v>
      </c>
      <c r="T555">
        <v>3.1925727885731399E-2</v>
      </c>
      <c r="U555">
        <v>0.21190371077162101</v>
      </c>
      <c r="V555">
        <v>0.37861056850455799</v>
      </c>
      <c r="W555">
        <v>0.25440277938623201</v>
      </c>
      <c r="X555">
        <v>0.14740962260562299</v>
      </c>
      <c r="Y555">
        <v>0.43917470829125099</v>
      </c>
      <c r="Z555">
        <v>5.9317528783973802E-3</v>
      </c>
      <c r="AA555">
        <v>2.1558984798587299E-3</v>
      </c>
    </row>
    <row r="556" spans="1:27" x14ac:dyDescent="0.55000000000000004">
      <c r="A556">
        <v>1109</v>
      </c>
      <c r="B556">
        <v>13.839603220000001</v>
      </c>
      <c r="C556">
        <v>-4.5501677000000003</v>
      </c>
      <c r="D556">
        <v>-0.15330750600000001</v>
      </c>
      <c r="E556">
        <v>26.67113771</v>
      </c>
      <c r="F556">
        <v>7.8813523879999998</v>
      </c>
      <c r="G556">
        <v>12.118617609999999</v>
      </c>
      <c r="H556">
        <v>13.839603220000001</v>
      </c>
      <c r="I556">
        <v>4.5501677000000003</v>
      </c>
      <c r="J556">
        <v>0.15330750600000001</v>
      </c>
      <c r="K556">
        <v>26.67113771</v>
      </c>
      <c r="L556">
        <v>7.8813523879999998</v>
      </c>
      <c r="M556">
        <v>12.118617609999999</v>
      </c>
      <c r="N556">
        <v>0.10609842799999999</v>
      </c>
      <c r="O556">
        <v>32.626819609999998</v>
      </c>
      <c r="P556">
        <v>4.1550218297729398</v>
      </c>
      <c r="Q556">
        <v>116.733893013827</v>
      </c>
      <c r="R556">
        <v>0.51559246849313201</v>
      </c>
      <c r="S556">
        <v>0.184257137087638</v>
      </c>
      <c r="T556">
        <v>7.6245207880130403E-3</v>
      </c>
      <c r="U556">
        <v>0.21044907476175001</v>
      </c>
      <c r="V556">
        <v>0.38502576488335699</v>
      </c>
      <c r="W556">
        <v>0.25868564714308401</v>
      </c>
      <c r="X556">
        <v>0.14492898185068101</v>
      </c>
      <c r="Y556">
        <v>0.41023796701175003</v>
      </c>
      <c r="Z556">
        <v>3.55905172703843E-3</v>
      </c>
      <c r="AA556">
        <v>2.6967778131040299E-3</v>
      </c>
    </row>
    <row r="557" spans="1:27" x14ac:dyDescent="0.55000000000000004">
      <c r="A557">
        <v>1110</v>
      </c>
      <c r="B557">
        <v>14.139725889999999</v>
      </c>
      <c r="C557">
        <v>-3.9703844140000002</v>
      </c>
      <c r="D557">
        <v>0.34822910899999998</v>
      </c>
      <c r="E557">
        <v>26.620021699999999</v>
      </c>
      <c r="F557">
        <v>7.885520971</v>
      </c>
      <c r="G557">
        <v>12.085362809999999</v>
      </c>
      <c r="H557">
        <v>14.139725889999999</v>
      </c>
      <c r="I557">
        <v>3.9703844140000002</v>
      </c>
      <c r="J557">
        <v>0.34822910899999998</v>
      </c>
      <c r="K557">
        <v>26.620021699999999</v>
      </c>
      <c r="L557">
        <v>7.885520971</v>
      </c>
      <c r="M557">
        <v>12.085362809999999</v>
      </c>
      <c r="N557">
        <v>0.12505571500000001</v>
      </c>
      <c r="O557">
        <v>39.76765442</v>
      </c>
      <c r="P557">
        <v>2.1741393295323501</v>
      </c>
      <c r="Q557">
        <v>399.50596076431202</v>
      </c>
      <c r="R557">
        <v>0.52693039773505301</v>
      </c>
      <c r="S557">
        <v>0.16069151050629699</v>
      </c>
      <c r="T557">
        <v>1.7620208270471501E-2</v>
      </c>
      <c r="U557">
        <v>0.20899034617370499</v>
      </c>
      <c r="V557">
        <v>0.38523078230683</v>
      </c>
      <c r="W557">
        <v>0.25685493049545599</v>
      </c>
      <c r="X557">
        <v>0.17179663913471499</v>
      </c>
      <c r="Y557">
        <v>0.50285963548699197</v>
      </c>
      <c r="Z557">
        <v>1.86229450833406E-3</v>
      </c>
      <c r="AA557">
        <v>9.2327053450482702E-3</v>
      </c>
    </row>
    <row r="558" spans="1:27" x14ac:dyDescent="0.55000000000000004">
      <c r="A558">
        <v>1111</v>
      </c>
      <c r="B558">
        <v>14.42324195</v>
      </c>
      <c r="C558">
        <v>-3.332485642</v>
      </c>
      <c r="D558">
        <v>0.92223707200000005</v>
      </c>
      <c r="E558">
        <v>26.56614308</v>
      </c>
      <c r="F558">
        <v>7.9340360329999999</v>
      </c>
      <c r="G558">
        <v>12.0955944</v>
      </c>
      <c r="H558">
        <v>14.42324195</v>
      </c>
      <c r="I558">
        <v>3.332485642</v>
      </c>
      <c r="J558">
        <v>0.92223707200000005</v>
      </c>
      <c r="K558">
        <v>26.56614308</v>
      </c>
      <c r="L558">
        <v>7.9340360329999999</v>
      </c>
      <c r="M558">
        <v>12.0955944</v>
      </c>
      <c r="N558">
        <v>0.15624633399999999</v>
      </c>
      <c r="O558">
        <v>36.790184019999998</v>
      </c>
      <c r="P558">
        <v>0.94527796936189301</v>
      </c>
      <c r="Q558">
        <v>678.00288787632405</v>
      </c>
      <c r="R558">
        <v>0.53764096827352104</v>
      </c>
      <c r="S558">
        <v>0.134763746425068</v>
      </c>
      <c r="T558">
        <v>4.7055653712558397E-2</v>
      </c>
      <c r="U558">
        <v>0.207452779308092</v>
      </c>
      <c r="V558">
        <v>0.38761682883891901</v>
      </c>
      <c r="W558">
        <v>0.257418191803439</v>
      </c>
      <c r="X558">
        <v>0.21600227160569399</v>
      </c>
      <c r="Y558">
        <v>0.46423974248828398</v>
      </c>
      <c r="Z558">
        <v>8.09693264493071E-4</v>
      </c>
      <c r="AA558">
        <v>1.56698182747434E-2</v>
      </c>
    </row>
    <row r="559" spans="1:27" x14ac:dyDescent="0.55000000000000004">
      <c r="A559">
        <v>1112</v>
      </c>
      <c r="B559">
        <v>14.641946669999999</v>
      </c>
      <c r="C559">
        <v>-1.1217437619999999</v>
      </c>
      <c r="D559">
        <v>2.4524277510000001</v>
      </c>
      <c r="E559">
        <v>27.551384500000001</v>
      </c>
      <c r="F559">
        <v>8.0347991459999992</v>
      </c>
      <c r="G559">
        <v>12.0997428</v>
      </c>
      <c r="H559">
        <v>14.641946669999999</v>
      </c>
      <c r="I559">
        <v>1.1217437619999999</v>
      </c>
      <c r="J559">
        <v>2.4524277510000001</v>
      </c>
      <c r="K559">
        <v>27.551384500000001</v>
      </c>
      <c r="L559">
        <v>8.0347991459999992</v>
      </c>
      <c r="M559">
        <v>12.0997428</v>
      </c>
      <c r="N559">
        <v>0.10319173299999999</v>
      </c>
      <c r="O559">
        <v>32.836074830000001</v>
      </c>
      <c r="P559">
        <v>3.62356554922059</v>
      </c>
      <c r="Q559">
        <v>104.961259744109</v>
      </c>
      <c r="R559">
        <v>0.54590311868100005</v>
      </c>
      <c r="S559">
        <v>4.4906865639077899E-2</v>
      </c>
      <c r="T559">
        <v>0.125524677055523</v>
      </c>
      <c r="U559">
        <v>0.23556921142944401</v>
      </c>
      <c r="V559">
        <v>0.39257251613323102</v>
      </c>
      <c r="W559">
        <v>0.25764656620175203</v>
      </c>
      <c r="X559">
        <v>0.14080940054723801</v>
      </c>
      <c r="Y559">
        <v>0.41295215493644599</v>
      </c>
      <c r="Z559">
        <v>3.1038241805567699E-3</v>
      </c>
      <c r="AA559">
        <v>2.42466791723224E-3</v>
      </c>
    </row>
    <row r="560" spans="1:27" x14ac:dyDescent="0.55000000000000004">
      <c r="A560">
        <v>1113</v>
      </c>
      <c r="B560">
        <v>14.36425051</v>
      </c>
      <c r="C560">
        <v>-0.88299521700000005</v>
      </c>
      <c r="D560">
        <v>2.5911639599999998</v>
      </c>
      <c r="E560">
        <v>28.028368310000001</v>
      </c>
      <c r="F560">
        <v>7.8654713159999998</v>
      </c>
      <c r="G560">
        <v>12.049341500000001</v>
      </c>
      <c r="H560">
        <v>14.36425051</v>
      </c>
      <c r="I560">
        <v>0.88299521700000005</v>
      </c>
      <c r="J560">
        <v>2.5911639599999998</v>
      </c>
      <c r="K560">
        <v>28.028368310000001</v>
      </c>
      <c r="L560">
        <v>7.8654713159999998</v>
      </c>
      <c r="M560">
        <v>12.049341500000001</v>
      </c>
      <c r="N560">
        <v>0.15502333600000001</v>
      </c>
      <c r="O560">
        <v>43.691421509999998</v>
      </c>
      <c r="P560">
        <v>0.53027788525179398</v>
      </c>
      <c r="Q560">
        <v>1035.1720845786199</v>
      </c>
      <c r="R560">
        <v>0.53541241028888398</v>
      </c>
      <c r="S560">
        <v>3.52027931103151E-2</v>
      </c>
      <c r="T560">
        <v>0.132639146495141</v>
      </c>
      <c r="U560">
        <v>0.249181187788344</v>
      </c>
      <c r="V560">
        <v>0.38424470895537599</v>
      </c>
      <c r="W560">
        <v>0.25487191415235899</v>
      </c>
      <c r="X560">
        <v>0.21426894915701999</v>
      </c>
      <c r="Y560">
        <v>0.55375366458217601</v>
      </c>
      <c r="Z560">
        <v>4.5421817276440499E-4</v>
      </c>
      <c r="AA560">
        <v>2.3925343669666199E-2</v>
      </c>
    </row>
    <row r="561" spans="1:27" x14ac:dyDescent="0.55000000000000004">
      <c r="A561">
        <v>1114</v>
      </c>
      <c r="B561">
        <v>14.293785829999999</v>
      </c>
      <c r="C561">
        <v>-1.1973805259999999</v>
      </c>
      <c r="D561">
        <v>2.4245350870000002</v>
      </c>
      <c r="E561">
        <v>27.06061863</v>
      </c>
      <c r="F561">
        <v>7.8722689619999997</v>
      </c>
      <c r="G561">
        <v>11.55874062</v>
      </c>
      <c r="H561">
        <v>14.293785829999999</v>
      </c>
      <c r="I561">
        <v>1.1973805259999999</v>
      </c>
      <c r="J561">
        <v>2.4245350870000002</v>
      </c>
      <c r="K561">
        <v>27.06061863</v>
      </c>
      <c r="L561">
        <v>7.8722689619999997</v>
      </c>
      <c r="M561">
        <v>11.55874062</v>
      </c>
      <c r="N561">
        <v>9.9019349000000006E-2</v>
      </c>
      <c r="O561">
        <v>28.48722076</v>
      </c>
      <c r="P561">
        <v>7.2471310984411801</v>
      </c>
      <c r="Q561">
        <v>58.090395479856099</v>
      </c>
      <c r="R561">
        <v>0.53275042025695996</v>
      </c>
      <c r="S561">
        <v>4.7981165604746502E-2</v>
      </c>
      <c r="T561">
        <v>0.124094325836847</v>
      </c>
      <c r="U561">
        <v>0.221563928063128</v>
      </c>
      <c r="V561">
        <v>0.38457902780391601</v>
      </c>
      <c r="W561">
        <v>0.22786374695973299</v>
      </c>
      <c r="X561">
        <v>0.134895991979367</v>
      </c>
      <c r="Y561">
        <v>0.35654444762543702</v>
      </c>
      <c r="Z561">
        <v>6.2076483611135398E-3</v>
      </c>
      <c r="AA561">
        <v>1.34130570742209E-3</v>
      </c>
    </row>
    <row r="562" spans="1:27" x14ac:dyDescent="0.55000000000000004">
      <c r="A562">
        <v>1115</v>
      </c>
      <c r="B562">
        <v>14.5272129</v>
      </c>
      <c r="C562">
        <v>-0.81656527400000001</v>
      </c>
      <c r="D562">
        <v>2.7317482860000002</v>
      </c>
      <c r="E562">
        <v>27.15128357</v>
      </c>
      <c r="F562">
        <v>7.5753780490000002</v>
      </c>
      <c r="G562">
        <v>11.2739884</v>
      </c>
      <c r="H562">
        <v>14.5272129</v>
      </c>
      <c r="I562">
        <v>0.81656527400000001</v>
      </c>
      <c r="J562">
        <v>2.7317482860000002</v>
      </c>
      <c r="K562">
        <v>27.15128357</v>
      </c>
      <c r="L562">
        <v>7.5753780490000002</v>
      </c>
      <c r="M562">
        <v>11.2739884</v>
      </c>
      <c r="N562">
        <v>9.2344254000000001E-2</v>
      </c>
      <c r="O562">
        <v>27.095539089999999</v>
      </c>
      <c r="P562">
        <v>10.8706966476618</v>
      </c>
      <c r="Q562">
        <v>32.231142817417599</v>
      </c>
      <c r="R562">
        <v>0.541568746452741</v>
      </c>
      <c r="S562">
        <v>3.2502709702671301E-2</v>
      </c>
      <c r="T562">
        <v>0.139848388395477</v>
      </c>
      <c r="U562">
        <v>0.22415128845982801</v>
      </c>
      <c r="V562">
        <v>0.36997746894426897</v>
      </c>
      <c r="W562">
        <v>0.212187795530067</v>
      </c>
      <c r="X562">
        <v>0.125435557857207</v>
      </c>
      <c r="Y562">
        <v>0.33849335392399799</v>
      </c>
      <c r="Z562">
        <v>9.3114725416703105E-3</v>
      </c>
      <c r="AA562">
        <v>7.4360098086800896E-4</v>
      </c>
    </row>
    <row r="563" spans="1:27" x14ac:dyDescent="0.55000000000000004">
      <c r="A563">
        <v>1116</v>
      </c>
      <c r="B563">
        <v>12.944991</v>
      </c>
      <c r="C563">
        <v>-3.468795369</v>
      </c>
      <c r="D563">
        <v>0.41470512500000001</v>
      </c>
      <c r="E563">
        <v>27.20880073</v>
      </c>
      <c r="F563">
        <v>7.5844225410000004</v>
      </c>
      <c r="G563">
        <v>11.602892450000001</v>
      </c>
      <c r="H563">
        <v>12.944991</v>
      </c>
      <c r="I563">
        <v>3.468795369</v>
      </c>
      <c r="J563">
        <v>0.41470512500000001</v>
      </c>
      <c r="K563">
        <v>27.20880073</v>
      </c>
      <c r="L563">
        <v>7.5844225410000004</v>
      </c>
      <c r="M563">
        <v>11.602892450000001</v>
      </c>
      <c r="N563">
        <v>7.6907745999999999E-2</v>
      </c>
      <c r="O563">
        <v>20.096874239999998</v>
      </c>
      <c r="P563">
        <v>2.7176741619154399</v>
      </c>
      <c r="Q563">
        <v>186.33510422966401</v>
      </c>
      <c r="R563">
        <v>0.481796120988566</v>
      </c>
      <c r="S563">
        <v>0.140304134020661</v>
      </c>
      <c r="T563">
        <v>2.1029135094323501E-2</v>
      </c>
      <c r="U563">
        <v>0.225792690548824</v>
      </c>
      <c r="V563">
        <v>0.37042229118877401</v>
      </c>
      <c r="W563">
        <v>0.23029435818590999</v>
      </c>
      <c r="X563">
        <v>0.103557806752514</v>
      </c>
      <c r="Y563">
        <v>0.24771573019319101</v>
      </c>
      <c r="Z563">
        <v>2.3278681354175798E-3</v>
      </c>
      <c r="AA563">
        <v>4.3055239536303998E-3</v>
      </c>
    </row>
    <row r="564" spans="1:27" x14ac:dyDescent="0.55000000000000004">
      <c r="A564">
        <v>1117</v>
      </c>
      <c r="B564">
        <v>12.84275826</v>
      </c>
      <c r="C564">
        <v>-4.3606517089999999</v>
      </c>
      <c r="D564">
        <v>-0.218648963</v>
      </c>
      <c r="E564">
        <v>26.361071379999998</v>
      </c>
      <c r="F564">
        <v>7.6790116289999997</v>
      </c>
      <c r="G564">
        <v>11.51036538</v>
      </c>
      <c r="H564">
        <v>12.84275826</v>
      </c>
      <c r="I564">
        <v>4.3606517089999999</v>
      </c>
      <c r="J564">
        <v>0.218648963</v>
      </c>
      <c r="K564">
        <v>26.361071379999998</v>
      </c>
      <c r="L564">
        <v>7.6790116289999997</v>
      </c>
      <c r="M564">
        <v>11.51036538</v>
      </c>
      <c r="N564">
        <v>9.6541181000000004E-2</v>
      </c>
      <c r="O564">
        <v>30.08673859</v>
      </c>
      <c r="P564">
        <v>21.741393295323501</v>
      </c>
      <c r="Q564">
        <v>31.8560201904405</v>
      </c>
      <c r="R564">
        <v>0.47793400829868599</v>
      </c>
      <c r="S564">
        <v>0.17655415015624401</v>
      </c>
      <c r="T564">
        <v>1.0975266799580099E-2</v>
      </c>
      <c r="U564">
        <v>0.20160052379384399</v>
      </c>
      <c r="V564">
        <v>0.37507433028945297</v>
      </c>
      <c r="W564">
        <v>0.225200631944727</v>
      </c>
      <c r="X564">
        <v>0.131383750564429</v>
      </c>
      <c r="Y564">
        <v>0.37729132304160401</v>
      </c>
      <c r="Z564">
        <v>1.86229450833406E-2</v>
      </c>
      <c r="AA564">
        <v>7.3493048407877702E-4</v>
      </c>
    </row>
    <row r="565" spans="1:27" x14ac:dyDescent="0.55000000000000004">
      <c r="A565">
        <v>1118</v>
      </c>
      <c r="B565">
        <v>11.288786440000001</v>
      </c>
      <c r="C565">
        <v>-6.4930385099999999</v>
      </c>
      <c r="D565">
        <v>-2.1181905099999998</v>
      </c>
      <c r="E565">
        <v>27.019730719999998</v>
      </c>
      <c r="F565">
        <v>7.6392759379999999</v>
      </c>
      <c r="G565">
        <v>11.669421379999999</v>
      </c>
      <c r="H565">
        <v>11.288786440000001</v>
      </c>
      <c r="I565">
        <v>6.4930385099999999</v>
      </c>
      <c r="J565">
        <v>2.1181905099999998</v>
      </c>
      <c r="K565">
        <v>27.019730719999998</v>
      </c>
      <c r="L565">
        <v>7.6392759379999999</v>
      </c>
      <c r="M565">
        <v>11.669421379999999</v>
      </c>
      <c r="N565">
        <v>0.116782598</v>
      </c>
      <c r="O565">
        <v>41.966899869999999</v>
      </c>
      <c r="P565">
        <v>1.9764902995748701</v>
      </c>
      <c r="Q565">
        <v>205.01912843138501</v>
      </c>
      <c r="R565">
        <v>0.419228604474644</v>
      </c>
      <c r="S565">
        <v>0.26322624349310803</v>
      </c>
      <c r="T565">
        <v>0.10838480669423101</v>
      </c>
      <c r="U565">
        <v>0.22039708496988999</v>
      </c>
      <c r="V565">
        <v>0.37312006693695599</v>
      </c>
      <c r="W565">
        <v>0.23395685562086499</v>
      </c>
      <c r="X565">
        <v>0.160071371050378</v>
      </c>
      <c r="Y565">
        <v>0.53138540150531899</v>
      </c>
      <c r="Z565">
        <v>1.6929950075764201E-3</v>
      </c>
      <c r="AA565">
        <v>4.73738212533389E-3</v>
      </c>
    </row>
    <row r="566" spans="1:27" x14ac:dyDescent="0.55000000000000004">
      <c r="A566">
        <v>1119</v>
      </c>
      <c r="B566">
        <v>12.53344306</v>
      </c>
      <c r="C566">
        <v>-6.061662074</v>
      </c>
      <c r="D566">
        <v>-1.4788881780000001</v>
      </c>
      <c r="E566">
        <v>26.46782572</v>
      </c>
      <c r="F566">
        <v>8.0652484350000009</v>
      </c>
      <c r="G566">
        <v>11.78446143</v>
      </c>
      <c r="H566">
        <v>12.53344306</v>
      </c>
      <c r="I566">
        <v>6.061662074</v>
      </c>
      <c r="J566">
        <v>1.4788881780000001</v>
      </c>
      <c r="K566">
        <v>26.46782572</v>
      </c>
      <c r="L566">
        <v>8.0652484350000009</v>
      </c>
      <c r="M566">
        <v>11.78446143</v>
      </c>
      <c r="N566">
        <v>7.9548917999999996E-2</v>
      </c>
      <c r="O566">
        <v>27.036220549999999</v>
      </c>
      <c r="P566">
        <v>10.8706966476618</v>
      </c>
      <c r="Q566">
        <v>64.763378702681607</v>
      </c>
      <c r="R566">
        <v>0.46624880687404602</v>
      </c>
      <c r="S566">
        <v>0.24569269905980801</v>
      </c>
      <c r="T566">
        <v>7.5601029939229805E-2</v>
      </c>
      <c r="U566">
        <v>0.20464703715933999</v>
      </c>
      <c r="V566">
        <v>0.39407005972954801</v>
      </c>
      <c r="W566">
        <v>0.24028994842789</v>
      </c>
      <c r="X566">
        <v>0.107301069389419</v>
      </c>
      <c r="Y566">
        <v>0.33772395058496202</v>
      </c>
      <c r="Z566">
        <v>9.3114725416703105E-3</v>
      </c>
      <c r="AA566">
        <v>1.4955434831445201E-3</v>
      </c>
    </row>
    <row r="567" spans="1:27" x14ac:dyDescent="0.55000000000000004">
      <c r="A567">
        <v>1120</v>
      </c>
      <c r="B567">
        <v>12.748229869999999</v>
      </c>
      <c r="C567">
        <v>-6.1831658740000002</v>
      </c>
      <c r="D567">
        <v>-1.5084006480000001</v>
      </c>
      <c r="E567">
        <v>26.51874402</v>
      </c>
      <c r="F567">
        <v>8.0340201189999991</v>
      </c>
      <c r="G567">
        <v>11.86837734</v>
      </c>
      <c r="H567">
        <v>12.748229869999999</v>
      </c>
      <c r="I567">
        <v>6.1831658740000002</v>
      </c>
      <c r="J567">
        <v>1.5084006480000001</v>
      </c>
      <c r="K567">
        <v>26.51874402</v>
      </c>
      <c r="L567">
        <v>8.0340201189999991</v>
      </c>
      <c r="M567">
        <v>11.86837734</v>
      </c>
      <c r="N567">
        <v>8.9215114999999998E-2</v>
      </c>
      <c r="O567">
        <v>36.277717590000002</v>
      </c>
      <c r="P567">
        <v>21.741393295323501</v>
      </c>
      <c r="Q567">
        <v>40.247884122716698</v>
      </c>
      <c r="R567">
        <v>0.47436294784806199</v>
      </c>
      <c r="S567">
        <v>0.25063129119958599</v>
      </c>
      <c r="T567">
        <v>7.7114445704415294E-2</v>
      </c>
      <c r="U567">
        <v>0.206100123577169</v>
      </c>
      <c r="V567">
        <v>0.39253420236849201</v>
      </c>
      <c r="W567">
        <v>0.24490961997719801</v>
      </c>
      <c r="X567">
        <v>0.12100071260503099</v>
      </c>
      <c r="Y567">
        <v>0.45759269112145001</v>
      </c>
      <c r="Z567">
        <v>1.86229450833406E-2</v>
      </c>
      <c r="AA567">
        <v>9.2889806707106902E-4</v>
      </c>
    </row>
    <row r="568" spans="1:27" x14ac:dyDescent="0.55000000000000004">
      <c r="A568">
        <v>1121</v>
      </c>
      <c r="B568">
        <v>13.003222299999999</v>
      </c>
      <c r="C568">
        <v>-6.6754652219999997</v>
      </c>
      <c r="D568">
        <v>-1.8291004660000001</v>
      </c>
      <c r="E568">
        <v>26.736184160000001</v>
      </c>
      <c r="F568">
        <v>8.4111943759999992</v>
      </c>
      <c r="G568">
        <v>12.382584339999999</v>
      </c>
      <c r="H568">
        <v>13.003222299999999</v>
      </c>
      <c r="I568">
        <v>6.6754652219999997</v>
      </c>
      <c r="J568">
        <v>1.8291004660000001</v>
      </c>
      <c r="K568">
        <v>26.736184160000001</v>
      </c>
      <c r="L568">
        <v>8.4111943759999992</v>
      </c>
      <c r="M568">
        <v>12.382584339999999</v>
      </c>
      <c r="N568">
        <v>7.6779209000000001E-2</v>
      </c>
      <c r="O568">
        <v>28.00510216</v>
      </c>
      <c r="P568">
        <v>10.3875545744324</v>
      </c>
      <c r="Q568">
        <v>65.716241657624195</v>
      </c>
      <c r="R568">
        <v>0.48399596267018602</v>
      </c>
      <c r="S568">
        <v>0.27064108258430197</v>
      </c>
      <c r="T568">
        <v>9.3560109535783101E-2</v>
      </c>
      <c r="U568">
        <v>0.21230534476728799</v>
      </c>
      <c r="V568">
        <v>0.41108422149261697</v>
      </c>
      <c r="W568">
        <v>0.27321733240449397</v>
      </c>
      <c r="X568">
        <v>0.103375634690429</v>
      </c>
      <c r="Y568">
        <v>0.350291029037401</v>
      </c>
      <c r="Z568">
        <v>8.8976293175960803E-3</v>
      </c>
      <c r="AA568">
        <v>1.5175677349418099E-3</v>
      </c>
    </row>
    <row r="569" spans="1:27" x14ac:dyDescent="0.55000000000000004">
      <c r="A569">
        <v>1122</v>
      </c>
      <c r="B569">
        <v>11.415555189999999</v>
      </c>
      <c r="C569">
        <v>-6.8433869439999997</v>
      </c>
      <c r="D569">
        <v>-2.2948227999999999</v>
      </c>
      <c r="E569">
        <v>26.79341677</v>
      </c>
      <c r="F569">
        <v>7.8317630019999998</v>
      </c>
      <c r="G569">
        <v>11.78729564</v>
      </c>
      <c r="H569">
        <v>11.415555189999999</v>
      </c>
      <c r="I569">
        <v>6.8433869439999997</v>
      </c>
      <c r="J569">
        <v>2.2948227999999999</v>
      </c>
      <c r="K569">
        <v>26.79341677</v>
      </c>
      <c r="L569">
        <v>7.8317630019999998</v>
      </c>
      <c r="M569">
        <v>11.78729564</v>
      </c>
      <c r="N569">
        <v>0.116782598</v>
      </c>
      <c r="O569">
        <v>41.966899869999999</v>
      </c>
      <c r="P569">
        <v>10.8706966476618</v>
      </c>
      <c r="Q569">
        <v>16.145438861102601</v>
      </c>
      <c r="R569">
        <v>0.42401762996740999</v>
      </c>
      <c r="S569">
        <v>0.27746635797788699</v>
      </c>
      <c r="T569">
        <v>0.117442608102477</v>
      </c>
      <c r="U569">
        <v>0.21393862648030501</v>
      </c>
      <c r="V569">
        <v>0.38258688141880098</v>
      </c>
      <c r="W569">
        <v>0.240445975089601</v>
      </c>
      <c r="X569">
        <v>0.160071371050378</v>
      </c>
      <c r="Y569">
        <v>0.53138540150531899</v>
      </c>
      <c r="Z569">
        <v>9.3114725416703105E-3</v>
      </c>
      <c r="AA569">
        <v>3.71799776473399E-4</v>
      </c>
    </row>
    <row r="570" spans="1:27" x14ac:dyDescent="0.55000000000000004">
      <c r="A570">
        <v>1123</v>
      </c>
      <c r="B570">
        <v>13.076790859999999</v>
      </c>
      <c r="C570">
        <v>-6.9811438270000004</v>
      </c>
      <c r="D570">
        <v>-2.0543649340000001</v>
      </c>
      <c r="E570">
        <v>26.60603016</v>
      </c>
      <c r="F570">
        <v>8.199905953</v>
      </c>
      <c r="G570">
        <v>12.46122673</v>
      </c>
      <c r="H570">
        <v>13.076790859999999</v>
      </c>
      <c r="I570">
        <v>6.9811438270000004</v>
      </c>
      <c r="J570">
        <v>2.0543649340000001</v>
      </c>
      <c r="K570">
        <v>26.60603016</v>
      </c>
      <c r="L570">
        <v>8.199905953</v>
      </c>
      <c r="M570">
        <v>12.46122673</v>
      </c>
      <c r="N570">
        <v>8.9981041999999997E-2</v>
      </c>
      <c r="O570">
        <v>38.640586849999998</v>
      </c>
      <c r="P570">
        <v>20.775109148864701</v>
      </c>
      <c r="Q570">
        <v>47.310842872691303</v>
      </c>
      <c r="R570">
        <v>0.48677520999498902</v>
      </c>
      <c r="S570">
        <v>0.28306556606507499</v>
      </c>
      <c r="T570">
        <v>0.105111795897763</v>
      </c>
      <c r="U570">
        <v>0.208591061108444</v>
      </c>
      <c r="V570">
        <v>0.40069272680649898</v>
      </c>
      <c r="W570">
        <v>0.27754669034928198</v>
      </c>
      <c r="X570">
        <v>0.12208624051525301</v>
      </c>
      <c r="Y570">
        <v>0.48824077346380801</v>
      </c>
      <c r="Z570">
        <v>1.7795258635192199E-2</v>
      </c>
      <c r="AA570">
        <v>1.0921496460483801E-3</v>
      </c>
    </row>
    <row r="571" spans="1:27" x14ac:dyDescent="0.55000000000000004">
      <c r="A571">
        <v>1124</v>
      </c>
      <c r="B571">
        <v>12.293449450000001</v>
      </c>
      <c r="C571">
        <v>-7.123347227</v>
      </c>
      <c r="D571">
        <v>-2.3316190969999999</v>
      </c>
      <c r="E571">
        <v>26.866751820000001</v>
      </c>
      <c r="F571">
        <v>8.4801812969999997</v>
      </c>
      <c r="G571">
        <v>12.64870515</v>
      </c>
      <c r="H571">
        <v>12.293449450000001</v>
      </c>
      <c r="I571">
        <v>7.123347227</v>
      </c>
      <c r="J571">
        <v>2.3316190969999999</v>
      </c>
      <c r="K571">
        <v>26.866751820000001</v>
      </c>
      <c r="L571">
        <v>8.4801812969999997</v>
      </c>
      <c r="M571">
        <v>12.64870515</v>
      </c>
      <c r="N571">
        <v>7.7663257999999999E-2</v>
      </c>
      <c r="O571">
        <v>33.102642060000001</v>
      </c>
      <c r="P571">
        <v>20.775109148864701</v>
      </c>
      <c r="Q571">
        <v>22.876615934267701</v>
      </c>
      <c r="R571">
        <v>0.45718241222717299</v>
      </c>
      <c r="S571">
        <v>0.28884550540433501</v>
      </c>
      <c r="T571">
        <v>0.11932954254003</v>
      </c>
      <c r="U571">
        <v>0.21603143329250801</v>
      </c>
      <c r="V571">
        <v>0.414477106028384</v>
      </c>
      <c r="W571">
        <v>0.28786760235492198</v>
      </c>
      <c r="X571">
        <v>0.104628573760998</v>
      </c>
      <c r="Y571">
        <v>0.41640972008959198</v>
      </c>
      <c r="Z571">
        <v>1.7795258635192199E-2</v>
      </c>
      <c r="AA571">
        <v>5.2738263126127704E-4</v>
      </c>
    </row>
    <row r="572" spans="1:27" x14ac:dyDescent="0.55000000000000004">
      <c r="A572">
        <v>1125</v>
      </c>
      <c r="B572">
        <v>11.00054748</v>
      </c>
      <c r="C572">
        <v>-7.7733636339999999</v>
      </c>
      <c r="D572">
        <v>-3.088826579</v>
      </c>
      <c r="E572">
        <v>26.58659845</v>
      </c>
      <c r="F572">
        <v>7.9550743669999999</v>
      </c>
      <c r="G572">
        <v>12.04221871</v>
      </c>
      <c r="H572">
        <v>11.00054748</v>
      </c>
      <c r="I572">
        <v>7.7733636339999999</v>
      </c>
      <c r="J572">
        <v>3.088826579</v>
      </c>
      <c r="K572">
        <v>26.58659845</v>
      </c>
      <c r="L572">
        <v>7.9550743669999999</v>
      </c>
      <c r="M572">
        <v>12.04221871</v>
      </c>
      <c r="N572">
        <v>0.106560349</v>
      </c>
      <c r="O572">
        <v>38.740371699999997</v>
      </c>
      <c r="P572">
        <v>3.1059133279033602</v>
      </c>
      <c r="Q572">
        <v>349.97267118155099</v>
      </c>
      <c r="R572">
        <v>0.40833961387208501</v>
      </c>
      <c r="S572">
        <v>0.315265797760102</v>
      </c>
      <c r="T572">
        <v>0.15815956052142</v>
      </c>
      <c r="U572">
        <v>0.208036526611491</v>
      </c>
      <c r="V572">
        <v>0.38865152696795902</v>
      </c>
      <c r="W572">
        <v>0.254479796015111</v>
      </c>
      <c r="X572">
        <v>0.145583650164786</v>
      </c>
      <c r="Y572">
        <v>0.48953505341026599</v>
      </c>
      <c r="Z572">
        <v>2.6604207261915198E-3</v>
      </c>
      <c r="AA572">
        <v>8.0878044582414401E-3</v>
      </c>
    </row>
    <row r="573" spans="1:27" x14ac:dyDescent="0.55000000000000004">
      <c r="A573">
        <v>1126</v>
      </c>
      <c r="B573">
        <v>11.654821180000001</v>
      </c>
      <c r="C573">
        <v>-7.6498201860000004</v>
      </c>
      <c r="D573">
        <v>-2.8728790420000001</v>
      </c>
      <c r="E573">
        <v>26.71251921</v>
      </c>
      <c r="F573">
        <v>8.2435552469999998</v>
      </c>
      <c r="G573">
        <v>12.59796942</v>
      </c>
      <c r="H573">
        <v>11.654821180000001</v>
      </c>
      <c r="I573">
        <v>7.6498201860000004</v>
      </c>
      <c r="J573">
        <v>2.8728790420000001</v>
      </c>
      <c r="K573">
        <v>26.71251921</v>
      </c>
      <c r="L573">
        <v>8.2435552469999998</v>
      </c>
      <c r="M573">
        <v>12.59796942</v>
      </c>
      <c r="N573">
        <v>8.1282473999999993E-2</v>
      </c>
      <c r="O573">
        <v>34.194274900000003</v>
      </c>
      <c r="P573">
        <v>20.775109148864701</v>
      </c>
      <c r="Q573">
        <v>6.7958353205968702</v>
      </c>
      <c r="R573">
        <v>0.43305653684044998</v>
      </c>
      <c r="S573">
        <v>0.31024430294912603</v>
      </c>
      <c r="T573">
        <v>0.14708565152807601</v>
      </c>
      <c r="U573">
        <v>0.21163000373226501</v>
      </c>
      <c r="V573">
        <v>0.40283946726777697</v>
      </c>
      <c r="W573">
        <v>0.28507453953269402</v>
      </c>
      <c r="X573">
        <v>0.109757992075174</v>
      </c>
      <c r="Y573">
        <v>0.43056896864993899</v>
      </c>
      <c r="Z573">
        <v>1.7795258635192199E-2</v>
      </c>
      <c r="AA573">
        <v>1.5569522385869099E-4</v>
      </c>
    </row>
    <row r="574" spans="1:27" x14ac:dyDescent="0.55000000000000004">
      <c r="A574">
        <v>1127</v>
      </c>
      <c r="B574">
        <v>10.418856610000001</v>
      </c>
      <c r="C574">
        <v>-8.8020278540000003</v>
      </c>
      <c r="D574">
        <v>-4.0712499639999997</v>
      </c>
      <c r="E574">
        <v>26.72471578</v>
      </c>
      <c r="F574">
        <v>7.988834142</v>
      </c>
      <c r="G574">
        <v>12.300640680000001</v>
      </c>
      <c r="H574">
        <v>10.418856610000001</v>
      </c>
      <c r="I574">
        <v>8.8020278540000003</v>
      </c>
      <c r="J574">
        <v>4.0712499639999997</v>
      </c>
      <c r="K574">
        <v>26.72471578</v>
      </c>
      <c r="L574">
        <v>7.988834142</v>
      </c>
      <c r="M574">
        <v>12.300640680000001</v>
      </c>
      <c r="N574">
        <v>9.8158516000000001E-2</v>
      </c>
      <c r="O574">
        <v>32.600753779999998</v>
      </c>
      <c r="P574">
        <v>21.741393295323501</v>
      </c>
      <c r="Q574">
        <v>17.347610905467999</v>
      </c>
      <c r="R574">
        <v>0.38636469966539899</v>
      </c>
      <c r="S574">
        <v>0.35707644920773002</v>
      </c>
      <c r="T574">
        <v>0.20853877442475999</v>
      </c>
      <c r="U574">
        <v>0.211978064649678</v>
      </c>
      <c r="V574">
        <v>0.39031188543689899</v>
      </c>
      <c r="W574">
        <v>0.26870623558449802</v>
      </c>
      <c r="X574">
        <v>0.133675956326439</v>
      </c>
      <c r="Y574">
        <v>0.409899874795779</v>
      </c>
      <c r="Z574">
        <v>1.86229450833406E-2</v>
      </c>
      <c r="AA574">
        <v>3.9958650033692798E-4</v>
      </c>
    </row>
    <row r="575" spans="1:27" x14ac:dyDescent="0.55000000000000004">
      <c r="A575">
        <v>1128</v>
      </c>
      <c r="B575">
        <v>10.188420130000001</v>
      </c>
      <c r="C575">
        <v>-9.5876553799999993</v>
      </c>
      <c r="D575">
        <v>-4.7740014310000003</v>
      </c>
      <c r="E575">
        <v>26.966606240000001</v>
      </c>
      <c r="F575">
        <v>8.153723866</v>
      </c>
      <c r="G575">
        <v>12.42788116</v>
      </c>
      <c r="H575">
        <v>10.188420130000001</v>
      </c>
      <c r="I575">
        <v>9.5876553799999993</v>
      </c>
      <c r="J575">
        <v>4.7740014310000003</v>
      </c>
      <c r="K575">
        <v>26.966606240000001</v>
      </c>
      <c r="L575">
        <v>8.153723866</v>
      </c>
      <c r="M575">
        <v>12.42788116</v>
      </c>
      <c r="N575">
        <v>7.7494523999999995E-2</v>
      </c>
      <c r="O575">
        <v>23.934312819999999</v>
      </c>
      <c r="P575">
        <v>10.8706966476618</v>
      </c>
      <c r="Q575">
        <v>32.5346867483183</v>
      </c>
      <c r="R575">
        <v>0.37765935093250402</v>
      </c>
      <c r="S575">
        <v>0.38900873383336598</v>
      </c>
      <c r="T575">
        <v>0.244576257873792</v>
      </c>
      <c r="U575">
        <v>0.218881039454973</v>
      </c>
      <c r="V575">
        <v>0.39842141962913202</v>
      </c>
      <c r="W575">
        <v>0.27571097670422401</v>
      </c>
      <c r="X575">
        <v>0.104389431562847</v>
      </c>
      <c r="Y575">
        <v>0.29749001757106402</v>
      </c>
      <c r="Z575">
        <v>9.3114725416703105E-3</v>
      </c>
      <c r="AA575">
        <v>7.50617024393491E-4</v>
      </c>
    </row>
    <row r="576" spans="1:27" x14ac:dyDescent="0.55000000000000004">
      <c r="A576">
        <v>1129</v>
      </c>
      <c r="B576">
        <v>12.066479429999999</v>
      </c>
      <c r="C576">
        <v>-7.865211457</v>
      </c>
      <c r="D576">
        <v>-2.8920194700000001</v>
      </c>
      <c r="E576">
        <v>26.79302809</v>
      </c>
      <c r="F576">
        <v>7.999846507</v>
      </c>
      <c r="G576">
        <v>12.70687695</v>
      </c>
      <c r="H576">
        <v>12.066479429999999</v>
      </c>
      <c r="I576">
        <v>7.865211457</v>
      </c>
      <c r="J576">
        <v>2.8920194700000001</v>
      </c>
      <c r="K576">
        <v>26.79302809</v>
      </c>
      <c r="L576">
        <v>7.999846507</v>
      </c>
      <c r="M576">
        <v>12.70687695</v>
      </c>
      <c r="N576">
        <v>9.6720635999999999E-2</v>
      </c>
      <c r="O576">
        <v>35.322357179999997</v>
      </c>
      <c r="P576">
        <v>28.554852047603902</v>
      </c>
      <c r="Q576">
        <v>4.2236977593502898</v>
      </c>
      <c r="R576">
        <v>0.44860801820756302</v>
      </c>
      <c r="S576">
        <v>0.31899900558342498</v>
      </c>
      <c r="T576">
        <v>0.14806718324967</v>
      </c>
      <c r="U576">
        <v>0.21392753448334401</v>
      </c>
      <c r="V576">
        <v>0.39085349074945802</v>
      </c>
      <c r="W576">
        <v>0.29107002975435098</v>
      </c>
      <c r="X576">
        <v>0.13163808734995699</v>
      </c>
      <c r="Y576">
        <v>0.44520099217814502</v>
      </c>
      <c r="Z576">
        <v>2.44591243220748E-2</v>
      </c>
      <c r="AA576" s="1">
        <v>9.6243436996440898E-5</v>
      </c>
    </row>
    <row r="577" spans="1:27" x14ac:dyDescent="0.55000000000000004">
      <c r="A577">
        <v>1130</v>
      </c>
      <c r="B577">
        <v>11.82959222</v>
      </c>
      <c r="C577">
        <v>-8.125131498</v>
      </c>
      <c r="D577">
        <v>-3.111090323</v>
      </c>
      <c r="E577">
        <v>27.8935952</v>
      </c>
      <c r="F577">
        <v>8.2762964110000006</v>
      </c>
      <c r="G577">
        <v>13.28915179</v>
      </c>
      <c r="H577">
        <v>11.82959222</v>
      </c>
      <c r="I577">
        <v>8.125131498</v>
      </c>
      <c r="J577">
        <v>3.111090323</v>
      </c>
      <c r="K577">
        <v>27.8935952</v>
      </c>
      <c r="L577">
        <v>8.2762964110000006</v>
      </c>
      <c r="M577">
        <v>13.28915179</v>
      </c>
      <c r="N577">
        <v>9.9106252000000006E-2</v>
      </c>
      <c r="O577">
        <v>34.066883089999997</v>
      </c>
      <c r="P577">
        <v>25.081398760138899</v>
      </c>
      <c r="Q577">
        <v>4.9518407954007202</v>
      </c>
      <c r="R577">
        <v>0.439658976053246</v>
      </c>
      <c r="S577">
        <v>0.32956360579718902</v>
      </c>
      <c r="T577">
        <v>0.159301257612909</v>
      </c>
      <c r="U577">
        <v>0.24533508578514299</v>
      </c>
      <c r="V577">
        <v>0.40444972885661601</v>
      </c>
      <c r="W577">
        <v>0.32312495845888101</v>
      </c>
      <c r="X577">
        <v>0.135019157283609</v>
      </c>
      <c r="Y577">
        <v>0.428916606943467</v>
      </c>
      <c r="Z577">
        <v>2.1483881248029399E-2</v>
      </c>
      <c r="AA577">
        <v>1.13073565072298E-4</v>
      </c>
    </row>
    <row r="578" spans="1:27" x14ac:dyDescent="0.55000000000000004">
      <c r="A578">
        <v>1131</v>
      </c>
      <c r="B578">
        <v>8.9682053509999999</v>
      </c>
      <c r="C578">
        <v>-12.198016369999999</v>
      </c>
      <c r="D578">
        <v>-7.2070407960000002</v>
      </c>
      <c r="E578">
        <v>27.404366190000001</v>
      </c>
      <c r="F578">
        <v>8.9544021709999999</v>
      </c>
      <c r="G578">
        <v>13.052422030000001</v>
      </c>
      <c r="H578">
        <v>8.9682053509999999</v>
      </c>
      <c r="I578">
        <v>12.198016369999999</v>
      </c>
      <c r="J578">
        <v>7.2070407960000002</v>
      </c>
      <c r="K578">
        <v>27.404366190000001</v>
      </c>
      <c r="L578">
        <v>8.9544021709999999</v>
      </c>
      <c r="M578">
        <v>13.052422030000001</v>
      </c>
      <c r="N578">
        <v>8.7495342000000004E-2</v>
      </c>
      <c r="O578">
        <v>23.456535339999999</v>
      </c>
      <c r="P578">
        <v>1.8318690581425601</v>
      </c>
      <c r="Q578">
        <v>446.775819789043</v>
      </c>
      <c r="R578">
        <v>0.33156250385244701</v>
      </c>
      <c r="S578">
        <v>0.49510836419221499</v>
      </c>
      <c r="T578">
        <v>0.36934386059589402</v>
      </c>
      <c r="U578">
        <v>0.231373660725018</v>
      </c>
      <c r="V578">
        <v>0.43780002936819001</v>
      </c>
      <c r="W578">
        <v>0.31009270108186499</v>
      </c>
      <c r="X578">
        <v>0.118563324197589</v>
      </c>
      <c r="Y578">
        <v>0.29129290637399202</v>
      </c>
      <c r="Z578">
        <v>1.5691173240952199E-3</v>
      </c>
      <c r="AA578">
        <v>1.0325289826565999E-2</v>
      </c>
    </row>
    <row r="579" spans="1:27" x14ac:dyDescent="0.55000000000000004">
      <c r="A579">
        <v>1132</v>
      </c>
      <c r="B579">
        <v>9.737670821</v>
      </c>
      <c r="C579">
        <v>-10.42595983</v>
      </c>
      <c r="D579">
        <v>-5.4764671920000003</v>
      </c>
      <c r="E579">
        <v>27.996562189999999</v>
      </c>
      <c r="F579">
        <v>8.7828250719999996</v>
      </c>
      <c r="G579">
        <v>13.15756049</v>
      </c>
      <c r="H579">
        <v>9.737670821</v>
      </c>
      <c r="I579">
        <v>10.42595983</v>
      </c>
      <c r="J579">
        <v>5.4764671920000003</v>
      </c>
      <c r="K579">
        <v>27.996562189999999</v>
      </c>
      <c r="L579">
        <v>8.7828250719999996</v>
      </c>
      <c r="M579">
        <v>13.15756049</v>
      </c>
      <c r="N579">
        <v>9.5319919000000003E-2</v>
      </c>
      <c r="O579">
        <v>31.632852549999999</v>
      </c>
      <c r="P579">
        <v>19.254979211142899</v>
      </c>
      <c r="Q579">
        <v>4.9265011355865598</v>
      </c>
      <c r="R579">
        <v>0.36063110121285802</v>
      </c>
      <c r="S579">
        <v>0.423082102464721</v>
      </c>
      <c r="T579">
        <v>0.28059909016131102</v>
      </c>
      <c r="U579">
        <v>0.24827351724600699</v>
      </c>
      <c r="V579">
        <v>0.42936159962744502</v>
      </c>
      <c r="W579">
        <v>0.31588069947692599</v>
      </c>
      <c r="X579">
        <v>0.12965288850225701</v>
      </c>
      <c r="Y579">
        <v>0.397345512564028</v>
      </c>
      <c r="Z579">
        <v>1.6493166539934202E-2</v>
      </c>
      <c r="AA579">
        <v>1.12487870093487E-4</v>
      </c>
    </row>
    <row r="580" spans="1:27" x14ac:dyDescent="0.55000000000000004">
      <c r="A580">
        <v>1133</v>
      </c>
      <c r="B580">
        <v>10.42732975</v>
      </c>
      <c r="C580">
        <v>-9.6036809709999993</v>
      </c>
      <c r="D580">
        <v>-4.5437083740000004</v>
      </c>
      <c r="E580">
        <v>27.245798600000001</v>
      </c>
      <c r="F580">
        <v>9.2041410399999997</v>
      </c>
      <c r="G580">
        <v>13.474459339999999</v>
      </c>
      <c r="H580">
        <v>10.42732975</v>
      </c>
      <c r="I580">
        <v>9.6036809709999993</v>
      </c>
      <c r="J580">
        <v>4.5437083740000004</v>
      </c>
      <c r="K580">
        <v>27.245798600000001</v>
      </c>
      <c r="L580">
        <v>9.2041410399999997</v>
      </c>
      <c r="M580">
        <v>13.474459339999999</v>
      </c>
      <c r="N580">
        <v>0.10057682499999999</v>
      </c>
      <c r="O580">
        <v>33.292499540000001</v>
      </c>
      <c r="P580">
        <v>12.5406993800694</v>
      </c>
      <c r="Q580">
        <v>110.818768357948</v>
      </c>
      <c r="R580">
        <v>0.38668479498434599</v>
      </c>
      <c r="S580">
        <v>0.38966010323702099</v>
      </c>
      <c r="T580">
        <v>0.23276670268994701</v>
      </c>
      <c r="U580">
        <v>0.22684852121060201</v>
      </c>
      <c r="V580">
        <v>0.45008257705008903</v>
      </c>
      <c r="W580">
        <v>0.33332636146585398</v>
      </c>
      <c r="X580">
        <v>0.13710336117708499</v>
      </c>
      <c r="Y580">
        <v>0.41887230563287903</v>
      </c>
      <c r="Z580">
        <v>1.0741940624014699E-2</v>
      </c>
      <c r="AA580">
        <v>2.5600570032984502E-3</v>
      </c>
    </row>
    <row r="581" spans="1:27" x14ac:dyDescent="0.55000000000000004">
      <c r="A581">
        <v>1134</v>
      </c>
      <c r="B581">
        <v>8.9178166250000004</v>
      </c>
      <c r="C581">
        <v>-10.992805690000001</v>
      </c>
      <c r="D581">
        <v>-6.0943087690000004</v>
      </c>
      <c r="E581">
        <v>27.73352723</v>
      </c>
      <c r="F581">
        <v>9.4512597350000007</v>
      </c>
      <c r="G581">
        <v>13.71825291</v>
      </c>
      <c r="H581">
        <v>8.9178166250000004</v>
      </c>
      <c r="I581">
        <v>10.992805690000001</v>
      </c>
      <c r="J581">
        <v>6.0943087690000004</v>
      </c>
      <c r="K581">
        <v>27.73352723</v>
      </c>
      <c r="L581">
        <v>9.4512597350000007</v>
      </c>
      <c r="M581">
        <v>13.71825291</v>
      </c>
      <c r="N581">
        <v>0.106446654</v>
      </c>
      <c r="O581">
        <v>30.522899630000001</v>
      </c>
      <c r="P581">
        <v>3.2091632018571499</v>
      </c>
      <c r="Q581">
        <v>221.48014903607699</v>
      </c>
      <c r="R581">
        <v>0.32965893618800302</v>
      </c>
      <c r="S581">
        <v>0.44612187989276297</v>
      </c>
      <c r="T581">
        <v>0.31228234754433898</v>
      </c>
      <c r="U581">
        <v>0.24076712901642799</v>
      </c>
      <c r="V581">
        <v>0.46223626048182598</v>
      </c>
      <c r="W581">
        <v>0.346747490060339</v>
      </c>
      <c r="X581">
        <v>0.145422513273473</v>
      </c>
      <c r="Y581">
        <v>0.382948639633233</v>
      </c>
      <c r="Z581">
        <v>2.7488610899890301E-3</v>
      </c>
      <c r="AA581">
        <v>5.1178583110830502E-3</v>
      </c>
    </row>
    <row r="582" spans="1:27" x14ac:dyDescent="0.55000000000000004">
      <c r="A582">
        <v>1135</v>
      </c>
      <c r="B582">
        <v>11.36450172</v>
      </c>
      <c r="C582">
        <v>-7.8434171839999998</v>
      </c>
      <c r="D582">
        <v>-2.7844412670000001</v>
      </c>
      <c r="E582">
        <v>28.113928569999999</v>
      </c>
      <c r="F582">
        <v>8.9883443589999992</v>
      </c>
      <c r="G582">
        <v>13.461268779999999</v>
      </c>
      <c r="H582">
        <v>11.36450172</v>
      </c>
      <c r="I582">
        <v>7.8434171839999998</v>
      </c>
      <c r="J582">
        <v>2.7844412670000001</v>
      </c>
      <c r="K582">
        <v>28.113928569999999</v>
      </c>
      <c r="L582">
        <v>8.9883443589999992</v>
      </c>
      <c r="M582">
        <v>13.461268779999999</v>
      </c>
      <c r="N582">
        <v>0.12172448600000001</v>
      </c>
      <c r="O582">
        <v>41.475387570000002</v>
      </c>
      <c r="P582">
        <v>3.1351748450173602</v>
      </c>
      <c r="Q582">
        <v>182.55347355523699</v>
      </c>
      <c r="R582">
        <v>0.422088949836667</v>
      </c>
      <c r="S582">
        <v>0.31811316476750001</v>
      </c>
      <c r="T582">
        <v>0.142550513570361</v>
      </c>
      <c r="U582">
        <v>0.251622872835015</v>
      </c>
      <c r="V582">
        <v>0.43946935919340802</v>
      </c>
      <c r="W582">
        <v>0.33260020530844098</v>
      </c>
      <c r="X582">
        <v>0.16707537711517401</v>
      </c>
      <c r="Y582">
        <v>0.52501013999690904</v>
      </c>
      <c r="Z582">
        <v>2.6854851560036801E-3</v>
      </c>
      <c r="AA582">
        <v>4.2181162254298901E-3</v>
      </c>
    </row>
    <row r="583" spans="1:27" x14ac:dyDescent="0.55000000000000004">
      <c r="A583">
        <v>1136</v>
      </c>
      <c r="B583">
        <v>10.24953402</v>
      </c>
      <c r="C583">
        <v>-9.3933536839999991</v>
      </c>
      <c r="D583">
        <v>-4.3288099569999998</v>
      </c>
      <c r="E583">
        <v>28.148635649999999</v>
      </c>
      <c r="F583">
        <v>9.9523680389999996</v>
      </c>
      <c r="G583">
        <v>14.21174618</v>
      </c>
      <c r="H583">
        <v>10.24953402</v>
      </c>
      <c r="I583">
        <v>9.3933536839999991</v>
      </c>
      <c r="J583">
        <v>4.3288099569999998</v>
      </c>
      <c r="K583">
        <v>28.148635649999999</v>
      </c>
      <c r="L583">
        <v>9.9523680389999996</v>
      </c>
      <c r="M583">
        <v>14.21174618</v>
      </c>
      <c r="N583">
        <v>0.11295828199999999</v>
      </c>
      <c r="O583">
        <v>38.583728790000002</v>
      </c>
      <c r="P583">
        <v>12.5406993800694</v>
      </c>
      <c r="Q583">
        <v>25.7001159657204</v>
      </c>
      <c r="R583">
        <v>0.37996809009079102</v>
      </c>
      <c r="S583">
        <v>0.38111122915770101</v>
      </c>
      <c r="T583">
        <v>0.22174659314976899</v>
      </c>
      <c r="U583">
        <v>0.25261332983280399</v>
      </c>
      <c r="V583">
        <v>0.48688154962852898</v>
      </c>
      <c r="W583">
        <v>0.37391488679349499</v>
      </c>
      <c r="X583">
        <v>0.154651269976113</v>
      </c>
      <c r="Y583">
        <v>0.48750328428731998</v>
      </c>
      <c r="Z583">
        <v>1.0741940624014699E-2</v>
      </c>
      <c r="AA583">
        <v>5.9264435155361296E-4</v>
      </c>
    </row>
    <row r="584" spans="1:27" x14ac:dyDescent="0.55000000000000004">
      <c r="A584">
        <v>1137</v>
      </c>
      <c r="B584">
        <v>9.525673115</v>
      </c>
      <c r="C584">
        <v>-9.9785464249999993</v>
      </c>
      <c r="D584">
        <v>-4.9245716340000003</v>
      </c>
      <c r="E584">
        <v>28.202928960000001</v>
      </c>
      <c r="F584">
        <v>10.01233575</v>
      </c>
      <c r="G584">
        <v>14.718072680000001</v>
      </c>
      <c r="H584">
        <v>9.525673115</v>
      </c>
      <c r="I584">
        <v>9.9785464249999993</v>
      </c>
      <c r="J584">
        <v>4.9245716340000003</v>
      </c>
      <c r="K584">
        <v>28.202928960000001</v>
      </c>
      <c r="L584">
        <v>10.01233575</v>
      </c>
      <c r="M584">
        <v>14.718072680000001</v>
      </c>
      <c r="N584">
        <v>0.12198294699999999</v>
      </c>
      <c r="O584">
        <v>39.951519009999998</v>
      </c>
      <c r="P584">
        <v>25.081398760138899</v>
      </c>
      <c r="Q584">
        <v>46.0523515676255</v>
      </c>
      <c r="R584">
        <v>0.35262232603410298</v>
      </c>
      <c r="S584">
        <v>0.40489672616238198</v>
      </c>
      <c r="T584">
        <v>0.252297581063189</v>
      </c>
      <c r="U584">
        <v>0.25416273095852898</v>
      </c>
      <c r="V584">
        <v>0.48983085532804299</v>
      </c>
      <c r="W584">
        <v>0.40178876823874898</v>
      </c>
      <c r="X584">
        <v>0.16744168699745299</v>
      </c>
      <c r="Y584">
        <v>0.50524448901636698</v>
      </c>
      <c r="Z584">
        <v>2.1483881248029399E-2</v>
      </c>
      <c r="AA584">
        <v>1.0630611719465099E-3</v>
      </c>
    </row>
    <row r="585" spans="1:27" x14ac:dyDescent="0.55000000000000004">
      <c r="A585">
        <v>1138</v>
      </c>
      <c r="B585">
        <v>9.7300998070000002</v>
      </c>
      <c r="C585">
        <v>-8.77624037</v>
      </c>
      <c r="D585">
        <v>-3.737390719</v>
      </c>
      <c r="E585">
        <v>29.077348239999999</v>
      </c>
      <c r="F585">
        <v>9.7763156860000002</v>
      </c>
      <c r="G585">
        <v>14.697730269999999</v>
      </c>
      <c r="H585">
        <v>9.7300998070000002</v>
      </c>
      <c r="I585">
        <v>8.77624037</v>
      </c>
      <c r="J585">
        <v>3.737390719</v>
      </c>
      <c r="K585">
        <v>29.077348239999999</v>
      </c>
      <c r="L585">
        <v>9.7763156860000002</v>
      </c>
      <c r="M585">
        <v>14.697730269999999</v>
      </c>
      <c r="N585">
        <v>0.16532175199999999</v>
      </c>
      <c r="O585">
        <v>56.716758730000002</v>
      </c>
      <c r="P585">
        <v>25.081398760138899</v>
      </c>
      <c r="Q585">
        <v>27.719307294235801</v>
      </c>
      <c r="R585">
        <v>0.36034508609436799</v>
      </c>
      <c r="S585">
        <v>0.35602830202396202</v>
      </c>
      <c r="T585">
        <v>0.191418287907165</v>
      </c>
      <c r="U585">
        <v>0.27911656443796301</v>
      </c>
      <c r="V585">
        <v>0.47822301990549598</v>
      </c>
      <c r="W585">
        <v>0.40066889415621398</v>
      </c>
      <c r="X585">
        <v>0.22886461950037701</v>
      </c>
      <c r="Y585">
        <v>0.72270148341136797</v>
      </c>
      <c r="Z585">
        <v>2.1483881248029399E-2</v>
      </c>
      <c r="AA585">
        <v>6.3931546833432705E-4</v>
      </c>
    </row>
    <row r="586" spans="1:27" x14ac:dyDescent="0.55000000000000004">
      <c r="A586">
        <v>1139</v>
      </c>
      <c r="B586">
        <v>9.2195402580000003</v>
      </c>
      <c r="C586">
        <v>-9.1425309390000002</v>
      </c>
      <c r="D586">
        <v>-4.1284210449999996</v>
      </c>
      <c r="E586">
        <v>29.061701459999998</v>
      </c>
      <c r="F586">
        <v>10.224412490000001</v>
      </c>
      <c r="G586">
        <v>15.16118779</v>
      </c>
      <c r="H586">
        <v>9.2195402580000003</v>
      </c>
      <c r="I586">
        <v>9.1425309390000002</v>
      </c>
      <c r="J586">
        <v>4.1284210449999996</v>
      </c>
      <c r="K586">
        <v>29.061701459999998</v>
      </c>
      <c r="L586">
        <v>10.224412490000001</v>
      </c>
      <c r="M586">
        <v>15.16118779</v>
      </c>
      <c r="N586">
        <v>0.16829401299999999</v>
      </c>
      <c r="O586">
        <v>58.887714389999999</v>
      </c>
      <c r="P586">
        <v>25.081398760138899</v>
      </c>
      <c r="Q586">
        <v>7.77543538572366</v>
      </c>
      <c r="R586">
        <v>0.34105734605010801</v>
      </c>
      <c r="S586">
        <v>0.37091639379506702</v>
      </c>
      <c r="T586">
        <v>0.211470539041483</v>
      </c>
      <c r="U586">
        <v>0.27867004278463298</v>
      </c>
      <c r="V586">
        <v>0.50026112067561201</v>
      </c>
      <c r="W586">
        <v>0.426182786807283</v>
      </c>
      <c r="X586">
        <v>0.23307712574700901</v>
      </c>
      <c r="Y586">
        <v>0.75086031088254501</v>
      </c>
      <c r="Z586">
        <v>2.1483881248029399E-2</v>
      </c>
      <c r="AA586">
        <v>1.78337470976274E-4</v>
      </c>
    </row>
    <row r="587" spans="1:27" x14ac:dyDescent="0.55000000000000004">
      <c r="A587">
        <v>1140</v>
      </c>
      <c r="B587">
        <v>8.8312739689999997</v>
      </c>
      <c r="C587">
        <v>-9.5866164820000002</v>
      </c>
      <c r="D587">
        <v>-4.5664570019999999</v>
      </c>
      <c r="E587">
        <v>29.01740066</v>
      </c>
      <c r="F587">
        <v>10.051056170000001</v>
      </c>
      <c r="G587">
        <v>15.220087080000001</v>
      </c>
      <c r="H587">
        <v>8.8312739689999997</v>
      </c>
      <c r="I587">
        <v>9.5866164820000002</v>
      </c>
      <c r="J587">
        <v>4.5664570019999999</v>
      </c>
      <c r="K587">
        <v>29.01740066</v>
      </c>
      <c r="L587">
        <v>10.051056170000001</v>
      </c>
      <c r="M587">
        <v>15.220087080000001</v>
      </c>
      <c r="N587">
        <v>0.14385673399999999</v>
      </c>
      <c r="O587">
        <v>57.013496400000001</v>
      </c>
      <c r="P587">
        <v>25.081398760138899</v>
      </c>
      <c r="Q587">
        <v>14.488906378896001</v>
      </c>
      <c r="R587">
        <v>0.32638955800295599</v>
      </c>
      <c r="S587">
        <v>0.38896650722401799</v>
      </c>
      <c r="T587">
        <v>0.233933264900821</v>
      </c>
      <c r="U587">
        <v>0.27740580397895898</v>
      </c>
      <c r="V587">
        <v>0.49173518606685601</v>
      </c>
      <c r="W587">
        <v>0.42942526340424098</v>
      </c>
      <c r="X587">
        <v>0.19844282194993601</v>
      </c>
      <c r="Y587">
        <v>0.72655038046978504</v>
      </c>
      <c r="Z587">
        <v>2.1483881248029399E-2</v>
      </c>
      <c r="AA587">
        <v>3.3351107156649501E-4</v>
      </c>
    </row>
    <row r="588" spans="1:27" x14ac:dyDescent="0.55000000000000004">
      <c r="A588">
        <v>1141</v>
      </c>
      <c r="B588">
        <v>8.4193004699999996</v>
      </c>
      <c r="C588">
        <v>-10.63152097</v>
      </c>
      <c r="D588">
        <v>-5.6586343289999999</v>
      </c>
      <c r="E588">
        <v>28.61124294</v>
      </c>
      <c r="F588">
        <v>10.38117943</v>
      </c>
      <c r="G588">
        <v>15.377027930000001</v>
      </c>
      <c r="H588">
        <v>8.4193004699999996</v>
      </c>
      <c r="I588">
        <v>10.63152097</v>
      </c>
      <c r="J588">
        <v>5.6586343289999999</v>
      </c>
      <c r="K588">
        <v>28.61124294</v>
      </c>
      <c r="L588">
        <v>10.38117943</v>
      </c>
      <c r="M588">
        <v>15.377027930000001</v>
      </c>
      <c r="N588">
        <v>0.118696049</v>
      </c>
      <c r="O588">
        <v>26.155609129999998</v>
      </c>
      <c r="P588">
        <v>25.081398760138899</v>
      </c>
      <c r="Q588">
        <v>28.286683215634898</v>
      </c>
      <c r="R588">
        <v>0.31082616726939799</v>
      </c>
      <c r="S588">
        <v>0.43143725374597802</v>
      </c>
      <c r="T588">
        <v>0.28994072158133499</v>
      </c>
      <c r="U588">
        <v>0.265815034718625</v>
      </c>
      <c r="V588">
        <v>0.50797116366253403</v>
      </c>
      <c r="W588">
        <v>0.43806504553457998</v>
      </c>
      <c r="X588">
        <v>0.16278325412192701</v>
      </c>
      <c r="Y588">
        <v>0.32630179881013999</v>
      </c>
      <c r="Z588">
        <v>2.1483881248029399E-2</v>
      </c>
      <c r="AA588">
        <v>6.52429662869648E-4</v>
      </c>
    </row>
    <row r="589" spans="1:27" x14ac:dyDescent="0.55000000000000004">
      <c r="A589">
        <v>1142</v>
      </c>
      <c r="B589">
        <v>7.2494899559999997</v>
      </c>
      <c r="C589">
        <v>-11.30440858</v>
      </c>
      <c r="D589">
        <v>-6.2917174090000003</v>
      </c>
      <c r="E589">
        <v>29.358535270000001</v>
      </c>
      <c r="F589">
        <v>11.212895420000001</v>
      </c>
      <c r="G589">
        <v>16.40955177</v>
      </c>
      <c r="H589">
        <v>7.2494899559999997</v>
      </c>
      <c r="I589">
        <v>11.30440858</v>
      </c>
      <c r="J589">
        <v>6.2917174090000003</v>
      </c>
      <c r="K589">
        <v>29.358535270000001</v>
      </c>
      <c r="L589">
        <v>11.212895420000001</v>
      </c>
      <c r="M589">
        <v>16.40955177</v>
      </c>
      <c r="N589">
        <v>0.146564692</v>
      </c>
      <c r="O589">
        <v>56.431755070000001</v>
      </c>
      <c r="P589">
        <v>12.5406993800694</v>
      </c>
      <c r="Q589">
        <v>57.867679582054301</v>
      </c>
      <c r="R589">
        <v>0.266633474880691</v>
      </c>
      <c r="S589">
        <v>0.45878715935962699</v>
      </c>
      <c r="T589">
        <v>0.32240557165807199</v>
      </c>
      <c r="U589">
        <v>0.28714096930149402</v>
      </c>
      <c r="V589">
        <v>0.548876255232292</v>
      </c>
      <c r="W589">
        <v>0.49490672201321301</v>
      </c>
      <c r="X589">
        <v>0.20228073860349299</v>
      </c>
      <c r="Y589">
        <v>0.71900478474613805</v>
      </c>
      <c r="Z589">
        <v>1.0741940624014699E-2</v>
      </c>
      <c r="AA589">
        <v>1.3361579041760801E-3</v>
      </c>
    </row>
    <row r="590" spans="1:27" x14ac:dyDescent="0.55000000000000004">
      <c r="A590">
        <v>1143</v>
      </c>
      <c r="B590">
        <v>5.331162237</v>
      </c>
      <c r="C590">
        <v>-12.978142890000001</v>
      </c>
      <c r="D590">
        <v>-7.7076909230000004</v>
      </c>
      <c r="E590">
        <v>30.2560498</v>
      </c>
      <c r="F590">
        <v>11.83823441</v>
      </c>
      <c r="G590">
        <v>17.933810600000001</v>
      </c>
      <c r="H590">
        <v>5.331162237</v>
      </c>
      <c r="I590">
        <v>12.978142890000001</v>
      </c>
      <c r="J590">
        <v>7.7076909230000004</v>
      </c>
      <c r="K590">
        <v>30.2560498</v>
      </c>
      <c r="L590">
        <v>11.83823441</v>
      </c>
      <c r="M590">
        <v>17.933810600000001</v>
      </c>
      <c r="N590">
        <v>0.15129503599999999</v>
      </c>
      <c r="O590">
        <v>61.636100769999999</v>
      </c>
      <c r="P590">
        <v>25.081398760138899</v>
      </c>
      <c r="Q590">
        <v>22.410252590560201</v>
      </c>
      <c r="R590">
        <v>0.194163561358869</v>
      </c>
      <c r="S590">
        <v>0.52681705725122996</v>
      </c>
      <c r="T590">
        <v>0.39501747568280199</v>
      </c>
      <c r="U590">
        <v>0.31275388594143</v>
      </c>
      <c r="V590">
        <v>0.57963140357095799</v>
      </c>
      <c r="W590">
        <v>0.57881899980096696</v>
      </c>
      <c r="X590">
        <v>0.20898492899885801</v>
      </c>
      <c r="Y590">
        <v>0.78650882242264497</v>
      </c>
      <c r="Z590">
        <v>2.1483881248029399E-2</v>
      </c>
      <c r="AA590">
        <v>5.1660321785500999E-4</v>
      </c>
    </row>
    <row r="591" spans="1:27" x14ac:dyDescent="0.55000000000000004">
      <c r="A591">
        <v>1144</v>
      </c>
      <c r="B591">
        <v>4.8625229089999999</v>
      </c>
      <c r="C591">
        <v>-13.400526470000001</v>
      </c>
      <c r="D591">
        <v>-8.1642858799999996</v>
      </c>
      <c r="E591">
        <v>30.182106810000001</v>
      </c>
      <c r="F591">
        <v>11.903306880000001</v>
      </c>
      <c r="G591">
        <v>17.884209999999999</v>
      </c>
      <c r="H591">
        <v>4.8625229089999999</v>
      </c>
      <c r="I591">
        <v>13.400526470000001</v>
      </c>
      <c r="J591">
        <v>8.1642858799999996</v>
      </c>
      <c r="K591">
        <v>30.182106810000001</v>
      </c>
      <c r="L591">
        <v>11.903306880000001</v>
      </c>
      <c r="M591">
        <v>17.884209999999999</v>
      </c>
      <c r="N591">
        <v>0.15129503599999999</v>
      </c>
      <c r="O591">
        <v>61.636100769999999</v>
      </c>
      <c r="P591">
        <v>8.3604662533796308</v>
      </c>
      <c r="Q591">
        <v>95.245362504594198</v>
      </c>
      <c r="R591">
        <v>0.17645946875951399</v>
      </c>
      <c r="S591">
        <v>0.54398508185753103</v>
      </c>
      <c r="T591">
        <v>0.41843191731469598</v>
      </c>
      <c r="U591">
        <v>0.31064372997662598</v>
      </c>
      <c r="V591">
        <v>0.582831769291978</v>
      </c>
      <c r="W591">
        <v>0.57608842724746001</v>
      </c>
      <c r="X591">
        <v>0.20898492899885801</v>
      </c>
      <c r="Y591">
        <v>0.78650882242264497</v>
      </c>
      <c r="Z591">
        <v>7.1612937493431396E-3</v>
      </c>
      <c r="AA591">
        <v>2.2000969376073402E-3</v>
      </c>
    </row>
    <row r="592" spans="1:27" x14ac:dyDescent="0.55000000000000004">
      <c r="A592">
        <v>1145</v>
      </c>
      <c r="B592">
        <v>4.2337554600000002</v>
      </c>
      <c r="C592">
        <v>-14.02786691</v>
      </c>
      <c r="D592">
        <v>-8.8341306169999996</v>
      </c>
      <c r="E592">
        <v>29.941744759999999</v>
      </c>
      <c r="F592">
        <v>12.108768380000001</v>
      </c>
      <c r="G592">
        <v>17.74831902</v>
      </c>
      <c r="H592">
        <v>4.2337554600000002</v>
      </c>
      <c r="I592">
        <v>14.02786691</v>
      </c>
      <c r="J592">
        <v>8.8341306169999996</v>
      </c>
      <c r="K592">
        <v>29.941744759999999</v>
      </c>
      <c r="L592">
        <v>12.108768380000001</v>
      </c>
      <c r="M592">
        <v>17.74831902</v>
      </c>
      <c r="N592">
        <v>0.147023872</v>
      </c>
      <c r="O592">
        <v>56.81568146</v>
      </c>
      <c r="P592">
        <v>19.254979211142899</v>
      </c>
      <c r="Q592">
        <v>27.443510477960601</v>
      </c>
      <c r="R592">
        <v>0.152706112019134</v>
      </c>
      <c r="S592">
        <v>0.56948369643541596</v>
      </c>
      <c r="T592">
        <v>0.45278192547064999</v>
      </c>
      <c r="U592">
        <v>0.30378437233474498</v>
      </c>
      <c r="V592">
        <v>0.59293668680301503</v>
      </c>
      <c r="W592">
        <v>0.568607465721647</v>
      </c>
      <c r="X592">
        <v>0.20293152217139901</v>
      </c>
      <c r="Y592">
        <v>0.72398458105282204</v>
      </c>
      <c r="Z592">
        <v>1.6493166539934202E-2</v>
      </c>
      <c r="AA592">
        <v>6.3294076513589802E-4</v>
      </c>
    </row>
    <row r="593" spans="1:27" x14ac:dyDescent="0.55000000000000004">
      <c r="A593">
        <v>1146</v>
      </c>
      <c r="B593">
        <v>3.1767766160000002</v>
      </c>
      <c r="C593">
        <v>-15.165800170000001</v>
      </c>
      <c r="D593">
        <v>-9.9550630089999999</v>
      </c>
      <c r="E593">
        <v>30.37124129</v>
      </c>
      <c r="F593">
        <v>12.587531370000001</v>
      </c>
      <c r="G593">
        <v>18.128024669999999</v>
      </c>
      <c r="H593">
        <v>3.1767766160000002</v>
      </c>
      <c r="I593">
        <v>15.165800170000001</v>
      </c>
      <c r="J593">
        <v>9.9550630089999999</v>
      </c>
      <c r="K593">
        <v>30.37124129</v>
      </c>
      <c r="L593">
        <v>12.587531370000001</v>
      </c>
      <c r="M593">
        <v>18.128024669999999</v>
      </c>
      <c r="N593">
        <v>0.140537143</v>
      </c>
      <c r="O593">
        <v>55.736774439999998</v>
      </c>
      <c r="P593">
        <v>9.6274896055714496</v>
      </c>
      <c r="Q593">
        <v>35.916823724951897</v>
      </c>
      <c r="R593">
        <v>0.112775934990256</v>
      </c>
      <c r="S593">
        <v>0.61573565113499995</v>
      </c>
      <c r="T593">
        <v>0.51026395776953604</v>
      </c>
      <c r="U593">
        <v>0.31604117537506099</v>
      </c>
      <c r="V593">
        <v>0.61648299850271104</v>
      </c>
      <c r="W593">
        <v>0.58951071742226502</v>
      </c>
      <c r="X593">
        <v>0.19373805415741499</v>
      </c>
      <c r="Y593">
        <v>0.70999039536151998</v>
      </c>
      <c r="Z593">
        <v>8.2465832699671008E-3</v>
      </c>
      <c r="AA593">
        <v>8.28790948565847E-4</v>
      </c>
    </row>
    <row r="594" spans="1:27" x14ac:dyDescent="0.55000000000000004">
      <c r="A594">
        <v>1147</v>
      </c>
      <c r="B594">
        <v>3.3560788979999998</v>
      </c>
      <c r="C594">
        <v>-15.134248639999999</v>
      </c>
      <c r="D594">
        <v>-9.7414390080000004</v>
      </c>
      <c r="E594">
        <v>30.512710720000001</v>
      </c>
      <c r="F594">
        <v>12.598410899999999</v>
      </c>
      <c r="G594">
        <v>18.669814880000001</v>
      </c>
      <c r="H594">
        <v>3.3560788979999998</v>
      </c>
      <c r="I594">
        <v>15.134248639999999</v>
      </c>
      <c r="J594">
        <v>9.7414390080000004</v>
      </c>
      <c r="K594">
        <v>30.512710720000001</v>
      </c>
      <c r="L594">
        <v>12.598410899999999</v>
      </c>
      <c r="M594">
        <v>18.669814880000001</v>
      </c>
      <c r="N594">
        <v>0.147757739</v>
      </c>
      <c r="O594">
        <v>60.198219299999998</v>
      </c>
      <c r="P594">
        <v>25.081398760138899</v>
      </c>
      <c r="Q594">
        <v>9.4509687199357995</v>
      </c>
      <c r="R594">
        <v>0.11954955387826199</v>
      </c>
      <c r="S594">
        <v>0.61445322097186195</v>
      </c>
      <c r="T594">
        <v>0.49930920098586401</v>
      </c>
      <c r="U594">
        <v>0.32007837432457498</v>
      </c>
      <c r="V594">
        <v>0.61701807078247495</v>
      </c>
      <c r="W594">
        <v>0.61933691866146401</v>
      </c>
      <c r="X594">
        <v>0.203971612298644</v>
      </c>
      <c r="Y594">
        <v>0.76785848470099205</v>
      </c>
      <c r="Z594">
        <v>2.1483881248029399E-2</v>
      </c>
      <c r="AA594">
        <v>2.17065357138746E-4</v>
      </c>
    </row>
    <row r="595" spans="1:27" x14ac:dyDescent="0.55000000000000004">
      <c r="A595">
        <v>1148</v>
      </c>
      <c r="B595">
        <v>1.6511670700000001</v>
      </c>
      <c r="C595">
        <v>-17.09889175</v>
      </c>
      <c r="D595">
        <v>-11.772146429999999</v>
      </c>
      <c r="E595">
        <v>30.73162202</v>
      </c>
      <c r="F595">
        <v>13.313158250000001</v>
      </c>
      <c r="G595">
        <v>19.182770900000001</v>
      </c>
      <c r="H595">
        <v>1.6511670700000001</v>
      </c>
      <c r="I595">
        <v>17.09889175</v>
      </c>
      <c r="J595">
        <v>11.772146429999999</v>
      </c>
      <c r="K595">
        <v>30.73162202</v>
      </c>
      <c r="L595">
        <v>13.313158250000001</v>
      </c>
      <c r="M595">
        <v>19.182770900000001</v>
      </c>
      <c r="N595">
        <v>0.12401269400000001</v>
      </c>
      <c r="O595">
        <v>46.271129610000003</v>
      </c>
      <c r="P595">
        <v>19.254979211142899</v>
      </c>
      <c r="Q595">
        <v>6.8926397205259802</v>
      </c>
      <c r="R595">
        <v>5.5141991232032998E-2</v>
      </c>
      <c r="S595">
        <v>0.69430727508797896</v>
      </c>
      <c r="T595">
        <v>0.60344499941053098</v>
      </c>
      <c r="U595">
        <v>0.32632557890012698</v>
      </c>
      <c r="V595">
        <v>0.65217046192622596</v>
      </c>
      <c r="W595">
        <v>0.64757576313851495</v>
      </c>
      <c r="X595">
        <v>0.17031839328824699</v>
      </c>
      <c r="Y595">
        <v>0.58721429975419903</v>
      </c>
      <c r="Z595">
        <v>1.6493166539934202E-2</v>
      </c>
      <c r="AA595">
        <v>1.5793273814977099E-4</v>
      </c>
    </row>
    <row r="596" spans="1:27" x14ac:dyDescent="0.55000000000000004">
      <c r="A596">
        <v>1149</v>
      </c>
      <c r="B596">
        <v>2.850506234</v>
      </c>
      <c r="C596">
        <v>-15.05830409</v>
      </c>
      <c r="D596">
        <v>-10.36860446</v>
      </c>
      <c r="E596">
        <v>29.688926309999999</v>
      </c>
      <c r="F596">
        <v>10.46361832</v>
      </c>
      <c r="G596">
        <v>16.098683789999999</v>
      </c>
      <c r="H596">
        <v>2.850506234</v>
      </c>
      <c r="I596">
        <v>15.05830409</v>
      </c>
      <c r="J596">
        <v>10.36860446</v>
      </c>
      <c r="K596">
        <v>29.688926309999999</v>
      </c>
      <c r="L596">
        <v>10.46361832</v>
      </c>
      <c r="M596">
        <v>16.098683789999999</v>
      </c>
      <c r="N596">
        <v>9.2080437000000001E-2</v>
      </c>
      <c r="O596">
        <v>25.053943629999999</v>
      </c>
      <c r="P596">
        <v>10.0752798197841</v>
      </c>
      <c r="Q596">
        <v>114.37909403422501</v>
      </c>
      <c r="R596">
        <v>0.10045020663107999</v>
      </c>
      <c r="S596">
        <v>0.61136641086642496</v>
      </c>
      <c r="T596">
        <v>0.53147059182968404</v>
      </c>
      <c r="U596">
        <v>0.29656953884911003</v>
      </c>
      <c r="V596">
        <v>0.51202563704636195</v>
      </c>
      <c r="W596">
        <v>0.47779306665516702</v>
      </c>
      <c r="X596">
        <v>0.12506165705897099</v>
      </c>
      <c r="Y596">
        <v>0.31201241956715298</v>
      </c>
      <c r="Z596">
        <v>8.6301452825236994E-3</v>
      </c>
      <c r="AA596">
        <v>2.642349539458E-3</v>
      </c>
    </row>
    <row r="597" spans="1:27" x14ac:dyDescent="0.55000000000000004">
      <c r="A597">
        <v>1150</v>
      </c>
      <c r="B597">
        <v>-0.191521196</v>
      </c>
      <c r="C597">
        <v>-18.474427439999999</v>
      </c>
      <c r="D597">
        <v>-13.52009988</v>
      </c>
      <c r="E597">
        <v>30.37789141</v>
      </c>
      <c r="F597">
        <v>12.11775746</v>
      </c>
      <c r="G597">
        <v>17.326511849999999</v>
      </c>
      <c r="H597">
        <v>0.191521196</v>
      </c>
      <c r="I597">
        <v>18.474427439999999</v>
      </c>
      <c r="J597">
        <v>13.52009988</v>
      </c>
      <c r="K597">
        <v>30.37789141</v>
      </c>
      <c r="L597">
        <v>12.11775746</v>
      </c>
      <c r="M597">
        <v>17.326511849999999</v>
      </c>
      <c r="N597">
        <v>0.108375952</v>
      </c>
      <c r="O597">
        <v>36.24548721</v>
      </c>
      <c r="P597">
        <v>20.150559639568201</v>
      </c>
      <c r="Q597">
        <v>7.9689209880907903</v>
      </c>
      <c r="R597">
        <v>0</v>
      </c>
      <c r="S597">
        <v>0.75021671781007704</v>
      </c>
      <c r="T597">
        <v>0.69308101794915</v>
      </c>
      <c r="U597">
        <v>0.31623095388394601</v>
      </c>
      <c r="V597">
        <v>0.59337878379880304</v>
      </c>
      <c r="W597">
        <v>0.54538647482083902</v>
      </c>
      <c r="X597">
        <v>0.14815685587549099</v>
      </c>
      <c r="Y597">
        <v>0.45717464034018701</v>
      </c>
      <c r="Z597">
        <v>1.7260290565047399E-2</v>
      </c>
      <c r="AA597">
        <v>1.8280965200039899E-4</v>
      </c>
    </row>
    <row r="598" spans="1:27" x14ac:dyDescent="0.55000000000000004">
      <c r="A598">
        <v>1151</v>
      </c>
      <c r="B598">
        <v>-1.876839557</v>
      </c>
      <c r="C598">
        <v>-20.964001979999999</v>
      </c>
      <c r="D598">
        <v>-16.065327079999999</v>
      </c>
      <c r="E598">
        <v>30.621593919999999</v>
      </c>
      <c r="F598">
        <v>11.58990867</v>
      </c>
      <c r="G598">
        <v>17.07680109</v>
      </c>
      <c r="H598">
        <v>1.876839557</v>
      </c>
      <c r="I598">
        <v>20.964001979999999</v>
      </c>
      <c r="J598">
        <v>16.065327079999999</v>
      </c>
      <c r="K598">
        <v>30.621593919999999</v>
      </c>
      <c r="L598">
        <v>11.58990867</v>
      </c>
      <c r="M598">
        <v>17.07680109</v>
      </c>
      <c r="N598">
        <v>0.18296253700000001</v>
      </c>
      <c r="O598">
        <v>63.694099430000001</v>
      </c>
      <c r="P598">
        <v>0.62970498873650504</v>
      </c>
      <c r="Q598">
        <v>1403.0996762933501</v>
      </c>
      <c r="R598">
        <v>6.3667367503856806E-2</v>
      </c>
      <c r="S598">
        <v>0.85140691313428896</v>
      </c>
      <c r="T598">
        <v>0.82360167482602198</v>
      </c>
      <c r="U598">
        <v>0.32318564025941099</v>
      </c>
      <c r="V598">
        <v>0.56741835578065603</v>
      </c>
      <c r="W598">
        <v>0.53163959781589398</v>
      </c>
      <c r="X598">
        <v>0.25386643361024003</v>
      </c>
      <c r="Y598">
        <v>0.81320251786313802</v>
      </c>
      <c r="Z598">
        <v>5.39384080157731E-4</v>
      </c>
      <c r="AA598">
        <v>3.2429536094259401E-2</v>
      </c>
    </row>
    <row r="599" spans="1:27" x14ac:dyDescent="0.55000000000000004">
      <c r="A599">
        <v>1152</v>
      </c>
      <c r="B599">
        <v>-3.6222156729999999</v>
      </c>
      <c r="C599">
        <v>-24.619826190000001</v>
      </c>
      <c r="D599">
        <v>-19.505194960000001</v>
      </c>
      <c r="E599">
        <v>31.776839259999999</v>
      </c>
      <c r="F599">
        <v>13.30419436</v>
      </c>
      <c r="G599">
        <v>19.35150853</v>
      </c>
      <c r="H599">
        <v>3.6222156729999999</v>
      </c>
      <c r="I599">
        <v>24.619826190000001</v>
      </c>
      <c r="J599">
        <v>19.505194960000001</v>
      </c>
      <c r="K599">
        <v>31.776839259999999</v>
      </c>
      <c r="L599">
        <v>13.30419436</v>
      </c>
      <c r="M599">
        <v>19.35150853</v>
      </c>
      <c r="N599">
        <v>0.22542615199999999</v>
      </c>
      <c r="O599">
        <v>70.411766049999997</v>
      </c>
      <c r="P599">
        <v>1.67921330329735</v>
      </c>
      <c r="Q599">
        <v>479.55502511233402</v>
      </c>
      <c r="R599">
        <v>0.129603575867415</v>
      </c>
      <c r="S599">
        <v>1</v>
      </c>
      <c r="T599">
        <v>1</v>
      </c>
      <c r="U599">
        <v>0.35615357738249598</v>
      </c>
      <c r="V599">
        <v>0.65172960381398604</v>
      </c>
      <c r="W599">
        <v>0.656864972164653</v>
      </c>
      <c r="X599">
        <v>0.31404898266703102</v>
      </c>
      <c r="Y599">
        <v>0.90033539618340197</v>
      </c>
      <c r="Z599">
        <v>1.4383575470872799E-3</v>
      </c>
      <c r="AA599">
        <v>1.10829407227528E-2</v>
      </c>
    </row>
    <row r="600" spans="1:27" x14ac:dyDescent="0.55000000000000004">
      <c r="A600">
        <v>1153</v>
      </c>
      <c r="B600">
        <v>-2.8691813819999998</v>
      </c>
      <c r="C600">
        <v>-23.941782270000001</v>
      </c>
      <c r="D600">
        <v>-18.996273179999999</v>
      </c>
      <c r="E600">
        <v>32.487891769999997</v>
      </c>
      <c r="F600">
        <v>15.179839940000001</v>
      </c>
      <c r="G600">
        <v>20.876085159999999</v>
      </c>
      <c r="H600">
        <v>2.8691813819999998</v>
      </c>
      <c r="I600">
        <v>23.941782270000001</v>
      </c>
      <c r="J600">
        <v>18.996273179999999</v>
      </c>
      <c r="K600">
        <v>32.487891769999997</v>
      </c>
      <c r="L600">
        <v>15.179839940000001</v>
      </c>
      <c r="M600">
        <v>20.876085159999999</v>
      </c>
      <c r="N600">
        <v>0.326631218</v>
      </c>
      <c r="O600">
        <v>70.411766049999997</v>
      </c>
      <c r="P600">
        <v>0.57573027541623301</v>
      </c>
      <c r="Q600">
        <v>1524.3141781204099</v>
      </c>
      <c r="R600">
        <v>0.101155709839506</v>
      </c>
      <c r="S600">
        <v>0.97244051318777003</v>
      </c>
      <c r="T600">
        <v>0.97390220997773902</v>
      </c>
      <c r="U600">
        <v>0.37644531423632399</v>
      </c>
      <c r="V600">
        <v>0.743976783289654</v>
      </c>
      <c r="W600">
        <v>0.74079474522378497</v>
      </c>
      <c r="X600">
        <v>0.45748422362192098</v>
      </c>
      <c r="Y600">
        <v>0.90033539618340197</v>
      </c>
      <c r="Z600">
        <v>4.9315115900135402E-4</v>
      </c>
      <c r="AA600">
        <v>3.5231259779575801E-2</v>
      </c>
    </row>
    <row r="601" spans="1:27" x14ac:dyDescent="0.55000000000000004">
      <c r="A601">
        <v>1154</v>
      </c>
      <c r="B601">
        <v>-1.7134880269999999</v>
      </c>
      <c r="C601">
        <v>-20.97357568</v>
      </c>
      <c r="D601">
        <v>-16.61055181</v>
      </c>
      <c r="E601">
        <v>31.922573079999999</v>
      </c>
      <c r="F601">
        <v>13.52002987</v>
      </c>
      <c r="G601">
        <v>19.242287340000001</v>
      </c>
      <c r="H601">
        <v>1.7134880269999999</v>
      </c>
      <c r="I601">
        <v>20.97357568</v>
      </c>
      <c r="J601">
        <v>16.61055181</v>
      </c>
      <c r="K601">
        <v>31.922573079999999</v>
      </c>
      <c r="L601">
        <v>13.52002987</v>
      </c>
      <c r="M601">
        <v>19.242287340000001</v>
      </c>
      <c r="N601">
        <v>0.11212369799999999</v>
      </c>
      <c r="O601">
        <v>35.218975069999999</v>
      </c>
      <c r="P601">
        <v>20.150559639568201</v>
      </c>
      <c r="Q601">
        <v>11.982651373029601</v>
      </c>
      <c r="R601">
        <v>5.7496330545203901E-2</v>
      </c>
      <c r="S601">
        <v>0.85179604170120304</v>
      </c>
      <c r="T601">
        <v>0.851561100179136</v>
      </c>
      <c r="U601">
        <v>0.36031247181652698</v>
      </c>
      <c r="V601">
        <v>0.66234473134154004</v>
      </c>
      <c r="W601">
        <v>0.650852214583587</v>
      </c>
      <c r="X601">
        <v>0.15346843633083801</v>
      </c>
      <c r="Y601">
        <v>0.44386005323004302</v>
      </c>
      <c r="Z601">
        <v>1.7260290565047399E-2</v>
      </c>
      <c r="AA601">
        <v>2.75582078702285E-4</v>
      </c>
    </row>
    <row r="602" spans="1:27" x14ac:dyDescent="0.55000000000000004">
      <c r="A602">
        <v>1155</v>
      </c>
      <c r="B602">
        <v>1.7994498880000001</v>
      </c>
      <c r="C602">
        <v>-14.79014173</v>
      </c>
      <c r="D602">
        <v>-10.865774740000001</v>
      </c>
      <c r="E602">
        <v>31.91515283</v>
      </c>
      <c r="F602">
        <v>13.44972533</v>
      </c>
      <c r="G602">
        <v>18.949565759999999</v>
      </c>
      <c r="H602">
        <v>1.7994498880000001</v>
      </c>
      <c r="I602">
        <v>14.79014173</v>
      </c>
      <c r="J602">
        <v>10.865774740000001</v>
      </c>
      <c r="K602">
        <v>31.91515283</v>
      </c>
      <c r="L602">
        <v>13.44972533</v>
      </c>
      <c r="M602">
        <v>18.949565759999999</v>
      </c>
      <c r="N602">
        <v>8.1505447999999994E-2</v>
      </c>
      <c r="O602">
        <v>29.942853929999998</v>
      </c>
      <c r="P602">
        <v>15.681069188379301</v>
      </c>
      <c r="Q602">
        <v>12.5404491388846</v>
      </c>
      <c r="R602">
        <v>6.07437676599073E-2</v>
      </c>
      <c r="S602">
        <v>0.60046679683558701</v>
      </c>
      <c r="T602">
        <v>0.55696575844005902</v>
      </c>
      <c r="U602">
        <v>0.36010071564061602</v>
      </c>
      <c r="V602">
        <v>0.65888704424516698</v>
      </c>
      <c r="W602">
        <v>0.63473754032224095</v>
      </c>
      <c r="X602">
        <v>0.110074007178773</v>
      </c>
      <c r="Y602">
        <v>0.37542503742769701</v>
      </c>
      <c r="Z602">
        <v>1.34318756105694E-2</v>
      </c>
      <c r="AA602">
        <v>2.8847488598735899E-4</v>
      </c>
    </row>
    <row r="603" spans="1:27" x14ac:dyDescent="0.55000000000000004">
      <c r="A603">
        <v>1156</v>
      </c>
      <c r="B603">
        <v>3.5152398260000002</v>
      </c>
      <c r="C603">
        <v>-11.56316193</v>
      </c>
      <c r="D603">
        <v>-8.1029379650000006</v>
      </c>
      <c r="E603">
        <v>33.381997699999999</v>
      </c>
      <c r="F603">
        <v>14.135604109999999</v>
      </c>
      <c r="G603">
        <v>20.115411909999999</v>
      </c>
      <c r="H603">
        <v>3.5152398260000002</v>
      </c>
      <c r="I603">
        <v>11.56316193</v>
      </c>
      <c r="J603">
        <v>8.1029379650000006</v>
      </c>
      <c r="K603">
        <v>33.381997699999999</v>
      </c>
      <c r="L603">
        <v>14.135604109999999</v>
      </c>
      <c r="M603">
        <v>20.115411909999999</v>
      </c>
      <c r="N603">
        <v>8.7344407999999998E-2</v>
      </c>
      <c r="O603">
        <v>34.707599639999998</v>
      </c>
      <c r="P603">
        <v>15.681069188379301</v>
      </c>
      <c r="Q603">
        <v>11.415720178102299</v>
      </c>
      <c r="R603">
        <v>0.12556227974046599</v>
      </c>
      <c r="S603">
        <v>0.469304338743737</v>
      </c>
      <c r="T603">
        <v>0.41528596234304299</v>
      </c>
      <c r="U603">
        <v>0.40196095759015599</v>
      </c>
      <c r="V603">
        <v>0.69261963402218196</v>
      </c>
      <c r="W603">
        <v>0.69891876996063795</v>
      </c>
      <c r="X603">
        <v>0.118349409464721</v>
      </c>
      <c r="Y603">
        <v>0.43722715290338698</v>
      </c>
      <c r="Z603">
        <v>1.34318756105694E-2</v>
      </c>
      <c r="AA603">
        <v>2.62478163470767E-4</v>
      </c>
    </row>
    <row r="604" spans="1:27" x14ac:dyDescent="0.55000000000000004">
      <c r="A604">
        <v>1157</v>
      </c>
      <c r="B604">
        <v>4.0531825699999997</v>
      </c>
      <c r="C604">
        <v>-10.19296958</v>
      </c>
      <c r="D604">
        <v>-6.9211492860000003</v>
      </c>
      <c r="E604">
        <v>33.365603450000002</v>
      </c>
      <c r="F604">
        <v>14.841749480000001</v>
      </c>
      <c r="G604">
        <v>20.78885129</v>
      </c>
      <c r="H604">
        <v>4.0531825699999997</v>
      </c>
      <c r="I604">
        <v>10.19296958</v>
      </c>
      <c r="J604">
        <v>6.9211492860000003</v>
      </c>
      <c r="K604">
        <v>33.365603450000002</v>
      </c>
      <c r="L604">
        <v>14.841749480000001</v>
      </c>
      <c r="M604">
        <v>20.78885129</v>
      </c>
      <c r="N604">
        <v>0.121366709</v>
      </c>
      <c r="O604">
        <v>41.460414890000003</v>
      </c>
      <c r="P604">
        <v>4.9221133841301699</v>
      </c>
      <c r="Q604">
        <v>133.93231474408299</v>
      </c>
      <c r="R604">
        <v>0.14588449254657301</v>
      </c>
      <c r="S604">
        <v>0.413612079162612</v>
      </c>
      <c r="T604">
        <v>0.35468318602793403</v>
      </c>
      <c r="U604">
        <v>0.40149310493196699</v>
      </c>
      <c r="V604">
        <v>0.72734896635281499</v>
      </c>
      <c r="W604">
        <v>0.73599241599473897</v>
      </c>
      <c r="X604">
        <v>0.16656830931480199</v>
      </c>
      <c r="Y604">
        <v>0.52481593376751901</v>
      </c>
      <c r="Z604">
        <v>4.2161165110953802E-3</v>
      </c>
      <c r="AA604">
        <v>3.0942981162478101E-3</v>
      </c>
    </row>
    <row r="605" spans="1:27" x14ac:dyDescent="0.55000000000000004">
      <c r="A605">
        <v>1158</v>
      </c>
      <c r="B605">
        <v>4.7364523549999999</v>
      </c>
      <c r="C605">
        <v>-8.0194009039999994</v>
      </c>
      <c r="D605">
        <v>-5.0769934919999997</v>
      </c>
      <c r="E605">
        <v>34.244834949999998</v>
      </c>
      <c r="F605">
        <v>15.07619143</v>
      </c>
      <c r="G605">
        <v>21.518917269999999</v>
      </c>
      <c r="H605">
        <v>4.7364523549999999</v>
      </c>
      <c r="I605">
        <v>8.0194009039999994</v>
      </c>
      <c r="J605">
        <v>5.0769934919999997</v>
      </c>
      <c r="K605">
        <v>34.244834949999998</v>
      </c>
      <c r="L605">
        <v>15.07619143</v>
      </c>
      <c r="M605">
        <v>21.518917269999999</v>
      </c>
      <c r="N605">
        <v>6.6712542999999999E-2</v>
      </c>
      <c r="O605">
        <v>25.066938400000002</v>
      </c>
      <c r="P605">
        <v>13.1256356910138</v>
      </c>
      <c r="Q605">
        <v>56.249425231222801</v>
      </c>
      <c r="R605">
        <v>0.17169681947100199</v>
      </c>
      <c r="S605">
        <v>0.32526612472694799</v>
      </c>
      <c r="T605">
        <v>0.26011385814389598</v>
      </c>
      <c r="U605">
        <v>0.42658426765298202</v>
      </c>
      <c r="V605">
        <v>0.73887918766374905</v>
      </c>
      <c r="W605">
        <v>0.77618342431394205</v>
      </c>
      <c r="X605">
        <v>8.9108417441419105E-2</v>
      </c>
      <c r="Y605">
        <v>0.31218097090756097</v>
      </c>
      <c r="Z605">
        <v>1.1242977362921E-2</v>
      </c>
      <c r="AA605">
        <v>1.2987539510578401E-3</v>
      </c>
    </row>
    <row r="606" spans="1:27" x14ac:dyDescent="0.55000000000000004">
      <c r="A606">
        <v>1159</v>
      </c>
      <c r="B606">
        <v>6.1284644869999996</v>
      </c>
      <c r="C606">
        <v>-7.3491122149999999</v>
      </c>
      <c r="D606">
        <v>-4.2406659009999998</v>
      </c>
      <c r="E606">
        <v>33.234395890000002</v>
      </c>
      <c r="F606">
        <v>14.31314647</v>
      </c>
      <c r="G606">
        <v>20.006904259999999</v>
      </c>
      <c r="H606">
        <v>6.1284644869999996</v>
      </c>
      <c r="I606">
        <v>7.3491122149999999</v>
      </c>
      <c r="J606">
        <v>4.2406659009999998</v>
      </c>
      <c r="K606">
        <v>33.234395890000002</v>
      </c>
      <c r="L606">
        <v>14.31314647</v>
      </c>
      <c r="M606">
        <v>20.006904259999999</v>
      </c>
      <c r="N606">
        <v>8.0067679000000003E-2</v>
      </c>
      <c r="O606">
        <v>29.150804520000001</v>
      </c>
      <c r="P606">
        <v>47.937120826762097</v>
      </c>
      <c r="Q606">
        <v>5.7145983176726398</v>
      </c>
      <c r="R606">
        <v>0.22428376685658999</v>
      </c>
      <c r="S606">
        <v>0.29802185375865597</v>
      </c>
      <c r="T606">
        <v>0.21722651726463299</v>
      </c>
      <c r="U606">
        <v>0.39774875519223701</v>
      </c>
      <c r="V606">
        <v>0.70135144461693999</v>
      </c>
      <c r="W606">
        <v>0.69294529361285995</v>
      </c>
      <c r="X606">
        <v>0.108036295519631</v>
      </c>
      <c r="Y606">
        <v>0.36515159744189901</v>
      </c>
      <c r="Z606">
        <v>4.1061322817902299E-2</v>
      </c>
      <c r="AA606">
        <v>1.30703764298388E-4</v>
      </c>
    </row>
    <row r="607" spans="1:27" x14ac:dyDescent="0.55000000000000004">
      <c r="A607">
        <v>1160</v>
      </c>
      <c r="B607">
        <v>7.5058677579999999</v>
      </c>
      <c r="C607">
        <v>-7.178653121</v>
      </c>
      <c r="D607">
        <v>-3.900463904</v>
      </c>
      <c r="E607">
        <v>31.771549690000001</v>
      </c>
      <c r="F607">
        <v>12.89324012</v>
      </c>
      <c r="G607">
        <v>18.629006780000001</v>
      </c>
      <c r="H607">
        <v>7.5058677579999999</v>
      </c>
      <c r="I607">
        <v>7.178653121</v>
      </c>
      <c r="J607">
        <v>3.900463904</v>
      </c>
      <c r="K607">
        <v>31.771549690000001</v>
      </c>
      <c r="L607">
        <v>12.89324012</v>
      </c>
      <c r="M607">
        <v>18.629006780000001</v>
      </c>
      <c r="N607">
        <v>7.5191571999999998E-2</v>
      </c>
      <c r="O607">
        <v>27.22142792</v>
      </c>
      <c r="P607">
        <v>5.9921401033452701</v>
      </c>
      <c r="Q607">
        <v>266.11906769399098</v>
      </c>
      <c r="R607">
        <v>0.27631882580161699</v>
      </c>
      <c r="S607">
        <v>0.29109344541437399</v>
      </c>
      <c r="T607">
        <v>0.19978077092054899</v>
      </c>
      <c r="U607">
        <v>0.35600262571436903</v>
      </c>
      <c r="V607">
        <v>0.631518232359915</v>
      </c>
      <c r="W607">
        <v>0.61709038378445102</v>
      </c>
      <c r="X607">
        <v>0.10112551911178901</v>
      </c>
      <c r="Y607">
        <v>0.34012622091885802</v>
      </c>
      <c r="Z607">
        <v>5.1326653522377804E-3</v>
      </c>
      <c r="AA607">
        <v>6.14963185142413E-3</v>
      </c>
    </row>
    <row r="608" spans="1:27" x14ac:dyDescent="0.55000000000000004">
      <c r="A608">
        <v>1161</v>
      </c>
      <c r="B608">
        <v>8.6758796490000005</v>
      </c>
      <c r="C608">
        <v>-6.8086089059999999</v>
      </c>
      <c r="D608">
        <v>-3.3422723940000001</v>
      </c>
      <c r="E608">
        <v>30.534795299999999</v>
      </c>
      <c r="F608">
        <v>12.53833564</v>
      </c>
      <c r="G608">
        <v>17.850077020000001</v>
      </c>
      <c r="H608">
        <v>8.6758796490000005</v>
      </c>
      <c r="I608">
        <v>6.8086089059999999</v>
      </c>
      <c r="J608">
        <v>3.3422723940000001</v>
      </c>
      <c r="K608">
        <v>30.534795299999999</v>
      </c>
      <c r="L608">
        <v>12.53833564</v>
      </c>
      <c r="M608">
        <v>17.850077020000001</v>
      </c>
      <c r="N608">
        <v>9.7121901999999996E-2</v>
      </c>
      <c r="O608">
        <v>41.557937619999997</v>
      </c>
      <c r="P608">
        <v>20.461818117252299</v>
      </c>
      <c r="Q608">
        <v>19.142042184392899</v>
      </c>
      <c r="R608">
        <v>0.32051912574018698</v>
      </c>
      <c r="S608">
        <v>0.276052784533241</v>
      </c>
      <c r="T608">
        <v>0.17115640192579201</v>
      </c>
      <c r="U608">
        <v>0.32070861538214102</v>
      </c>
      <c r="V608">
        <v>0.61406347565514396</v>
      </c>
      <c r="W608">
        <v>0.57420936573696502</v>
      </c>
      <c r="X608">
        <v>0.13220679095019999</v>
      </c>
      <c r="Y608">
        <v>0.52608087242066004</v>
      </c>
      <c r="Z608">
        <v>1.7526904091508099E-2</v>
      </c>
      <c r="AA608">
        <v>4.4106256582461301E-4</v>
      </c>
    </row>
    <row r="609" spans="1:27" x14ac:dyDescent="0.55000000000000004">
      <c r="A609">
        <v>1162</v>
      </c>
      <c r="B609">
        <v>9.2966842179999993</v>
      </c>
      <c r="C609">
        <v>-6.7731968480000004</v>
      </c>
      <c r="D609">
        <v>-3.1853939539999998</v>
      </c>
      <c r="E609">
        <v>30.591958699999999</v>
      </c>
      <c r="F609">
        <v>12.398980509999999</v>
      </c>
      <c r="G609">
        <v>17.588609380000001</v>
      </c>
      <c r="H609">
        <v>9.2966842179999993</v>
      </c>
      <c r="I609">
        <v>6.7731968480000004</v>
      </c>
      <c r="J609">
        <v>3.1853939539999998</v>
      </c>
      <c r="K609">
        <v>30.591958699999999</v>
      </c>
      <c r="L609">
        <v>12.398980509999999</v>
      </c>
      <c r="M609">
        <v>17.588609380000001</v>
      </c>
      <c r="N609">
        <v>0.11853161500000001</v>
      </c>
      <c r="O609">
        <v>44.743045809999998</v>
      </c>
      <c r="P609">
        <v>8.1847272469009091</v>
      </c>
      <c r="Q609">
        <v>58.598661185098102</v>
      </c>
      <c r="R609">
        <v>0.34397166358540698</v>
      </c>
      <c r="S609">
        <v>0.27461344097944101</v>
      </c>
      <c r="T609">
        <v>0.16311158885817301</v>
      </c>
      <c r="U609">
        <v>0.32233992200740003</v>
      </c>
      <c r="V609">
        <v>0.60720977268213105</v>
      </c>
      <c r="W609">
        <v>0.55981525837910395</v>
      </c>
      <c r="X609">
        <v>0.16255020619909699</v>
      </c>
      <c r="Y609">
        <v>0.56739397413515802</v>
      </c>
      <c r="Z609">
        <v>7.0107616366032396E-3</v>
      </c>
      <c r="AA609">
        <v>1.35305364222647E-3</v>
      </c>
    </row>
    <row r="610" spans="1:27" x14ac:dyDescent="0.55000000000000004">
      <c r="A610">
        <v>1163</v>
      </c>
      <c r="B610">
        <v>9.5115240389999993</v>
      </c>
      <c r="C610">
        <v>-6.7806740149999998</v>
      </c>
      <c r="D610">
        <v>-3.1417485950000001</v>
      </c>
      <c r="E610">
        <v>30.841803819999999</v>
      </c>
      <c r="F610">
        <v>12.927564350000001</v>
      </c>
      <c r="G610">
        <v>17.947628900000002</v>
      </c>
      <c r="H610">
        <v>9.5115240389999993</v>
      </c>
      <c r="I610">
        <v>6.7806740149999998</v>
      </c>
      <c r="J610">
        <v>3.1417485950000001</v>
      </c>
      <c r="K610">
        <v>30.841803819999999</v>
      </c>
      <c r="L610">
        <v>12.927564350000001</v>
      </c>
      <c r="M610">
        <v>17.947628900000002</v>
      </c>
      <c r="N610">
        <v>9.7826316999999996E-2</v>
      </c>
      <c r="O610">
        <v>33.652332309999998</v>
      </c>
      <c r="P610">
        <v>20.461818117252299</v>
      </c>
      <c r="Q610">
        <v>49.238213583486903</v>
      </c>
      <c r="R610">
        <v>0.35208780719043697</v>
      </c>
      <c r="S610">
        <v>0.274917354751471</v>
      </c>
      <c r="T610">
        <v>0.16087343073763</v>
      </c>
      <c r="U610">
        <v>0.329469903770988</v>
      </c>
      <c r="V610">
        <v>0.63320635160746197</v>
      </c>
      <c r="W610">
        <v>0.57957971379870399</v>
      </c>
      <c r="X610">
        <v>0.133205139543315</v>
      </c>
      <c r="Y610">
        <v>0.42353959067955099</v>
      </c>
      <c r="Z610">
        <v>1.7526904091508099E-2</v>
      </c>
      <c r="AA610">
        <v>1.1366984425160199E-3</v>
      </c>
    </row>
    <row r="611" spans="1:27" x14ac:dyDescent="0.55000000000000004">
      <c r="A611">
        <v>1164</v>
      </c>
      <c r="B611">
        <v>10.287516399999999</v>
      </c>
      <c r="C611">
        <v>-6.7230511469999996</v>
      </c>
      <c r="D611">
        <v>-2.8070552900000001</v>
      </c>
      <c r="E611">
        <v>31.059049730000002</v>
      </c>
      <c r="F611">
        <v>14.377093179999999</v>
      </c>
      <c r="G611">
        <v>18.77711197</v>
      </c>
      <c r="H611">
        <v>10.287516399999999</v>
      </c>
      <c r="I611">
        <v>6.7230511469999996</v>
      </c>
      <c r="J611">
        <v>2.8070552900000001</v>
      </c>
      <c r="K611">
        <v>31.059049730000002</v>
      </c>
      <c r="L611">
        <v>14.377093179999999</v>
      </c>
      <c r="M611">
        <v>18.77711197</v>
      </c>
      <c r="N611">
        <v>8.6503379000000005E-2</v>
      </c>
      <c r="O611">
        <v>37.339893340000003</v>
      </c>
      <c r="P611">
        <v>338.61592813506002</v>
      </c>
      <c r="Q611">
        <v>24.406536624985101</v>
      </c>
      <c r="R611">
        <v>0.381402975155887</v>
      </c>
      <c r="S611">
        <v>0.27257523999476202</v>
      </c>
      <c r="T611">
        <v>0.143710173162475</v>
      </c>
      <c r="U611">
        <v>0.33566958210176301</v>
      </c>
      <c r="V611">
        <v>0.70449644370266695</v>
      </c>
      <c r="W611">
        <v>0.62524375222850204</v>
      </c>
      <c r="X611">
        <v>0.117157441492831</v>
      </c>
      <c r="Y611">
        <v>0.47136986042960499</v>
      </c>
      <c r="Z611">
        <v>0.29004699691256802</v>
      </c>
      <c r="AA611">
        <v>5.6274486079016799E-4</v>
      </c>
    </row>
    <row r="612" spans="1:27" x14ac:dyDescent="0.55000000000000004">
      <c r="A612">
        <v>1165</v>
      </c>
      <c r="B612">
        <v>10.506927360000001</v>
      </c>
      <c r="C612">
        <v>-6.8615971089999999</v>
      </c>
      <c r="D612">
        <v>-2.8188089249999999</v>
      </c>
      <c r="E612">
        <v>31.244092640000002</v>
      </c>
      <c r="F612">
        <v>15.056836089999999</v>
      </c>
      <c r="G612">
        <v>19.458302249999999</v>
      </c>
      <c r="H612">
        <v>10.506927360000001</v>
      </c>
      <c r="I612">
        <v>6.8615971089999999</v>
      </c>
      <c r="J612">
        <v>2.8188089249999999</v>
      </c>
      <c r="K612">
        <v>31.244092640000002</v>
      </c>
      <c r="L612">
        <v>15.056836089999999</v>
      </c>
      <c r="M612">
        <v>19.458302249999999</v>
      </c>
      <c r="N612">
        <v>0.119634621</v>
      </c>
      <c r="O612">
        <v>46.42424011</v>
      </c>
      <c r="P612">
        <v>355.999419632902</v>
      </c>
      <c r="Q612">
        <v>4.0322422947451599</v>
      </c>
      <c r="R612">
        <v>0.389691805651038</v>
      </c>
      <c r="S612">
        <v>0.27820652065373003</v>
      </c>
      <c r="T612">
        <v>0.14431290605833999</v>
      </c>
      <c r="U612">
        <v>0.34095026388486599</v>
      </c>
      <c r="V612">
        <v>0.73792726180854895</v>
      </c>
      <c r="W612">
        <v>0.66274409460911798</v>
      </c>
      <c r="X612">
        <v>0.16411346718629599</v>
      </c>
      <c r="Y612">
        <v>0.589200251025782</v>
      </c>
      <c r="Z612">
        <v>0.30493711012305302</v>
      </c>
      <c r="AA612" s="1">
        <v>9.1818180102404094E-5</v>
      </c>
    </row>
    <row r="613" spans="1:27" x14ac:dyDescent="0.55000000000000004">
      <c r="A613">
        <v>2000</v>
      </c>
      <c r="B613">
        <v>10.763475140000001</v>
      </c>
      <c r="C613">
        <v>-7.0482254590000002</v>
      </c>
      <c r="D613">
        <v>-2.8443320409999999</v>
      </c>
      <c r="E613">
        <v>31.924057359999999</v>
      </c>
      <c r="F613">
        <v>14.23094835</v>
      </c>
      <c r="G613">
        <v>19.16265464</v>
      </c>
      <c r="H613">
        <v>10.763475140000001</v>
      </c>
      <c r="I613">
        <v>7.0482254590000002</v>
      </c>
      <c r="J613">
        <v>2.8443320409999999</v>
      </c>
      <c r="K613">
        <v>31.924057359999999</v>
      </c>
      <c r="L613">
        <v>14.23094835</v>
      </c>
      <c r="M613">
        <v>19.16265464</v>
      </c>
      <c r="N613">
        <v>0.16113430300000001</v>
      </c>
      <c r="O613">
        <v>52.94516754</v>
      </c>
      <c r="P613">
        <v>44.4999274541128</v>
      </c>
      <c r="Q613">
        <v>162.38002348977599</v>
      </c>
      <c r="R613">
        <v>0.39938357794138801</v>
      </c>
      <c r="S613">
        <v>0.28579213774858298</v>
      </c>
      <c r="T613">
        <v>0.14562174554656501</v>
      </c>
      <c r="U613">
        <v>0.36035482961535897</v>
      </c>
      <c r="V613">
        <v>0.69730881267780598</v>
      </c>
      <c r="W613">
        <v>0.64646833888487198</v>
      </c>
      <c r="X613">
        <v>0.22292985970978199</v>
      </c>
      <c r="Y613">
        <v>0.67378128316599595</v>
      </c>
      <c r="Z613">
        <v>3.81171387653816E-2</v>
      </c>
      <c r="AA613">
        <v>3.75183181217061E-3</v>
      </c>
    </row>
    <row r="614" spans="1:27" x14ac:dyDescent="0.55000000000000004">
      <c r="A614">
        <v>2001</v>
      </c>
      <c r="B614">
        <v>10.584597390000001</v>
      </c>
      <c r="C614">
        <v>-7.1083010130000002</v>
      </c>
      <c r="D614">
        <v>-2.9649635170000002</v>
      </c>
      <c r="E614">
        <v>31.086315280000001</v>
      </c>
      <c r="F614">
        <v>13.94543616</v>
      </c>
      <c r="G614">
        <v>18.686494379999999</v>
      </c>
      <c r="H614">
        <v>10.584597390000001</v>
      </c>
      <c r="I614">
        <v>7.1083010130000002</v>
      </c>
      <c r="J614">
        <v>2.9649635170000002</v>
      </c>
      <c r="K614">
        <v>31.086315280000001</v>
      </c>
      <c r="L614">
        <v>13.94543616</v>
      </c>
      <c r="M614">
        <v>18.686494379999999</v>
      </c>
      <c r="N614">
        <v>0.13657541600000001</v>
      </c>
      <c r="O614">
        <v>47.776451109999996</v>
      </c>
      <c r="P614">
        <v>58.216588714129202</v>
      </c>
      <c r="Q614">
        <v>71.616349448799994</v>
      </c>
      <c r="R614">
        <v>0.39262599687477301</v>
      </c>
      <c r="S614">
        <v>0.28823394334459901</v>
      </c>
      <c r="T614">
        <v>0.151807794276339</v>
      </c>
      <c r="U614">
        <v>0.33644767564337102</v>
      </c>
      <c r="V614">
        <v>0.68326687718942802</v>
      </c>
      <c r="W614">
        <v>0.620255145152801</v>
      </c>
      <c r="X614">
        <v>0.188123204137531</v>
      </c>
      <c r="Y614">
        <v>0.60673938227345903</v>
      </c>
      <c r="Z614">
        <v>4.98663687205297E-2</v>
      </c>
      <c r="AA614">
        <v>1.6539414484438601E-3</v>
      </c>
    </row>
    <row r="615" spans="1:27" x14ac:dyDescent="0.55000000000000004">
      <c r="A615">
        <v>2002</v>
      </c>
      <c r="B615">
        <v>9.9770982539999995</v>
      </c>
      <c r="C615">
        <v>-7.9657227089999996</v>
      </c>
      <c r="D615">
        <v>-3.8246559580000001</v>
      </c>
      <c r="E615">
        <v>30.23957163</v>
      </c>
      <c r="F615">
        <v>12.5594152</v>
      </c>
      <c r="G615">
        <v>17.237475910000001</v>
      </c>
      <c r="H615">
        <v>9.9770982539999995</v>
      </c>
      <c r="I615">
        <v>7.9657227089999996</v>
      </c>
      <c r="J615">
        <v>3.8246559580000001</v>
      </c>
      <c r="K615">
        <v>30.23957163</v>
      </c>
      <c r="L615">
        <v>12.5594152</v>
      </c>
      <c r="M615">
        <v>17.237475910000001</v>
      </c>
      <c r="N615">
        <v>9.2055812000000001E-2</v>
      </c>
      <c r="O615">
        <v>45.794361109999997</v>
      </c>
      <c r="P615">
        <v>47.937120826762097</v>
      </c>
      <c r="Q615">
        <v>3.60624335913778</v>
      </c>
      <c r="R615">
        <v>0.36967610702307901</v>
      </c>
      <c r="S615">
        <v>0.323084343483033</v>
      </c>
      <c r="T615">
        <v>0.195893297571056</v>
      </c>
      <c r="U615">
        <v>0.31228363840728801</v>
      </c>
      <c r="V615">
        <v>0.61510020134326104</v>
      </c>
      <c r="W615">
        <v>0.54048493947570697</v>
      </c>
      <c r="X615">
        <v>0.12502675670320701</v>
      </c>
      <c r="Y615">
        <v>0.58103027574000399</v>
      </c>
      <c r="Z615">
        <v>4.1061322817902299E-2</v>
      </c>
      <c r="AA615" s="1">
        <v>8.1971740197766705E-5</v>
      </c>
    </row>
    <row r="616" spans="1:27" x14ac:dyDescent="0.55000000000000004">
      <c r="A616">
        <v>2003</v>
      </c>
      <c r="B616">
        <v>8.5144572919999995</v>
      </c>
      <c r="C616">
        <v>-11.876365249999999</v>
      </c>
      <c r="D616">
        <v>-7.168401684</v>
      </c>
      <c r="E616">
        <v>26.777375989999999</v>
      </c>
      <c r="F616">
        <v>7.4784086319999998</v>
      </c>
      <c r="G616">
        <v>11.14138256</v>
      </c>
      <c r="H616">
        <v>8.5144572919999995</v>
      </c>
      <c r="I616">
        <v>11.876365249999999</v>
      </c>
      <c r="J616">
        <v>7.168401684</v>
      </c>
      <c r="K616">
        <v>26.777375989999999</v>
      </c>
      <c r="L616">
        <v>7.4784086319999998</v>
      </c>
      <c r="M616">
        <v>11.14138256</v>
      </c>
      <c r="N616">
        <v>0.123142987</v>
      </c>
      <c r="O616">
        <v>53.344573969999999</v>
      </c>
      <c r="P616">
        <v>4.3579200751601999</v>
      </c>
      <c r="Q616">
        <v>188.42772894510401</v>
      </c>
      <c r="R616">
        <v>0.31442096840428801</v>
      </c>
      <c r="S616">
        <v>0.48203466861246702</v>
      </c>
      <c r="T616">
        <v>0.36736242558711402</v>
      </c>
      <c r="U616">
        <v>0.21348086100994601</v>
      </c>
      <c r="V616">
        <v>0.36520836154517899</v>
      </c>
      <c r="W616">
        <v>0.20488768490360701</v>
      </c>
      <c r="X616">
        <v>0.16908578075178399</v>
      </c>
      <c r="Y616">
        <v>0.67896186651943402</v>
      </c>
      <c r="Z616">
        <v>3.7328475289002002E-3</v>
      </c>
      <c r="AA616">
        <v>4.3538923925659596E-3</v>
      </c>
    </row>
    <row r="617" spans="1:27" x14ac:dyDescent="0.55000000000000004">
      <c r="A617">
        <v>2004</v>
      </c>
      <c r="B617">
        <v>7.9791692090000002</v>
      </c>
      <c r="C617">
        <v>-12.396340329999999</v>
      </c>
      <c r="D617">
        <v>-7.6287071759999998</v>
      </c>
      <c r="E617">
        <v>25.83706523</v>
      </c>
      <c r="F617">
        <v>6.6334068620000002</v>
      </c>
      <c r="G617">
        <v>9.5821622299999998</v>
      </c>
      <c r="H617">
        <v>7.9791692090000002</v>
      </c>
      <c r="I617">
        <v>12.396340329999999</v>
      </c>
      <c r="J617">
        <v>7.6287071759999998</v>
      </c>
      <c r="K617">
        <v>25.83706523</v>
      </c>
      <c r="L617">
        <v>6.6334068620000002</v>
      </c>
      <c r="M617">
        <v>9.5821622299999998</v>
      </c>
      <c r="N617">
        <v>5.5478804E-2</v>
      </c>
      <c r="O617">
        <v>26.954084399999999</v>
      </c>
      <c r="P617">
        <v>47.937120826762097</v>
      </c>
      <c r="Q617">
        <v>8.6552289676857193</v>
      </c>
      <c r="R617">
        <v>0.29419904245281697</v>
      </c>
      <c r="S617">
        <v>0.50316935611169</v>
      </c>
      <c r="T617">
        <v>0.39096714550361999</v>
      </c>
      <c r="U617">
        <v>0.18664664239120701</v>
      </c>
      <c r="V617">
        <v>0.32364985456197398</v>
      </c>
      <c r="W617">
        <v>0.119050734585088</v>
      </c>
      <c r="X617">
        <v>7.3187138754744002E-2</v>
      </c>
      <c r="Y617">
        <v>0.33665858673639898</v>
      </c>
      <c r="Z617">
        <v>4.1061322817902299E-2</v>
      </c>
      <c r="AA617">
        <v>1.9867281435201301E-4</v>
      </c>
    </row>
    <row r="618" spans="1:27" x14ac:dyDescent="0.55000000000000004">
      <c r="A618">
        <v>2005</v>
      </c>
      <c r="B618">
        <v>7.6446012000000003</v>
      </c>
      <c r="C618">
        <v>-12.561998060000001</v>
      </c>
      <c r="D618">
        <v>-7.816527464</v>
      </c>
      <c r="E618">
        <v>25.07924551</v>
      </c>
      <c r="F618">
        <v>5.2012125899999999</v>
      </c>
      <c r="G618">
        <v>8.2091945749999997</v>
      </c>
      <c r="H618">
        <v>7.6446012000000003</v>
      </c>
      <c r="I618">
        <v>12.561998060000001</v>
      </c>
      <c r="J618">
        <v>7.816527464</v>
      </c>
      <c r="K618">
        <v>25.07924551</v>
      </c>
      <c r="L618">
        <v>5.2012125899999999</v>
      </c>
      <c r="M618">
        <v>8.2091945749999997</v>
      </c>
      <c r="N618">
        <v>6.7885712000000001E-2</v>
      </c>
      <c r="O618">
        <v>36.657054899999999</v>
      </c>
      <c r="P618">
        <v>47.937120826762097</v>
      </c>
      <c r="Q618">
        <v>2.0277942509653299</v>
      </c>
      <c r="R618">
        <v>0.28155984924341199</v>
      </c>
      <c r="S618">
        <v>0.50990261024260097</v>
      </c>
      <c r="T618">
        <v>0.40059867362989598</v>
      </c>
      <c r="U618">
        <v>0.16502028129323101</v>
      </c>
      <c r="V618">
        <v>0.253212303106647</v>
      </c>
      <c r="W618">
        <v>4.3467217538995698E-2</v>
      </c>
      <c r="X618">
        <v>9.0771118577307006E-2</v>
      </c>
      <c r="Y618">
        <v>0.46251296382092599</v>
      </c>
      <c r="Z618">
        <v>4.1061322817902299E-2</v>
      </c>
      <c r="AA618" s="1">
        <v>4.5487836161741301E-5</v>
      </c>
    </row>
    <row r="619" spans="1:27" x14ac:dyDescent="0.55000000000000004">
      <c r="A619">
        <v>2006</v>
      </c>
      <c r="B619">
        <v>6.812820973</v>
      </c>
      <c r="C619">
        <v>-13.156913429999999</v>
      </c>
      <c r="D619">
        <v>-8.4393559979999999</v>
      </c>
      <c r="E619">
        <v>25.152830659999999</v>
      </c>
      <c r="F619">
        <v>4.7461079530000001</v>
      </c>
      <c r="G619">
        <v>8.1682676359999995</v>
      </c>
      <c r="H619">
        <v>6.812820973</v>
      </c>
      <c r="I619">
        <v>13.156913429999999</v>
      </c>
      <c r="J619">
        <v>8.4393559979999999</v>
      </c>
      <c r="K619">
        <v>25.152830659999999</v>
      </c>
      <c r="L619">
        <v>4.7461079530000001</v>
      </c>
      <c r="M619">
        <v>8.1682676359999995</v>
      </c>
      <c r="N619">
        <v>6.3391327999999997E-2</v>
      </c>
      <c r="O619">
        <v>30.616359710000001</v>
      </c>
      <c r="P619">
        <v>7.4822490179337704</v>
      </c>
      <c r="Q619">
        <v>182.459219247101</v>
      </c>
      <c r="R619">
        <v>0.25013714679126098</v>
      </c>
      <c r="S619">
        <v>0.53408328911943304</v>
      </c>
      <c r="T619">
        <v>0.43253766492283002</v>
      </c>
      <c r="U619">
        <v>0.16712022536086299</v>
      </c>
      <c r="V619">
        <v>0.23082954616300999</v>
      </c>
      <c r="W619">
        <v>4.1214140432418903E-2</v>
      </c>
      <c r="X619">
        <v>8.4401347997010101E-2</v>
      </c>
      <c r="Y619">
        <v>0.38416088284789301</v>
      </c>
      <c r="Z619">
        <v>6.4090424504133102E-3</v>
      </c>
      <c r="AA619">
        <v>4.2159376533649397E-3</v>
      </c>
    </row>
    <row r="620" spans="1:27" x14ac:dyDescent="0.55000000000000004">
      <c r="A620">
        <v>2007</v>
      </c>
      <c r="B620">
        <v>6.3453887910000004</v>
      </c>
      <c r="C620">
        <v>-13.864784090000001</v>
      </c>
      <c r="D620">
        <v>-9.0325615159999995</v>
      </c>
      <c r="E620">
        <v>24.75009433</v>
      </c>
      <c r="F620">
        <v>4.5210449690000001</v>
      </c>
      <c r="G620">
        <v>8.0410124609999993</v>
      </c>
      <c r="H620">
        <v>6.3453887910000004</v>
      </c>
      <c r="I620">
        <v>13.864784090000001</v>
      </c>
      <c r="J620">
        <v>9.0325615159999995</v>
      </c>
      <c r="K620">
        <v>24.75009433</v>
      </c>
      <c r="L620">
        <v>4.5210449690000001</v>
      </c>
      <c r="M620">
        <v>8.0410124609999993</v>
      </c>
      <c r="N620">
        <v>6.9417030000000005E-2</v>
      </c>
      <c r="O620">
        <v>39.031528469999998</v>
      </c>
      <c r="P620">
        <v>52.375743125536403</v>
      </c>
      <c r="Q620">
        <v>2.0619524039065098</v>
      </c>
      <c r="R620">
        <v>0.232478657331225</v>
      </c>
      <c r="S620">
        <v>0.56285510100889702</v>
      </c>
      <c r="T620">
        <v>0.46295757159063</v>
      </c>
      <c r="U620">
        <v>0.15562709438262301</v>
      </c>
      <c r="V620">
        <v>0.21976059705036499</v>
      </c>
      <c r="W620">
        <v>3.4208590335307598E-2</v>
      </c>
      <c r="X620">
        <v>9.2941414739245803E-2</v>
      </c>
      <c r="Y620">
        <v>0.493311562255912</v>
      </c>
      <c r="Z620">
        <v>4.4863297152893201E-2</v>
      </c>
      <c r="AA620" s="1">
        <v>4.6277359731111697E-5</v>
      </c>
    </row>
    <row r="621" spans="1:27" x14ac:dyDescent="0.55000000000000004">
      <c r="A621">
        <v>2008</v>
      </c>
      <c r="B621">
        <v>5.4734933300000002</v>
      </c>
      <c r="C621">
        <v>-14.92634284</v>
      </c>
      <c r="D621">
        <v>-9.9920177979999991</v>
      </c>
      <c r="E621">
        <v>24.457660059999998</v>
      </c>
      <c r="F621">
        <v>4.0554828199999999</v>
      </c>
      <c r="G621">
        <v>7.4196165550000002</v>
      </c>
      <c r="H621">
        <v>5.4734933300000002</v>
      </c>
      <c r="I621">
        <v>14.92634284</v>
      </c>
      <c r="J621">
        <v>9.9920177979999991</v>
      </c>
      <c r="K621">
        <v>24.457660059999998</v>
      </c>
      <c r="L621">
        <v>4.0554828199999999</v>
      </c>
      <c r="M621">
        <v>7.4196165550000002</v>
      </c>
      <c r="N621">
        <v>7.3082364999999996E-2</v>
      </c>
      <c r="O621">
        <v>44.925216669999998</v>
      </c>
      <c r="P621">
        <v>52.375743125536403</v>
      </c>
      <c r="Q621">
        <v>5.85151388555298</v>
      </c>
      <c r="R621">
        <v>0.19954049560165499</v>
      </c>
      <c r="S621">
        <v>0.60600276963046995</v>
      </c>
      <c r="T621">
        <v>0.51215901976440503</v>
      </c>
      <c r="U621">
        <v>0.14728172020782199</v>
      </c>
      <c r="V621">
        <v>0.19686352333141599</v>
      </c>
      <c r="W621">
        <v>0</v>
      </c>
      <c r="X621">
        <v>9.8136196282151894E-2</v>
      </c>
      <c r="Y621">
        <v>0.56975685879076399</v>
      </c>
      <c r="Z621">
        <v>4.4863297152893201E-2</v>
      </c>
      <c r="AA621">
        <v>1.3386839875744101E-4</v>
      </c>
    </row>
    <row r="622" spans="1:27" x14ac:dyDescent="0.55000000000000004">
      <c r="A622">
        <v>2009</v>
      </c>
      <c r="B622">
        <v>5.9728958800000003</v>
      </c>
      <c r="C622">
        <v>-13.8436924</v>
      </c>
      <c r="D622">
        <v>-9.0403985210000002</v>
      </c>
      <c r="E622">
        <v>24.786592349999999</v>
      </c>
      <c r="F622">
        <v>4.2896312700000001</v>
      </c>
      <c r="G622">
        <v>7.7826235429999997</v>
      </c>
      <c r="H622">
        <v>5.9728958800000003</v>
      </c>
      <c r="I622">
        <v>13.8436924</v>
      </c>
      <c r="J622">
        <v>9.0403985210000002</v>
      </c>
      <c r="K622">
        <v>24.786592349999999</v>
      </c>
      <c r="L622">
        <v>4.2896312700000001</v>
      </c>
      <c r="M622">
        <v>7.7826235429999997</v>
      </c>
      <c r="N622">
        <v>0.11220880599999999</v>
      </c>
      <c r="O622">
        <v>54.831336980000003</v>
      </c>
      <c r="P622">
        <v>5.2375743125536403</v>
      </c>
      <c r="Q622">
        <v>203.706092489958</v>
      </c>
      <c r="R622">
        <v>0.21840675044050101</v>
      </c>
      <c r="S622">
        <v>0.56199781708486596</v>
      </c>
      <c r="T622">
        <v>0.46335945753642999</v>
      </c>
      <c r="U622">
        <v>0.156668660521706</v>
      </c>
      <c r="V622">
        <v>0.208379309853889</v>
      </c>
      <c r="W622">
        <v>1.9983970318185398E-2</v>
      </c>
      <c r="X622">
        <v>0.15358905762945199</v>
      </c>
      <c r="Y622">
        <v>0.69824623232224303</v>
      </c>
      <c r="Z622">
        <v>4.4863297152893198E-3</v>
      </c>
      <c r="AA622">
        <v>4.7070329192461999E-3</v>
      </c>
    </row>
    <row r="623" spans="1:27" x14ac:dyDescent="0.55000000000000004">
      <c r="A623">
        <v>2010</v>
      </c>
      <c r="B623">
        <v>6.4904681589999997</v>
      </c>
      <c r="C623">
        <v>-12.869654819999999</v>
      </c>
      <c r="D623">
        <v>-8.1683566039999995</v>
      </c>
      <c r="E623">
        <v>24.693722579999999</v>
      </c>
      <c r="F623">
        <v>4.794525159</v>
      </c>
      <c r="G623">
        <v>8.1662791559999999</v>
      </c>
      <c r="H623">
        <v>6.4904681589999997</v>
      </c>
      <c r="I623">
        <v>12.869654819999999</v>
      </c>
      <c r="J623">
        <v>8.1683566039999995</v>
      </c>
      <c r="K623">
        <v>24.693722579999999</v>
      </c>
      <c r="L623">
        <v>4.794525159</v>
      </c>
      <c r="M623">
        <v>8.1662791559999999</v>
      </c>
      <c r="N623">
        <v>8.4754676000000001E-2</v>
      </c>
      <c r="O623">
        <v>42.226451869999998</v>
      </c>
      <c r="P623">
        <v>52.375743125536403</v>
      </c>
      <c r="Q623">
        <v>2.1449804219142701</v>
      </c>
      <c r="R623">
        <v>0.237959414945592</v>
      </c>
      <c r="S623">
        <v>0.52240749697606503</v>
      </c>
      <c r="T623">
        <v>0.41864066629020702</v>
      </c>
      <c r="U623">
        <v>0.154018379553686</v>
      </c>
      <c r="V623">
        <v>0.23321077998416301</v>
      </c>
      <c r="W623">
        <v>4.1104672222131197E-2</v>
      </c>
      <c r="X623">
        <v>0.114679051367938</v>
      </c>
      <c r="Y623">
        <v>0.53475197417304399</v>
      </c>
      <c r="Z623">
        <v>4.4863297152893201E-2</v>
      </c>
      <c r="AA623" s="1">
        <v>4.81964499479663E-5</v>
      </c>
    </row>
    <row r="624" spans="1:27" x14ac:dyDescent="0.55000000000000004">
      <c r="A624">
        <v>2011</v>
      </c>
      <c r="B624">
        <v>6.9661464129999997</v>
      </c>
      <c r="C624">
        <v>-12.14034889</v>
      </c>
      <c r="D624">
        <v>-7.5075767969999996</v>
      </c>
      <c r="E624">
        <v>24.991280509999999</v>
      </c>
      <c r="F624">
        <v>4.2420529739999999</v>
      </c>
      <c r="G624">
        <v>7.9909936899999998</v>
      </c>
      <c r="H624">
        <v>6.9661464129999997</v>
      </c>
      <c r="I624">
        <v>12.14034889</v>
      </c>
      <c r="J624">
        <v>7.5075767969999996</v>
      </c>
      <c r="K624">
        <v>24.991280509999999</v>
      </c>
      <c r="L624">
        <v>4.2420529739999999</v>
      </c>
      <c r="M624">
        <v>7.9909936899999998</v>
      </c>
      <c r="N624">
        <v>9.0589099000000006E-2</v>
      </c>
      <c r="O624">
        <v>42.274387359999999</v>
      </c>
      <c r="P624">
        <v>26.187871562768201</v>
      </c>
      <c r="Q624">
        <v>43.117249325460399</v>
      </c>
      <c r="R624">
        <v>0.25592942162910098</v>
      </c>
      <c r="S624">
        <v>0.49276443615499499</v>
      </c>
      <c r="T624">
        <v>0.384755512752396</v>
      </c>
      <c r="U624">
        <v>0.16250997072229001</v>
      </c>
      <c r="V624">
        <v>0.206039334936955</v>
      </c>
      <c r="W624">
        <v>3.1454996966421497E-2</v>
      </c>
      <c r="X624">
        <v>0.12294802348478601</v>
      </c>
      <c r="Y624">
        <v>0.53537373131784705</v>
      </c>
      <c r="Z624">
        <v>2.2431648576446601E-2</v>
      </c>
      <c r="AA624">
        <v>9.9521990422071099E-4</v>
      </c>
    </row>
    <row r="625" spans="1:27" x14ac:dyDescent="0.55000000000000004">
      <c r="A625">
        <v>2012</v>
      </c>
      <c r="B625">
        <v>7.6454913329999998</v>
      </c>
      <c r="C625">
        <v>-10.79606321</v>
      </c>
      <c r="D625">
        <v>-6.2920514259999996</v>
      </c>
      <c r="E625">
        <v>24.771828419999999</v>
      </c>
      <c r="F625">
        <v>4.7675224140000001</v>
      </c>
      <c r="G625">
        <v>8.5654467279999995</v>
      </c>
      <c r="H625">
        <v>7.6454913329999998</v>
      </c>
      <c r="I625">
        <v>10.79606321</v>
      </c>
      <c r="J625">
        <v>6.2920514259999996</v>
      </c>
      <c r="K625">
        <v>24.771828419999999</v>
      </c>
      <c r="L625">
        <v>4.7675224140000001</v>
      </c>
      <c r="M625">
        <v>8.5654467279999995</v>
      </c>
      <c r="N625">
        <v>0.111613818</v>
      </c>
      <c r="O625">
        <v>47.132816310000003</v>
      </c>
      <c r="P625">
        <v>52.375743125536403</v>
      </c>
      <c r="Q625">
        <v>2.7961447474531398</v>
      </c>
      <c r="R625">
        <v>0.28159347637651</v>
      </c>
      <c r="S625">
        <v>0.43812516814145702</v>
      </c>
      <c r="T625">
        <v>0.32242270023435299</v>
      </c>
      <c r="U625">
        <v>0.156247333294426</v>
      </c>
      <c r="V625">
        <v>0.231882742805438</v>
      </c>
      <c r="W625">
        <v>6.3079326084249404E-2</v>
      </c>
      <c r="X625">
        <v>0.15274579700507501</v>
      </c>
      <c r="Y625">
        <v>0.59839098455093498</v>
      </c>
      <c r="Z625">
        <v>4.4863297152893201E-2</v>
      </c>
      <c r="AA625" s="1">
        <v>6.3247310087606498E-5</v>
      </c>
    </row>
    <row r="626" spans="1:27" x14ac:dyDescent="0.55000000000000004">
      <c r="A626">
        <v>2013</v>
      </c>
      <c r="B626">
        <v>7.7311230980000003</v>
      </c>
      <c r="C626">
        <v>-10.708216090000001</v>
      </c>
      <c r="D626">
        <v>-6.2020857549999997</v>
      </c>
      <c r="E626">
        <v>24.709010630000002</v>
      </c>
      <c r="F626">
        <v>4.8132312180000003</v>
      </c>
      <c r="G626">
        <v>8.5372864350000004</v>
      </c>
      <c r="H626">
        <v>7.7311230980000003</v>
      </c>
      <c r="I626">
        <v>10.708216090000001</v>
      </c>
      <c r="J626">
        <v>6.2020857549999997</v>
      </c>
      <c r="K626">
        <v>24.709010630000002</v>
      </c>
      <c r="L626">
        <v>4.8132312180000003</v>
      </c>
      <c r="M626">
        <v>8.5372864350000004</v>
      </c>
      <c r="N626">
        <v>0.106029965</v>
      </c>
      <c r="O626">
        <v>47.32867813</v>
      </c>
      <c r="P626">
        <v>52.375743125536403</v>
      </c>
      <c r="Q626">
        <v>1.4229235598863299</v>
      </c>
      <c r="R626">
        <v>0.28482844323999601</v>
      </c>
      <c r="S626">
        <v>0.43455457120264501</v>
      </c>
      <c r="T626">
        <v>0.31780921092570202</v>
      </c>
      <c r="U626">
        <v>0.154454663911375</v>
      </c>
      <c r="V626">
        <v>0.23413077318557299</v>
      </c>
      <c r="W626">
        <v>6.1529068160665397E-2</v>
      </c>
      <c r="X626">
        <v>0.144831951066654</v>
      </c>
      <c r="Y626">
        <v>0.60093145062271602</v>
      </c>
      <c r="Z626">
        <v>4.4863297152893201E-2</v>
      </c>
      <c r="AA626" s="1">
        <v>3.1506996277025999E-5</v>
      </c>
    </row>
    <row r="627" spans="1:27" x14ac:dyDescent="0.55000000000000004">
      <c r="A627">
        <v>2014</v>
      </c>
      <c r="B627">
        <v>8.7592906339999992</v>
      </c>
      <c r="C627">
        <v>-9.3433956990000002</v>
      </c>
      <c r="D627">
        <v>-4.9645724170000003</v>
      </c>
      <c r="E627">
        <v>25.597361790000001</v>
      </c>
      <c r="F627">
        <v>5.1854533590000003</v>
      </c>
      <c r="G627">
        <v>8.7513562050000004</v>
      </c>
      <c r="H627">
        <v>8.7592906339999992</v>
      </c>
      <c r="I627">
        <v>9.3433956990000002</v>
      </c>
      <c r="J627">
        <v>4.9645724170000003</v>
      </c>
      <c r="K627">
        <v>25.597361790000001</v>
      </c>
      <c r="L627">
        <v>5.1854533590000003</v>
      </c>
      <c r="M627">
        <v>8.7513562050000004</v>
      </c>
      <c r="N627">
        <v>0.119767159</v>
      </c>
      <c r="O627">
        <v>49.183383939999999</v>
      </c>
      <c r="P627">
        <v>2.2772062228494101</v>
      </c>
      <c r="Q627">
        <v>173.54751265294999</v>
      </c>
      <c r="R627">
        <v>0.32367019675367897</v>
      </c>
      <c r="S627">
        <v>0.37908065799828</v>
      </c>
      <c r="T627">
        <v>0.254348843313077</v>
      </c>
      <c r="U627">
        <v>0.17980607990245701</v>
      </c>
      <c r="V627">
        <v>0.25243723950936803</v>
      </c>
      <c r="W627">
        <v>7.3313865894919394E-2</v>
      </c>
      <c r="X627">
        <v>0.164301309758976</v>
      </c>
      <c r="Y627">
        <v>0.62498829428647795</v>
      </c>
      <c r="Z627">
        <v>1.95057813708231E-3</v>
      </c>
      <c r="AA627">
        <v>4.0099545484964597E-3</v>
      </c>
    </row>
    <row r="628" spans="1:27" x14ac:dyDescent="0.55000000000000004">
      <c r="A628">
        <v>2015</v>
      </c>
      <c r="B628">
        <v>8.9859656809999997</v>
      </c>
      <c r="C628">
        <v>-8.6062296170000003</v>
      </c>
      <c r="D628">
        <v>-4.2967116499999998</v>
      </c>
      <c r="E628">
        <v>25.085666490000001</v>
      </c>
      <c r="F628">
        <v>4.9132776150000002</v>
      </c>
      <c r="G628">
        <v>8.4256824679999998</v>
      </c>
      <c r="H628">
        <v>8.9859656809999997</v>
      </c>
      <c r="I628">
        <v>8.6062296170000003</v>
      </c>
      <c r="J628">
        <v>4.2967116499999998</v>
      </c>
      <c r="K628">
        <v>25.085666490000001</v>
      </c>
      <c r="L628">
        <v>4.9132776150000002</v>
      </c>
      <c r="M628">
        <v>8.4256824679999998</v>
      </c>
      <c r="N628">
        <v>0.10591331900000001</v>
      </c>
      <c r="O628">
        <v>41.352630619999999</v>
      </c>
      <c r="P628">
        <v>52.375743125536403</v>
      </c>
      <c r="Q628">
        <v>3.4941866435933902</v>
      </c>
      <c r="R628">
        <v>0.33223344738647997</v>
      </c>
      <c r="S628">
        <v>0.34911811675861698</v>
      </c>
      <c r="T628">
        <v>0.22010057423472901</v>
      </c>
      <c r="U628">
        <v>0.165203520694923</v>
      </c>
      <c r="V628">
        <v>0.23905121126745901</v>
      </c>
      <c r="W628">
        <v>5.5385135846283198E-2</v>
      </c>
      <c r="X628">
        <v>0.144666631801743</v>
      </c>
      <c r="Y628">
        <v>0.52341789569656305</v>
      </c>
      <c r="Z628">
        <v>4.4863297152893201E-2</v>
      </c>
      <c r="AA628" s="1">
        <v>7.9381687445766806E-5</v>
      </c>
    </row>
    <row r="629" spans="1:27" x14ac:dyDescent="0.55000000000000004">
      <c r="A629">
        <v>2016</v>
      </c>
      <c r="B629">
        <v>9.2777858319999993</v>
      </c>
      <c r="C629">
        <v>-8.0841906520000002</v>
      </c>
      <c r="D629">
        <v>-3.8206267029999998</v>
      </c>
      <c r="E629">
        <v>25.446021770000002</v>
      </c>
      <c r="F629">
        <v>4.9719474779999997</v>
      </c>
      <c r="G629">
        <v>9.0281328789999993</v>
      </c>
      <c r="H629">
        <v>9.2777858319999993</v>
      </c>
      <c r="I629">
        <v>8.0841906520000002</v>
      </c>
      <c r="J629">
        <v>3.8206267029999998</v>
      </c>
      <c r="K629">
        <v>25.446021770000002</v>
      </c>
      <c r="L629">
        <v>4.9719474779999997</v>
      </c>
      <c r="M629">
        <v>9.0281328789999993</v>
      </c>
      <c r="N629">
        <v>0.14200831899999999</v>
      </c>
      <c r="O629">
        <v>48.076511379999999</v>
      </c>
      <c r="P629">
        <v>28.407182712155301</v>
      </c>
      <c r="Q629">
        <v>23.2906505983896</v>
      </c>
      <c r="R629">
        <v>0.34325772696990697</v>
      </c>
      <c r="S629">
        <v>0.32789954146132999</v>
      </c>
      <c r="T629">
        <v>0.195686675148773</v>
      </c>
      <c r="U629">
        <v>0.17548719793789799</v>
      </c>
      <c r="V629">
        <v>0.24193668677503</v>
      </c>
      <c r="W629">
        <v>8.8550753946182101E-2</v>
      </c>
      <c r="X629">
        <v>0.19582311266670999</v>
      </c>
      <c r="Y629">
        <v>0.61063137579942794</v>
      </c>
      <c r="Z629">
        <v>2.4332635743942101E-2</v>
      </c>
      <c r="AA629">
        <v>5.3695253178908395E-4</v>
      </c>
    </row>
    <row r="630" spans="1:27" x14ac:dyDescent="0.55000000000000004">
      <c r="A630">
        <v>2017</v>
      </c>
      <c r="B630">
        <v>9.4082556349999997</v>
      </c>
      <c r="C630">
        <v>-7.770986261</v>
      </c>
      <c r="D630">
        <v>-3.5720872689999998</v>
      </c>
      <c r="E630">
        <v>25.611825029999999</v>
      </c>
      <c r="F630">
        <v>4.9334369730000001</v>
      </c>
      <c r="G630">
        <v>9.039730681</v>
      </c>
      <c r="H630">
        <v>9.4082556349999997</v>
      </c>
      <c r="I630">
        <v>7.770986261</v>
      </c>
      <c r="J630">
        <v>3.5720872689999998</v>
      </c>
      <c r="K630">
        <v>25.611825029999999</v>
      </c>
      <c r="L630">
        <v>4.9334369730000001</v>
      </c>
      <c r="M630">
        <v>9.039730681</v>
      </c>
      <c r="N630">
        <v>0.117826499</v>
      </c>
      <c r="O630">
        <v>41.096534730000002</v>
      </c>
      <c r="P630">
        <v>28.407182712155301</v>
      </c>
      <c r="Q630">
        <v>24.2062606684113</v>
      </c>
      <c r="R630">
        <v>0.348186569548248</v>
      </c>
      <c r="S630">
        <v>0.315169168061186</v>
      </c>
      <c r="T630">
        <v>0.182941435672514</v>
      </c>
      <c r="U630">
        <v>0.180218826156786</v>
      </c>
      <c r="V630">
        <v>0.24004267998381501</v>
      </c>
      <c r="W630">
        <v>8.9189226864296298E-2</v>
      </c>
      <c r="X630">
        <v>0.16155086409737701</v>
      </c>
      <c r="Y630">
        <v>0.52009615121533903</v>
      </c>
      <c r="Z630">
        <v>2.4332635743942101E-2</v>
      </c>
      <c r="AA630">
        <v>5.5811572910481101E-4</v>
      </c>
    </row>
    <row r="631" spans="1:27" x14ac:dyDescent="0.55000000000000004">
      <c r="A631">
        <v>2018</v>
      </c>
      <c r="B631">
        <v>9.3860451739999995</v>
      </c>
      <c r="C631">
        <v>-7.7059308990000002</v>
      </c>
      <c r="D631">
        <v>-3.5262929989999998</v>
      </c>
      <c r="E631">
        <v>25.738974679999998</v>
      </c>
      <c r="F631">
        <v>4.8279801720000002</v>
      </c>
      <c r="G631">
        <v>8.9717944620000001</v>
      </c>
      <c r="H631">
        <v>9.3860451739999995</v>
      </c>
      <c r="I631">
        <v>7.7059308990000002</v>
      </c>
      <c r="J631">
        <v>3.5262929989999998</v>
      </c>
      <c r="K631">
        <v>25.738974679999998</v>
      </c>
      <c r="L631">
        <v>4.8279801720000002</v>
      </c>
      <c r="M631">
        <v>8.9717944620000001</v>
      </c>
      <c r="N631">
        <v>0.16505968600000001</v>
      </c>
      <c r="O631">
        <v>52.65048599</v>
      </c>
      <c r="P631">
        <v>56.814365424310701</v>
      </c>
      <c r="Q631">
        <v>5.36291248103268</v>
      </c>
      <c r="R631">
        <v>0.34734751052198898</v>
      </c>
      <c r="S631">
        <v>0.31252495529233798</v>
      </c>
      <c r="T631">
        <v>0.18059308020876799</v>
      </c>
      <c r="U631">
        <v>0.18384737285702399</v>
      </c>
      <c r="V631">
        <v>0.23485614978189001</v>
      </c>
      <c r="W631">
        <v>8.5449256481065702E-2</v>
      </c>
      <c r="X631">
        <v>0.22849320034774201</v>
      </c>
      <c r="Y631">
        <v>0.66995905543547196</v>
      </c>
      <c r="Z631">
        <v>4.8665271487884097E-2</v>
      </c>
      <c r="AA631">
        <v>1.2257498000729501E-4</v>
      </c>
    </row>
    <row r="632" spans="1:27" x14ac:dyDescent="0.55000000000000004">
      <c r="A632">
        <v>2019</v>
      </c>
      <c r="B632">
        <v>9.3973694590000001</v>
      </c>
      <c r="C632">
        <v>-7.4680729440000002</v>
      </c>
      <c r="D632">
        <v>-3.3561191849999998</v>
      </c>
      <c r="E632">
        <v>25.784517659999999</v>
      </c>
      <c r="F632">
        <v>5.5818796810000002</v>
      </c>
      <c r="G632">
        <v>9.0978795130000005</v>
      </c>
      <c r="H632">
        <v>9.3973694590000001</v>
      </c>
      <c r="I632">
        <v>7.4680729440000002</v>
      </c>
      <c r="J632">
        <v>3.3561191849999998</v>
      </c>
      <c r="K632">
        <v>25.784517659999999</v>
      </c>
      <c r="L632">
        <v>5.5818796810000002</v>
      </c>
      <c r="M632">
        <v>9.0978795130000005</v>
      </c>
      <c r="N632">
        <v>0.132557064</v>
      </c>
      <c r="O632">
        <v>42.651786799999996</v>
      </c>
      <c r="P632">
        <v>56.814365424310701</v>
      </c>
      <c r="Q632">
        <v>3.5969348189615098</v>
      </c>
      <c r="R632">
        <v>0.34777531539939299</v>
      </c>
      <c r="S632">
        <v>0.30285708130859001</v>
      </c>
      <c r="T632">
        <v>0.17186647301766</v>
      </c>
      <c r="U632">
        <v>0.18514706050695401</v>
      </c>
      <c r="V632">
        <v>0.27193410526287198</v>
      </c>
      <c r="W632">
        <v>9.2390389847762502E-2</v>
      </c>
      <c r="X632">
        <v>0.18242810101530599</v>
      </c>
      <c r="Y632">
        <v>0.54026886847540601</v>
      </c>
      <c r="Z632">
        <v>4.8665271487884097E-2</v>
      </c>
      <c r="AA632" s="1">
        <v>8.17565847741626E-5</v>
      </c>
    </row>
    <row r="633" spans="1:27" x14ac:dyDescent="0.55000000000000004">
      <c r="A633">
        <v>2020</v>
      </c>
      <c r="B633">
        <v>9.4231331419999993</v>
      </c>
      <c r="C633">
        <v>-7.375730184</v>
      </c>
      <c r="D633">
        <v>-3.3092835169999999</v>
      </c>
      <c r="E633">
        <v>25.698098359999999</v>
      </c>
      <c r="F633">
        <v>5.7193960580000001</v>
      </c>
      <c r="G633">
        <v>9.0320783139999996</v>
      </c>
      <c r="H633">
        <v>9.4231331419999993</v>
      </c>
      <c r="I633">
        <v>7.375730184</v>
      </c>
      <c r="J633">
        <v>3.3092835169999999</v>
      </c>
      <c r="K633">
        <v>25.698098359999999</v>
      </c>
      <c r="L633">
        <v>5.7193960580000001</v>
      </c>
      <c r="M633">
        <v>9.0320783139999996</v>
      </c>
      <c r="N633">
        <v>0.20451307299999999</v>
      </c>
      <c r="O633">
        <v>56.918315890000002</v>
      </c>
      <c r="P633">
        <v>5.1649423113009698</v>
      </c>
      <c r="Q633">
        <v>219.665620129568</v>
      </c>
      <c r="R633">
        <v>0.34874860680342201</v>
      </c>
      <c r="S633">
        <v>0.29910375648499299</v>
      </c>
      <c r="T633">
        <v>0.16946471408917299</v>
      </c>
      <c r="U633">
        <v>0.18268086051464699</v>
      </c>
      <c r="V633">
        <v>0.278697375491122</v>
      </c>
      <c r="W633">
        <v>8.8767954877675803E-2</v>
      </c>
      <c r="X633">
        <v>0.284409433541361</v>
      </c>
      <c r="Y633">
        <v>0.72531582206350798</v>
      </c>
      <c r="Z633">
        <v>4.4241155898076499E-3</v>
      </c>
      <c r="AA633">
        <v>5.07591771372525E-3</v>
      </c>
    </row>
    <row r="634" spans="1:27" x14ac:dyDescent="0.55000000000000004">
      <c r="A634">
        <v>2021</v>
      </c>
      <c r="B634">
        <v>9.0801356119999994</v>
      </c>
      <c r="C634">
        <v>-7.5190846320000002</v>
      </c>
      <c r="D634">
        <v>-3.5218645409999998</v>
      </c>
      <c r="E634">
        <v>25.29259841</v>
      </c>
      <c r="F634">
        <v>5.6705815619999997</v>
      </c>
      <c r="G634">
        <v>8.8702392460000006</v>
      </c>
      <c r="H634">
        <v>9.0801356119999994</v>
      </c>
      <c r="I634">
        <v>7.5190846320000002</v>
      </c>
      <c r="J634">
        <v>3.5218645409999998</v>
      </c>
      <c r="K634">
        <v>25.29259841</v>
      </c>
      <c r="L634">
        <v>5.6705815619999997</v>
      </c>
      <c r="M634">
        <v>8.8702392460000006</v>
      </c>
      <c r="N634">
        <v>0.20451350500000001</v>
      </c>
      <c r="O634">
        <v>53.052478790000002</v>
      </c>
      <c r="P634">
        <v>5.6814365424310704</v>
      </c>
      <c r="Q634">
        <v>54.365854890271599</v>
      </c>
      <c r="R634">
        <v>0.33579096609839398</v>
      </c>
      <c r="S634">
        <v>0.30493048083513602</v>
      </c>
      <c r="T634">
        <v>0.18036598643611301</v>
      </c>
      <c r="U634">
        <v>0.17110886243585499</v>
      </c>
      <c r="V634">
        <v>0.27629660232718201</v>
      </c>
      <c r="W634">
        <v>7.9858519968299402E-2</v>
      </c>
      <c r="X634">
        <v>0.28441004580343998</v>
      </c>
      <c r="Y634">
        <v>0.67517318583362895</v>
      </c>
      <c r="Z634">
        <v>4.8665271487884198E-3</v>
      </c>
      <c r="AA634">
        <v>1.2552175461091001E-3</v>
      </c>
    </row>
    <row r="635" spans="1:27" x14ac:dyDescent="0.55000000000000004">
      <c r="A635">
        <v>2022</v>
      </c>
      <c r="B635">
        <v>8.9521781580000006</v>
      </c>
      <c r="C635">
        <v>-7.553432613</v>
      </c>
      <c r="D635">
        <v>-3.6099116019999999</v>
      </c>
      <c r="E635">
        <v>27.532938210000001</v>
      </c>
      <c r="F635">
        <v>7.3804078799999999</v>
      </c>
      <c r="G635">
        <v>11.83734175</v>
      </c>
      <c r="H635">
        <v>8.9521781580000006</v>
      </c>
      <c r="I635">
        <v>7.553432613</v>
      </c>
      <c r="J635">
        <v>3.6099116019999999</v>
      </c>
      <c r="K635">
        <v>27.532938210000001</v>
      </c>
      <c r="L635">
        <v>7.3804078799999999</v>
      </c>
      <c r="M635">
        <v>11.83734175</v>
      </c>
      <c r="N635">
        <v>0.33226916200000001</v>
      </c>
      <c r="O635">
        <v>76.280487059999999</v>
      </c>
      <c r="P635">
        <v>8.7676489852331299E-2</v>
      </c>
      <c r="Q635">
        <v>33583.214360176302</v>
      </c>
      <c r="R635">
        <v>0.330957034161735</v>
      </c>
      <c r="S635">
        <v>0.30632657436458799</v>
      </c>
      <c r="T635">
        <v>0.184881088364066</v>
      </c>
      <c r="U635">
        <v>0.23504279846085799</v>
      </c>
      <c r="V635">
        <v>0.360388531479792</v>
      </c>
      <c r="W635">
        <v>0.24320107350324599</v>
      </c>
      <c r="X635">
        <v>0.46547473129206302</v>
      </c>
      <c r="Y635">
        <v>0.97645685063865595</v>
      </c>
      <c r="Z635" s="1">
        <v>7.5100727604759506E-5</v>
      </c>
      <c r="AA635">
        <v>0.77623319116072997</v>
      </c>
    </row>
    <row r="636" spans="1:27" x14ac:dyDescent="0.55000000000000004">
      <c r="A636">
        <v>2023</v>
      </c>
      <c r="B636">
        <v>7.895132974</v>
      </c>
      <c r="C636">
        <v>-8.4328580439999996</v>
      </c>
      <c r="D636">
        <v>-4.4325382529999997</v>
      </c>
      <c r="E636">
        <v>28.166507540000001</v>
      </c>
      <c r="F636">
        <v>7.8180118539999999</v>
      </c>
      <c r="G636">
        <v>12.7209615</v>
      </c>
      <c r="H636">
        <v>7.895132974</v>
      </c>
      <c r="I636">
        <v>8.4328580439999996</v>
      </c>
      <c r="J636">
        <v>4.4325382529999997</v>
      </c>
      <c r="K636">
        <v>28.166507540000001</v>
      </c>
      <c r="L636">
        <v>7.8180118539999999</v>
      </c>
      <c r="M636">
        <v>12.7209615</v>
      </c>
      <c r="N636">
        <v>0.26939755700000001</v>
      </c>
      <c r="O636">
        <v>65.605781559999997</v>
      </c>
      <c r="P636">
        <v>6.2426127430187203E-2</v>
      </c>
      <c r="Q636">
        <v>43264.319745777997</v>
      </c>
      <c r="R636">
        <v>0.29102435096354201</v>
      </c>
      <c r="S636">
        <v>0.34207132902293602</v>
      </c>
      <c r="T636">
        <v>0.22706583747131301</v>
      </c>
      <c r="U636">
        <v>0.253123350800117</v>
      </c>
      <c r="V636">
        <v>0.381910578480187</v>
      </c>
      <c r="W636">
        <v>0.29184540113410201</v>
      </c>
      <c r="X636">
        <v>0.37636848227884001</v>
      </c>
      <c r="Y636">
        <v>0.83799838461907294</v>
      </c>
      <c r="Z636" s="1">
        <v>5.3472117775821701E-5</v>
      </c>
      <c r="AA636">
        <v>1</v>
      </c>
    </row>
    <row r="637" spans="1:27" x14ac:dyDescent="0.55000000000000004">
      <c r="A637">
        <v>2024</v>
      </c>
      <c r="B637">
        <v>5.3278995260000004</v>
      </c>
      <c r="C637">
        <v>-11.96423953</v>
      </c>
      <c r="D637">
        <v>-7.7477636189999997</v>
      </c>
      <c r="E637">
        <v>26.703063969999999</v>
      </c>
      <c r="F637">
        <v>6.483990092</v>
      </c>
      <c r="G637">
        <v>11.991465140000001</v>
      </c>
      <c r="H637">
        <v>5.3278995260000004</v>
      </c>
      <c r="I637">
        <v>11.96423953</v>
      </c>
      <c r="J637">
        <v>7.7477636189999997</v>
      </c>
      <c r="K637">
        <v>26.703063969999999</v>
      </c>
      <c r="L637">
        <v>6.483990092</v>
      </c>
      <c r="M637">
        <v>11.991465140000001</v>
      </c>
      <c r="N637">
        <v>0.16405648</v>
      </c>
      <c r="O637">
        <v>55.400653839999997</v>
      </c>
      <c r="P637">
        <v>3.1920559825969099</v>
      </c>
      <c r="Q637">
        <v>104.654881352723</v>
      </c>
      <c r="R637">
        <v>0.194040303804034</v>
      </c>
      <c r="S637">
        <v>0.485606369485169</v>
      </c>
      <c r="T637">
        <v>0.39707242567105799</v>
      </c>
      <c r="U637">
        <v>0.211360173812152</v>
      </c>
      <c r="V637">
        <v>0.31630130441698101</v>
      </c>
      <c r="W637">
        <v>0.251685751079475</v>
      </c>
      <c r="X637">
        <v>0.227071383238929</v>
      </c>
      <c r="Y637">
        <v>0.70563067389907996</v>
      </c>
      <c r="Z637">
        <v>2.73420762227035E-3</v>
      </c>
      <c r="AA637">
        <v>2.4175863586491002E-3</v>
      </c>
    </row>
    <row r="638" spans="1:27" x14ac:dyDescent="0.55000000000000004">
      <c r="A638">
        <v>2025</v>
      </c>
      <c r="B638">
        <v>5.6788880549999998</v>
      </c>
      <c r="C638">
        <v>-10.34155236</v>
      </c>
      <c r="D638">
        <v>-6.7319237200000002</v>
      </c>
      <c r="E638">
        <v>27.755233870000001</v>
      </c>
      <c r="F638">
        <v>8.3731987189999995</v>
      </c>
      <c r="G638">
        <v>13.410709300000001</v>
      </c>
      <c r="H638">
        <v>5.6788880549999998</v>
      </c>
      <c r="I638">
        <v>10.34155236</v>
      </c>
      <c r="J638">
        <v>6.7319237200000002</v>
      </c>
      <c r="K638">
        <v>27.755233870000001</v>
      </c>
      <c r="L638">
        <v>8.3731987189999995</v>
      </c>
      <c r="M638">
        <v>13.410709300000001</v>
      </c>
      <c r="N638">
        <v>0.31231620900000001</v>
      </c>
      <c r="O638">
        <v>64.963226320000004</v>
      </c>
      <c r="P638">
        <v>0.15518062535560401</v>
      </c>
      <c r="Q638">
        <v>20903.9026086587</v>
      </c>
      <c r="R638">
        <v>0.20729982567396801</v>
      </c>
      <c r="S638">
        <v>0.41965131208713202</v>
      </c>
      <c r="T638">
        <v>0.344979594469499</v>
      </c>
      <c r="U638">
        <v>0.24138658457092799</v>
      </c>
      <c r="V638">
        <v>0.40921553573025898</v>
      </c>
      <c r="W638">
        <v>0.32981684526022398</v>
      </c>
      <c r="X638">
        <v>0.437195943140128</v>
      </c>
      <c r="Y638">
        <v>0.82966398955185106</v>
      </c>
      <c r="Z638">
        <v>1.32922496030532E-4</v>
      </c>
      <c r="AA638">
        <v>0.483166540617392</v>
      </c>
    </row>
    <row r="639" spans="1:27" x14ac:dyDescent="0.55000000000000004">
      <c r="A639">
        <v>2026</v>
      </c>
      <c r="B639">
        <v>8.9294603279999993</v>
      </c>
      <c r="C639">
        <v>-5.8280723730000004</v>
      </c>
      <c r="D639">
        <v>-2.4006284820000001</v>
      </c>
      <c r="E639">
        <v>29.808701159999998</v>
      </c>
      <c r="F639">
        <v>9.4302193370000005</v>
      </c>
      <c r="G639">
        <v>14.371722999999999</v>
      </c>
      <c r="H639">
        <v>8.9294603279999993</v>
      </c>
      <c r="I639">
        <v>5.8280723730000004</v>
      </c>
      <c r="J639">
        <v>2.4006284820000001</v>
      </c>
      <c r="K639">
        <v>29.808701159999998</v>
      </c>
      <c r="L639">
        <v>9.4302193370000005</v>
      </c>
      <c r="M639">
        <v>14.371722999999999</v>
      </c>
      <c r="N639">
        <v>0.337489963</v>
      </c>
      <c r="O639">
        <v>59.742141719999999</v>
      </c>
      <c r="P639">
        <v>0.111987339766496</v>
      </c>
      <c r="Q639">
        <v>34094.662404397299</v>
      </c>
      <c r="R639">
        <v>0.33009880792687502</v>
      </c>
      <c r="S639">
        <v>0.236198310725521</v>
      </c>
      <c r="T639">
        <v>0.12286838192571201</v>
      </c>
      <c r="U639">
        <v>0.29998762640766002</v>
      </c>
      <c r="V639">
        <v>0.461201460842043</v>
      </c>
      <c r="W639">
        <v>0.38272180271566902</v>
      </c>
      <c r="X639">
        <v>0.47287403331329297</v>
      </c>
      <c r="Y639">
        <v>0.76194283652571204</v>
      </c>
      <c r="Z639" s="1">
        <v>9.5924582669200701E-5</v>
      </c>
      <c r="AA639">
        <v>0.78805468180503302</v>
      </c>
    </row>
    <row r="640" spans="1:27" x14ac:dyDescent="0.55000000000000004">
      <c r="A640">
        <v>2027</v>
      </c>
      <c r="B640">
        <v>9.347351454</v>
      </c>
      <c r="C640">
        <v>-5.2714224459999999</v>
      </c>
      <c r="D640">
        <v>-2.2153145849999998</v>
      </c>
      <c r="E640">
        <v>29.345394760000001</v>
      </c>
      <c r="F640">
        <v>7.9717892309999998</v>
      </c>
      <c r="G640">
        <v>12.76060408</v>
      </c>
      <c r="H640">
        <v>9.347351454</v>
      </c>
      <c r="I640">
        <v>5.2714224459999999</v>
      </c>
      <c r="J640">
        <v>2.2153145849999998</v>
      </c>
      <c r="K640">
        <v>29.345394760000001</v>
      </c>
      <c r="L640">
        <v>7.9717892309999998</v>
      </c>
      <c r="M640">
        <v>12.76060408</v>
      </c>
      <c r="N640">
        <v>0.30621209700000002</v>
      </c>
      <c r="O640">
        <v>59.742141719999999</v>
      </c>
      <c r="P640">
        <v>7.8941044406415903E-2</v>
      </c>
      <c r="Q640">
        <v>17294.367864941101</v>
      </c>
      <c r="R640">
        <v>0.34588575270320598</v>
      </c>
      <c r="S640">
        <v>0.21357295288412101</v>
      </c>
      <c r="T640">
        <v>0.113365382914522</v>
      </c>
      <c r="U640">
        <v>0.28676597059563802</v>
      </c>
      <c r="V640">
        <v>0.38947359008892402</v>
      </c>
      <c r="W640">
        <v>0.294027772736426</v>
      </c>
      <c r="X640">
        <v>0.42854474799604603</v>
      </c>
      <c r="Y640">
        <v>0.76194283652571204</v>
      </c>
      <c r="Z640" s="1">
        <v>6.7618239311205999E-5</v>
      </c>
      <c r="AA640">
        <v>0.39973659756590901</v>
      </c>
    </row>
    <row r="641" spans="1:27" x14ac:dyDescent="0.55000000000000004">
      <c r="A641">
        <v>2028</v>
      </c>
      <c r="B641">
        <v>9.4885011010000007</v>
      </c>
      <c r="C641">
        <v>-6.9230842470000002</v>
      </c>
      <c r="D641">
        <v>-3.779580884</v>
      </c>
      <c r="E641">
        <v>28.358020549999999</v>
      </c>
      <c r="F641">
        <v>7.3494311320000003</v>
      </c>
      <c r="G641">
        <v>11.875897399999999</v>
      </c>
      <c r="H641">
        <v>9.4885011010000007</v>
      </c>
      <c r="I641">
        <v>6.9230842470000002</v>
      </c>
      <c r="J641">
        <v>3.779580884</v>
      </c>
      <c r="K641">
        <v>28.358020549999999</v>
      </c>
      <c r="L641">
        <v>7.3494311320000003</v>
      </c>
      <c r="M641">
        <v>11.875897399999999</v>
      </c>
      <c r="N641">
        <v>0.28038489799999999</v>
      </c>
      <c r="O641">
        <v>48.395629880000001</v>
      </c>
      <c r="P641">
        <v>0.17178016001114399</v>
      </c>
      <c r="Q641">
        <v>4354.33781125323</v>
      </c>
      <c r="R641">
        <v>0.35121805469228301</v>
      </c>
      <c r="S641">
        <v>0.28070570089685198</v>
      </c>
      <c r="T641">
        <v>0.193581822875495</v>
      </c>
      <c r="U641">
        <v>0.258588673752151</v>
      </c>
      <c r="V641">
        <v>0.35886504662593699</v>
      </c>
      <c r="W641">
        <v>0.24532360830469199</v>
      </c>
      <c r="X641">
        <v>0.391940547651422</v>
      </c>
      <c r="Y641">
        <v>0.61477056802243302</v>
      </c>
      <c r="Z641">
        <v>1.47141098219455E-4</v>
      </c>
      <c r="AA641">
        <v>0.100643765077543</v>
      </c>
    </row>
    <row r="642" spans="1:27" x14ac:dyDescent="0.55000000000000004">
      <c r="A642">
        <v>2029</v>
      </c>
      <c r="B642">
        <v>8.8271686969999994</v>
      </c>
      <c r="C642">
        <v>-7.5487506629999999</v>
      </c>
      <c r="D642">
        <v>-4.1615847209999997</v>
      </c>
      <c r="E642">
        <v>26.210786209999998</v>
      </c>
      <c r="F642">
        <v>7.0890895760000001</v>
      </c>
      <c r="G642">
        <v>11.07893063</v>
      </c>
      <c r="H642">
        <v>8.8271686969999994</v>
      </c>
      <c r="I642">
        <v>7.5487506629999999</v>
      </c>
      <c r="J642">
        <v>4.1615847209999997</v>
      </c>
      <c r="K642">
        <v>26.210786209999998</v>
      </c>
      <c r="L642">
        <v>7.0890895760000001</v>
      </c>
      <c r="M642">
        <v>11.07893063</v>
      </c>
      <c r="N642">
        <v>0.42692238100000002</v>
      </c>
      <c r="O642">
        <v>58.78125</v>
      </c>
      <c r="P642">
        <v>0.16047883369462199</v>
      </c>
      <c r="Q642">
        <v>5951.9256161569901</v>
      </c>
      <c r="R642">
        <v>0.32623447047339799</v>
      </c>
      <c r="S642">
        <v>0.30613627380222802</v>
      </c>
      <c r="T642">
        <v>0.21317119066738599</v>
      </c>
      <c r="U642">
        <v>0.19731174472368401</v>
      </c>
      <c r="V642">
        <v>0.34606104223545597</v>
      </c>
      <c r="W642">
        <v>0.20144963121128101</v>
      </c>
      <c r="X642">
        <v>0.59962421422823398</v>
      </c>
      <c r="Y642">
        <v>0.74947939258694396</v>
      </c>
      <c r="Z642">
        <v>1.3746076281028101E-4</v>
      </c>
      <c r="AA642">
        <v>0.13757003647993099</v>
      </c>
    </row>
    <row r="643" spans="1:27" x14ac:dyDescent="0.55000000000000004">
      <c r="A643">
        <v>2030</v>
      </c>
      <c r="B643">
        <v>3.7134401540000002</v>
      </c>
      <c r="C643">
        <v>-10.14833481</v>
      </c>
      <c r="D643">
        <v>-6.9728257740000004</v>
      </c>
      <c r="E643">
        <v>26.701975839999999</v>
      </c>
      <c r="F643">
        <v>8.8036666060000002</v>
      </c>
      <c r="G643">
        <v>12.37374829</v>
      </c>
      <c r="H643">
        <v>3.7134401540000002</v>
      </c>
      <c r="I643">
        <v>10.14833481</v>
      </c>
      <c r="J643">
        <v>6.9728257740000004</v>
      </c>
      <c r="K643">
        <v>26.701975839999999</v>
      </c>
      <c r="L643">
        <v>8.8036666060000002</v>
      </c>
      <c r="M643">
        <v>12.37374829</v>
      </c>
      <c r="N643">
        <v>0.70941960800000003</v>
      </c>
      <c r="O643">
        <v>71.938484189999997</v>
      </c>
      <c r="P643">
        <v>5.5414241250568798E-2</v>
      </c>
      <c r="Q643">
        <v>21127.544408784699</v>
      </c>
      <c r="R643">
        <v>0.133049822399571</v>
      </c>
      <c r="S643">
        <v>0.41179787315191302</v>
      </c>
      <c r="T643">
        <v>0.35733318488023702</v>
      </c>
      <c r="U643">
        <v>0.21132912118620301</v>
      </c>
      <c r="V643">
        <v>0.43038661882507301</v>
      </c>
      <c r="W643">
        <v>0.27273089724823801</v>
      </c>
      <c r="X643">
        <v>1</v>
      </c>
      <c r="Y643">
        <v>0.92013800822817204</v>
      </c>
      <c r="Z643" s="1">
        <v>4.74659722873559E-5</v>
      </c>
      <c r="AA643">
        <v>0.48833574495346999</v>
      </c>
    </row>
    <row r="644" spans="1:27" x14ac:dyDescent="0.55000000000000004">
      <c r="A644">
        <v>2031</v>
      </c>
      <c r="B644">
        <v>3.7134401540000002</v>
      </c>
      <c r="C644">
        <v>-10.14833481</v>
      </c>
      <c r="D644">
        <v>-6.9728257740000004</v>
      </c>
      <c r="E644">
        <v>26.701975839999999</v>
      </c>
      <c r="F644">
        <v>8.8036666060000002</v>
      </c>
      <c r="G644">
        <v>12.37374829</v>
      </c>
      <c r="H644">
        <v>3.7134401540000002</v>
      </c>
      <c r="I644">
        <v>10.14833481</v>
      </c>
      <c r="J644">
        <v>6.9728257740000004</v>
      </c>
      <c r="K644">
        <v>26.701975839999999</v>
      </c>
      <c r="L644">
        <v>8.8036666060000002</v>
      </c>
      <c r="M644">
        <v>12.37374829</v>
      </c>
      <c r="N644">
        <v>0.35294181099999999</v>
      </c>
      <c r="O644">
        <v>59.109596250000003</v>
      </c>
      <c r="P644">
        <v>9.6810443188245304E-2</v>
      </c>
      <c r="Q644">
        <v>8976.0210060541795</v>
      </c>
      <c r="R644">
        <v>0.133049822399571</v>
      </c>
      <c r="S644">
        <v>0.41179787315191302</v>
      </c>
      <c r="T644">
        <v>0.35733318488023702</v>
      </c>
      <c r="U644">
        <v>0.21132912118620301</v>
      </c>
      <c r="V644">
        <v>0.43038661882507301</v>
      </c>
      <c r="W644">
        <v>0.27273089724823801</v>
      </c>
      <c r="X644">
        <v>0.49477352539087699</v>
      </c>
      <c r="Y644">
        <v>0.75373827524167203</v>
      </c>
      <c r="Z644" s="1">
        <v>8.2924564332146695E-5</v>
      </c>
      <c r="AA644">
        <v>0.207468271037863</v>
      </c>
    </row>
    <row r="645" spans="1:27" x14ac:dyDescent="0.55000000000000004">
      <c r="A645">
        <v>2032</v>
      </c>
      <c r="B645">
        <v>-4.1439762440000001</v>
      </c>
      <c r="C645">
        <v>-16.94544625</v>
      </c>
      <c r="D645">
        <v>-14.18346448</v>
      </c>
      <c r="E645">
        <v>26.701975839999999</v>
      </c>
      <c r="F645">
        <v>8.8036666060000002</v>
      </c>
      <c r="G645">
        <v>12.37374829</v>
      </c>
      <c r="H645">
        <v>4.1439762440000001</v>
      </c>
      <c r="I645">
        <v>16.94544625</v>
      </c>
      <c r="J645">
        <v>14.18346448</v>
      </c>
      <c r="K645">
        <v>26.701975839999999</v>
      </c>
      <c r="L645">
        <v>8.8036666060000002</v>
      </c>
      <c r="M645">
        <v>12.37374829</v>
      </c>
      <c r="N645">
        <v>0.118900478</v>
      </c>
      <c r="O645">
        <v>22.641599660000001</v>
      </c>
      <c r="P645">
        <v>0.27328178655673002</v>
      </c>
      <c r="Q645">
        <v>3639.1005239900501</v>
      </c>
      <c r="R645">
        <v>0.14931446420258301</v>
      </c>
      <c r="S645">
        <v>0.68807039410002402</v>
      </c>
      <c r="T645">
        <v>0.72709872109991902</v>
      </c>
      <c r="U645">
        <v>0.21132912118620301</v>
      </c>
      <c r="V645">
        <v>0.43038661882507301</v>
      </c>
      <c r="W645">
        <v>0.27273089724823801</v>
      </c>
      <c r="X645">
        <v>0.16307298589161101</v>
      </c>
      <c r="Y645">
        <v>0.28072261530999698</v>
      </c>
      <c r="Z645">
        <v>2.3408397218120701E-4</v>
      </c>
      <c r="AA645">
        <v>8.4111937464988407E-2</v>
      </c>
    </row>
    <row r="646" spans="1:27" x14ac:dyDescent="0.55000000000000004">
      <c r="A646">
        <v>2033</v>
      </c>
      <c r="B646">
        <v>4.748917574</v>
      </c>
      <c r="C646">
        <v>-12.203144740000001</v>
      </c>
      <c r="D646">
        <v>-8.1794646760000003</v>
      </c>
      <c r="E646">
        <v>26.667321829999999</v>
      </c>
      <c r="F646">
        <v>7.2380332960000002</v>
      </c>
      <c r="G646">
        <v>13.15475708</v>
      </c>
      <c r="H646">
        <v>4.748917574</v>
      </c>
      <c r="I646">
        <v>12.203144740000001</v>
      </c>
      <c r="J646">
        <v>8.1794646760000003</v>
      </c>
      <c r="K646">
        <v>26.667321829999999</v>
      </c>
      <c r="L646">
        <v>7.2380332960000002</v>
      </c>
      <c r="M646">
        <v>13.15475708</v>
      </c>
      <c r="N646">
        <v>0.20941168099999999</v>
      </c>
      <c r="O646">
        <v>61.54581451</v>
      </c>
      <c r="P646">
        <v>30.1826316316651</v>
      </c>
      <c r="Q646">
        <v>20.550244953501199</v>
      </c>
      <c r="R646">
        <v>0.17216772615395001</v>
      </c>
      <c r="S646">
        <v>0.49531680975335701</v>
      </c>
      <c r="T646">
        <v>0.41921029435880403</v>
      </c>
      <c r="U646">
        <v>0.21034017867920099</v>
      </c>
      <c r="V646">
        <v>0.35338632704252199</v>
      </c>
      <c r="W646">
        <v>0.31572636839217599</v>
      </c>
      <c r="X646">
        <v>0.29135210001641199</v>
      </c>
      <c r="Y646">
        <v>0.78533774589390604</v>
      </c>
      <c r="Z646">
        <v>2.5853425477938501E-2</v>
      </c>
      <c r="AA646">
        <v>4.7361143574091902E-4</v>
      </c>
    </row>
    <row r="647" spans="1:27" x14ac:dyDescent="0.55000000000000004">
      <c r="A647">
        <v>2034</v>
      </c>
      <c r="B647">
        <v>6.5473171150000002</v>
      </c>
      <c r="C647">
        <v>-8.4831138920000004</v>
      </c>
      <c r="D647">
        <v>-5.1462208909999996</v>
      </c>
      <c r="E647">
        <v>27.401369880000001</v>
      </c>
      <c r="F647">
        <v>8.7611060550000008</v>
      </c>
      <c r="G647">
        <v>13.62620656</v>
      </c>
      <c r="H647">
        <v>6.5473171150000002</v>
      </c>
      <c r="I647">
        <v>8.4831138920000004</v>
      </c>
      <c r="J647">
        <v>5.1462208909999996</v>
      </c>
      <c r="K647">
        <v>27.401369880000001</v>
      </c>
      <c r="L647">
        <v>8.7611060550000008</v>
      </c>
      <c r="M647">
        <v>13.62620656</v>
      </c>
      <c r="N647">
        <v>0.11591395</v>
      </c>
      <c r="O647">
        <v>38.577083590000001</v>
      </c>
      <c r="P647">
        <v>3.35362573685167</v>
      </c>
      <c r="Q647">
        <v>273.02340602152401</v>
      </c>
      <c r="R647">
        <v>0.24010703491913499</v>
      </c>
      <c r="S647">
        <v>0.34411400699605799</v>
      </c>
      <c r="T647">
        <v>0.26366387740793601</v>
      </c>
      <c r="U647">
        <v>0.231288153208769</v>
      </c>
      <c r="V647">
        <v>0.42829342444520502</v>
      </c>
      <c r="W647">
        <v>0.34168022803204601</v>
      </c>
      <c r="X647">
        <v>0.158840259406372</v>
      </c>
      <c r="Y647">
        <v>0.487417091352218</v>
      </c>
      <c r="Z647">
        <v>2.8726028308820499E-3</v>
      </c>
      <c r="AA647">
        <v>6.3092171150032602E-3</v>
      </c>
    </row>
    <row r="648" spans="1:27" x14ac:dyDescent="0.55000000000000004">
      <c r="A648">
        <v>2035</v>
      </c>
      <c r="B648">
        <v>7.3921141720000003</v>
      </c>
      <c r="C648">
        <v>-7.8933704420000002</v>
      </c>
      <c r="D648">
        <v>-4.5118789499999998</v>
      </c>
      <c r="E648">
        <v>26.221084309999998</v>
      </c>
      <c r="F648">
        <v>8.1468321570000004</v>
      </c>
      <c r="G648">
        <v>13.090308029999999</v>
      </c>
      <c r="H648">
        <v>7.3921141720000003</v>
      </c>
      <c r="I648">
        <v>7.8933704420000002</v>
      </c>
      <c r="J648">
        <v>4.5118789499999998</v>
      </c>
      <c r="K648">
        <v>26.221084309999998</v>
      </c>
      <c r="L648">
        <v>8.1468321570000004</v>
      </c>
      <c r="M648">
        <v>13.090308029999999</v>
      </c>
      <c r="N648">
        <v>8.2968793999999998E-2</v>
      </c>
      <c r="O648">
        <v>30.447223659999999</v>
      </c>
      <c r="P648">
        <v>60.3652632633301</v>
      </c>
      <c r="Q648">
        <v>22.040354754482902</v>
      </c>
      <c r="R648">
        <v>0.272021482621634</v>
      </c>
      <c r="S648">
        <v>0.32014354379527599</v>
      </c>
      <c r="T648">
        <v>0.231134472243686</v>
      </c>
      <c r="U648">
        <v>0.19760562785095701</v>
      </c>
      <c r="V648">
        <v>0.39808247461532098</v>
      </c>
      <c r="W648">
        <v>0.31217837084719402</v>
      </c>
      <c r="X648">
        <v>0.11214796843789</v>
      </c>
      <c r="Y648">
        <v>0.38196706887976001</v>
      </c>
      <c r="Z648">
        <v>5.1706850955876897E-2</v>
      </c>
      <c r="AA648">
        <v>5.0805348566237605E-4</v>
      </c>
    </row>
    <row r="649" spans="1:27" x14ac:dyDescent="0.55000000000000004">
      <c r="A649">
        <v>2036</v>
      </c>
      <c r="B649">
        <v>8.4488373550000002</v>
      </c>
      <c r="C649">
        <v>-6.0025574170000002</v>
      </c>
      <c r="D649">
        <v>-2.8140762769999998</v>
      </c>
      <c r="E649">
        <v>26.87086575</v>
      </c>
      <c r="F649">
        <v>9.3261728220000002</v>
      </c>
      <c r="G649">
        <v>13.56545373</v>
      </c>
      <c r="H649">
        <v>8.4488373550000002</v>
      </c>
      <c r="I649">
        <v>6.0025574170000002</v>
      </c>
      <c r="J649">
        <v>2.8140762769999998</v>
      </c>
      <c r="K649">
        <v>26.87086575</v>
      </c>
      <c r="L649">
        <v>9.3261728220000002</v>
      </c>
      <c r="M649">
        <v>13.56545373</v>
      </c>
      <c r="N649">
        <v>0.146506891</v>
      </c>
      <c r="O649">
        <v>50.020141600000002</v>
      </c>
      <c r="P649">
        <v>0.84148881080928895</v>
      </c>
      <c r="Q649">
        <v>2126.00856560069</v>
      </c>
      <c r="R649">
        <v>0.31194200137868699</v>
      </c>
      <c r="S649">
        <v>0.24329035613321301</v>
      </c>
      <c r="T649">
        <v>0.144070213254441</v>
      </c>
      <c r="U649">
        <v>0.216148835008726</v>
      </c>
      <c r="V649">
        <v>0.45608429070853401</v>
      </c>
      <c r="W649">
        <v>0.33833571183373601</v>
      </c>
      <c r="X649">
        <v>0.20219881878771501</v>
      </c>
      <c r="Y649">
        <v>0.63584163183604703</v>
      </c>
      <c r="Z649">
        <v>7.2079096767536704E-4</v>
      </c>
      <c r="AA649">
        <v>4.9138683324742902E-2</v>
      </c>
    </row>
    <row r="650" spans="1:27" x14ac:dyDescent="0.55000000000000004">
      <c r="A650">
        <v>2037</v>
      </c>
      <c r="B650">
        <v>8.713377478</v>
      </c>
      <c r="C650">
        <v>-5.7322412800000002</v>
      </c>
      <c r="D650">
        <v>-2.378353669</v>
      </c>
      <c r="E650">
        <v>25.823245570000001</v>
      </c>
      <c r="F650">
        <v>7.7405550669999998</v>
      </c>
      <c r="G650">
        <v>12.218834790000001</v>
      </c>
      <c r="H650">
        <v>8.713377478</v>
      </c>
      <c r="I650">
        <v>5.7322412800000002</v>
      </c>
      <c r="J650">
        <v>2.378353669</v>
      </c>
      <c r="K650">
        <v>25.823245570000001</v>
      </c>
      <c r="L650">
        <v>7.7405550669999998</v>
      </c>
      <c r="M650">
        <v>12.218834790000001</v>
      </c>
      <c r="N650">
        <v>0.117800839</v>
      </c>
      <c r="O650">
        <v>47.18033981</v>
      </c>
      <c r="P650">
        <v>30.293597189134399</v>
      </c>
      <c r="Q650">
        <v>33.738881580623698</v>
      </c>
      <c r="R650">
        <v>0.32193570560710499</v>
      </c>
      <c r="S650">
        <v>0.23230320059204301</v>
      </c>
      <c r="T650">
        <v>0.121726117209788</v>
      </c>
      <c r="U650">
        <v>0.18625226236977999</v>
      </c>
      <c r="V650">
        <v>0.37810113270418999</v>
      </c>
      <c r="W650">
        <v>0.26420272316833199</v>
      </c>
      <c r="X650">
        <v>0.161514496863716</v>
      </c>
      <c r="Y650">
        <v>0.599007397894598</v>
      </c>
      <c r="Z650">
        <v>2.5948474836313198E-2</v>
      </c>
      <c r="AA650">
        <v>7.7845050250503799E-4</v>
      </c>
    </row>
    <row r="651" spans="1:27" x14ac:dyDescent="0.55000000000000004">
      <c r="A651">
        <v>2038</v>
      </c>
      <c r="B651">
        <v>8.8732397970000001</v>
      </c>
      <c r="C651">
        <v>-5.6713172969999999</v>
      </c>
      <c r="D651">
        <v>-2.2444325510000001</v>
      </c>
      <c r="E651">
        <v>25.842789969999998</v>
      </c>
      <c r="F651">
        <v>7.1380023750000001</v>
      </c>
      <c r="G651">
        <v>12.18507161</v>
      </c>
      <c r="H651">
        <v>8.8732397970000001</v>
      </c>
      <c r="I651">
        <v>5.6713172969999999</v>
      </c>
      <c r="J651">
        <v>2.2444325510000001</v>
      </c>
      <c r="K651">
        <v>25.842789969999998</v>
      </c>
      <c r="L651">
        <v>7.1380023750000001</v>
      </c>
      <c r="M651">
        <v>12.18507161</v>
      </c>
      <c r="N651">
        <v>0.122990683</v>
      </c>
      <c r="O651">
        <v>48.36978912</v>
      </c>
      <c r="P651">
        <v>60.587194378268798</v>
      </c>
      <c r="Q651">
        <v>1.1403617004741899</v>
      </c>
      <c r="R651">
        <v>0.32797492837315401</v>
      </c>
      <c r="S651">
        <v>0.229826910109213</v>
      </c>
      <c r="T651">
        <v>0.114858568296652</v>
      </c>
      <c r="U651">
        <v>0.186810012769629</v>
      </c>
      <c r="V651">
        <v>0.34846665009449002</v>
      </c>
      <c r="W651">
        <v>0.26234401959161902</v>
      </c>
      <c r="X651">
        <v>0.168869924354453</v>
      </c>
      <c r="Y651">
        <v>0.61443539512324796</v>
      </c>
      <c r="Z651">
        <v>5.1896949672626501E-2</v>
      </c>
      <c r="AA651" s="1">
        <v>2.4975927451519501E-5</v>
      </c>
    </row>
    <row r="652" spans="1:27" x14ac:dyDescent="0.55000000000000004">
      <c r="A652">
        <v>2039</v>
      </c>
      <c r="B652">
        <v>9.3948280139999998</v>
      </c>
      <c r="C652">
        <v>-5.1005657339999999</v>
      </c>
      <c r="D652">
        <v>-1.709780978</v>
      </c>
      <c r="E652">
        <v>26.431907809999998</v>
      </c>
      <c r="F652">
        <v>9.0996975930000001</v>
      </c>
      <c r="G652">
        <v>12.99460919</v>
      </c>
      <c r="H652">
        <v>9.3948280139999998</v>
      </c>
      <c r="I652">
        <v>5.1005657339999999</v>
      </c>
      <c r="J652">
        <v>1.709780978</v>
      </c>
      <c r="K652">
        <v>26.431907809999998</v>
      </c>
      <c r="L652">
        <v>9.0996975930000001</v>
      </c>
      <c r="M652">
        <v>12.99460919</v>
      </c>
      <c r="N652">
        <v>0.229383543</v>
      </c>
      <c r="O652">
        <v>55.283504489999999</v>
      </c>
      <c r="P652">
        <v>0.477064522663534</v>
      </c>
      <c r="Q652">
        <v>5677.0966037833696</v>
      </c>
      <c r="R652">
        <v>0.34767930557920101</v>
      </c>
      <c r="S652">
        <v>0.206628383126538</v>
      </c>
      <c r="T652">
        <v>8.7441340275430907E-2</v>
      </c>
      <c r="U652">
        <v>0.203622025971264</v>
      </c>
      <c r="V652">
        <v>0.44494588518079298</v>
      </c>
      <c r="W652">
        <v>0.30691003486120799</v>
      </c>
      <c r="X652">
        <v>0.31965768738975398</v>
      </c>
      <c r="Y652">
        <v>0.70411116412935404</v>
      </c>
      <c r="Z652">
        <v>4.0863739899705902E-4</v>
      </c>
      <c r="AA652">
        <v>0.13121770287484899</v>
      </c>
    </row>
    <row r="653" spans="1:27" x14ac:dyDescent="0.55000000000000004">
      <c r="A653">
        <v>2040</v>
      </c>
      <c r="B653">
        <v>9.9111733690000001</v>
      </c>
      <c r="C653">
        <v>-5.5087114860000002</v>
      </c>
      <c r="D653">
        <v>-1.681417926</v>
      </c>
      <c r="E653">
        <v>25.61880519</v>
      </c>
      <c r="F653">
        <v>8.0680975210000003</v>
      </c>
      <c r="G653">
        <v>12.161145210000001</v>
      </c>
      <c r="H653">
        <v>9.9111733690000001</v>
      </c>
      <c r="I653">
        <v>5.5087114860000002</v>
      </c>
      <c r="J653">
        <v>1.681417926</v>
      </c>
      <c r="K653">
        <v>25.61880519</v>
      </c>
      <c r="L653">
        <v>8.0680975210000003</v>
      </c>
      <c r="M653">
        <v>12.161145210000001</v>
      </c>
      <c r="N653">
        <v>0.14559021599999999</v>
      </c>
      <c r="O653">
        <v>44.973201750000001</v>
      </c>
      <c r="P653">
        <v>2.7539633808303998</v>
      </c>
      <c r="Q653">
        <v>1065.91635667025</v>
      </c>
      <c r="R653">
        <v>0.36718561977860698</v>
      </c>
      <c r="S653">
        <v>0.223217702989051</v>
      </c>
      <c r="T653">
        <v>8.5986867300258896E-2</v>
      </c>
      <c r="U653">
        <v>0.18041802321737699</v>
      </c>
      <c r="V653">
        <v>0.39421018222944099</v>
      </c>
      <c r="W653">
        <v>0.26102684255859399</v>
      </c>
      <c r="X653">
        <v>0.200899639757465</v>
      </c>
      <c r="Y653">
        <v>0.57037925915287502</v>
      </c>
      <c r="Z653">
        <v>2.3589522578466599E-3</v>
      </c>
      <c r="AA653">
        <v>2.4635959594399601E-2</v>
      </c>
    </row>
    <row r="654" spans="1:27" x14ac:dyDescent="0.55000000000000004">
      <c r="A654">
        <v>2041</v>
      </c>
      <c r="B654">
        <v>10.42763285</v>
      </c>
      <c r="C654">
        <v>-5.7251253149999997</v>
      </c>
      <c r="D654">
        <v>-1.763087391</v>
      </c>
      <c r="E654">
        <v>25.72929809</v>
      </c>
      <c r="F654">
        <v>7.8300596929999999</v>
      </c>
      <c r="G654">
        <v>12.124975539999999</v>
      </c>
      <c r="H654">
        <v>10.42763285</v>
      </c>
      <c r="I654">
        <v>5.7251253149999997</v>
      </c>
      <c r="J654">
        <v>1.763087391</v>
      </c>
      <c r="K654">
        <v>25.72929809</v>
      </c>
      <c r="L654">
        <v>7.8300596929999999</v>
      </c>
      <c r="M654">
        <v>12.124975539999999</v>
      </c>
      <c r="N654">
        <v>0.122598976</v>
      </c>
      <c r="O654">
        <v>38.286182400000001</v>
      </c>
      <c r="P654">
        <v>4.3276567413049198</v>
      </c>
      <c r="Q654">
        <v>476.44871432277102</v>
      </c>
      <c r="R654">
        <v>0.38669624539011899</v>
      </c>
      <c r="S654">
        <v>0.232013968083957</v>
      </c>
      <c r="T654">
        <v>9.0174922582153802E-2</v>
      </c>
      <c r="U654">
        <v>0.18357122613767299</v>
      </c>
      <c r="V654">
        <v>0.38250311002152798</v>
      </c>
      <c r="W654">
        <v>0.259035658819458</v>
      </c>
      <c r="X654">
        <v>0.16831476846997701</v>
      </c>
      <c r="Y654">
        <v>0.48364389755959603</v>
      </c>
      <c r="Z654">
        <v>3.7069249766161802E-3</v>
      </c>
      <c r="AA654">
        <v>1.10111421806486E-2</v>
      </c>
    </row>
    <row r="655" spans="1:27" x14ac:dyDescent="0.55000000000000004">
      <c r="A655">
        <v>2042</v>
      </c>
      <c r="B655">
        <v>10.509694769999999</v>
      </c>
      <c r="C655">
        <v>-5.9560587900000002</v>
      </c>
      <c r="D655">
        <v>-2.0109358570000002</v>
      </c>
      <c r="E655">
        <v>26.123086140000002</v>
      </c>
      <c r="F655">
        <v>8.3313723930000005</v>
      </c>
      <c r="G655">
        <v>12.48435548</v>
      </c>
      <c r="H655">
        <v>10.509694769999999</v>
      </c>
      <c r="I655">
        <v>5.9560587900000002</v>
      </c>
      <c r="J655">
        <v>2.0109358570000002</v>
      </c>
      <c r="K655">
        <v>26.123086140000002</v>
      </c>
      <c r="L655">
        <v>8.3313723930000005</v>
      </c>
      <c r="M655">
        <v>12.48435548</v>
      </c>
      <c r="N655">
        <v>0.138491631</v>
      </c>
      <c r="O655">
        <v>40.627208709999998</v>
      </c>
      <c r="P655">
        <v>1.48314940227335</v>
      </c>
      <c r="Q655">
        <v>1119.3992098646199</v>
      </c>
      <c r="R655">
        <v>0.38979635189795497</v>
      </c>
      <c r="S655">
        <v>0.24140039257806001</v>
      </c>
      <c r="T655">
        <v>0.10288472883766001</v>
      </c>
      <c r="U655">
        <v>0.194808994620879</v>
      </c>
      <c r="V655">
        <v>0.40715845168278703</v>
      </c>
      <c r="W655">
        <v>0.27881995579258201</v>
      </c>
      <c r="X655">
        <v>0.190839004552565</v>
      </c>
      <c r="Y655">
        <v>0.51400866142067703</v>
      </c>
      <c r="Z655">
        <v>1.2704158143750199E-3</v>
      </c>
      <c r="AA655">
        <v>2.58721497720957E-2</v>
      </c>
    </row>
    <row r="656" spans="1:27" x14ac:dyDescent="0.55000000000000004">
      <c r="A656">
        <v>2043</v>
      </c>
      <c r="B656">
        <v>10.602297160000001</v>
      </c>
      <c r="C656">
        <v>-5.884226301</v>
      </c>
      <c r="D656">
        <v>-1.9471764469999999</v>
      </c>
      <c r="E656">
        <v>25.966135080000001</v>
      </c>
      <c r="F656">
        <v>7.6434602089999997</v>
      </c>
      <c r="G656">
        <v>12.00619111</v>
      </c>
      <c r="H656">
        <v>10.602297160000001</v>
      </c>
      <c r="I656">
        <v>5.884226301</v>
      </c>
      <c r="J656">
        <v>1.9471764469999999</v>
      </c>
      <c r="K656">
        <v>25.966135080000001</v>
      </c>
      <c r="L656">
        <v>7.6434602089999997</v>
      </c>
      <c r="M656">
        <v>12.00619111</v>
      </c>
      <c r="N656">
        <v>9.0738586999999996E-2</v>
      </c>
      <c r="O656">
        <v>36.181728360000001</v>
      </c>
      <c r="P656">
        <v>60.809125493207503</v>
      </c>
      <c r="Q656">
        <v>8.4276632097399293</v>
      </c>
      <c r="R656">
        <v>0.39329465259431001</v>
      </c>
      <c r="S656">
        <v>0.23848071956737099</v>
      </c>
      <c r="T656">
        <v>9.9615111070224097E-2</v>
      </c>
      <c r="U656">
        <v>0.19032998700377701</v>
      </c>
      <c r="V656">
        <v>0.373325855920774</v>
      </c>
      <c r="W656">
        <v>0.25249643339996602</v>
      </c>
      <c r="X656">
        <v>0.12315988884041799</v>
      </c>
      <c r="Y656">
        <v>0.456347643045866</v>
      </c>
      <c r="Z656">
        <v>5.2087048389376001E-2</v>
      </c>
      <c r="AA656">
        <v>1.9341291257133901E-4</v>
      </c>
    </row>
    <row r="657" spans="1:27" x14ac:dyDescent="0.55000000000000004">
      <c r="A657">
        <v>2044</v>
      </c>
      <c r="B657">
        <v>10.64413019</v>
      </c>
      <c r="C657">
        <v>-5.9646590740000001</v>
      </c>
      <c r="D657">
        <v>-2.042761853</v>
      </c>
      <c r="E657">
        <v>25.657947159999999</v>
      </c>
      <c r="F657">
        <v>6.9791889329999997</v>
      </c>
      <c r="G657">
        <v>11.884323719999999</v>
      </c>
      <c r="H657">
        <v>10.64413019</v>
      </c>
      <c r="I657">
        <v>5.9646590740000001</v>
      </c>
      <c r="J657">
        <v>2.042761853</v>
      </c>
      <c r="K657">
        <v>25.657947159999999</v>
      </c>
      <c r="L657">
        <v>6.9791889329999997</v>
      </c>
      <c r="M657">
        <v>11.884323719999999</v>
      </c>
      <c r="N657">
        <v>7.1710728000000001E-2</v>
      </c>
      <c r="O657">
        <v>27.548242569999999</v>
      </c>
      <c r="P657">
        <v>60.809125493207503</v>
      </c>
      <c r="Q657">
        <v>4.3372286067734001</v>
      </c>
      <c r="R657">
        <v>0.39487500616811699</v>
      </c>
      <c r="S657">
        <v>0.24174995608934299</v>
      </c>
      <c r="T657">
        <v>0.104516783494188</v>
      </c>
      <c r="U657">
        <v>0.18153504136162099</v>
      </c>
      <c r="V657">
        <v>0.34065595694246997</v>
      </c>
      <c r="W657">
        <v>0.24578748733274999</v>
      </c>
      <c r="X657">
        <v>9.6192211742903197E-2</v>
      </c>
      <c r="Y657">
        <v>0.34436523764037102</v>
      </c>
      <c r="Z657">
        <v>5.2087048389376001E-2</v>
      </c>
      <c r="AA657" s="1">
        <v>9.8867562488398701E-5</v>
      </c>
    </row>
    <row r="658" spans="1:27" x14ac:dyDescent="0.55000000000000004">
      <c r="A658">
        <v>2045</v>
      </c>
      <c r="B658">
        <v>10.76374021</v>
      </c>
      <c r="C658">
        <v>-6.0164758889999996</v>
      </c>
      <c r="D658">
        <v>-2.1569798100000002</v>
      </c>
      <c r="E658">
        <v>25.724921290000001</v>
      </c>
      <c r="F658">
        <v>7.4790056490000003</v>
      </c>
      <c r="G658">
        <v>12.17646132</v>
      </c>
      <c r="H658">
        <v>10.76374021</v>
      </c>
      <c r="I658">
        <v>6.0164758889999996</v>
      </c>
      <c r="J658">
        <v>2.1569798100000002</v>
      </c>
      <c r="K658">
        <v>25.724921290000001</v>
      </c>
      <c r="L658">
        <v>7.4790056490000003</v>
      </c>
      <c r="M658">
        <v>12.17646132</v>
      </c>
      <c r="N658">
        <v>0.10111150100000001</v>
      </c>
      <c r="O658">
        <v>30.789537429999999</v>
      </c>
      <c r="P658">
        <v>4.0539416995471704</v>
      </c>
      <c r="Q658">
        <v>356.793217888436</v>
      </c>
      <c r="R658">
        <v>0.39939359166312499</v>
      </c>
      <c r="S658">
        <v>0.2438560804679</v>
      </c>
      <c r="T658">
        <v>0.11037394342661901</v>
      </c>
      <c r="U658">
        <v>0.18344632274078901</v>
      </c>
      <c r="V658">
        <v>0.36523772377380898</v>
      </c>
      <c r="W658">
        <v>0.26187001279428701</v>
      </c>
      <c r="X658">
        <v>0.13786114321235199</v>
      </c>
      <c r="Y658">
        <v>0.386407120129097</v>
      </c>
      <c r="Z658">
        <v>3.4724698926250699E-3</v>
      </c>
      <c r="AA658">
        <v>8.2454529818706303E-3</v>
      </c>
    </row>
    <row r="659" spans="1:27" x14ac:dyDescent="0.55000000000000004">
      <c r="A659">
        <v>2046</v>
      </c>
      <c r="B659">
        <v>10.833212619999999</v>
      </c>
      <c r="C659">
        <v>-5.7332457049999999</v>
      </c>
      <c r="D659">
        <v>-1.9586350159999999</v>
      </c>
      <c r="E659">
        <v>25.170502110000001</v>
      </c>
      <c r="F659">
        <v>5.339427261</v>
      </c>
      <c r="G659">
        <v>11.21256805</v>
      </c>
      <c r="H659">
        <v>10.833212619999999</v>
      </c>
      <c r="I659">
        <v>5.7332457049999999</v>
      </c>
      <c r="J659">
        <v>1.9586350159999999</v>
      </c>
      <c r="K659">
        <v>25.170502110000001</v>
      </c>
      <c r="L659">
        <v>5.339427261</v>
      </c>
      <c r="M659">
        <v>11.21256805</v>
      </c>
      <c r="N659">
        <v>0.15003248999999999</v>
      </c>
      <c r="O659">
        <v>48.00197601</v>
      </c>
      <c r="P659">
        <v>60.809125493207503</v>
      </c>
      <c r="Q659">
        <v>0.281473292566363</v>
      </c>
      <c r="R659">
        <v>0.40201809606609301</v>
      </c>
      <c r="S659">
        <v>0.23234402602639201</v>
      </c>
      <c r="T659">
        <v>0.100202712818606</v>
      </c>
      <c r="U659">
        <v>0.167624526250295</v>
      </c>
      <c r="V659">
        <v>0.26000991652458699</v>
      </c>
      <c r="W659">
        <v>0.208806531554695</v>
      </c>
      <c r="X659">
        <v>0.207195556224509</v>
      </c>
      <c r="Y659">
        <v>0.60966459943314799</v>
      </c>
      <c r="Z659">
        <v>5.2087048389376001E-2</v>
      </c>
      <c r="AA659" s="1">
        <v>5.12378138642121E-6</v>
      </c>
    </row>
    <row r="660" spans="1:27" x14ac:dyDescent="0.55000000000000004">
      <c r="A660">
        <v>2047</v>
      </c>
      <c r="B660">
        <v>10.8423132</v>
      </c>
      <c r="C660">
        <v>-6.0384601480000004</v>
      </c>
      <c r="D660">
        <v>-2.3570892219999999</v>
      </c>
      <c r="E660">
        <v>25.76773369</v>
      </c>
      <c r="F660">
        <v>7.4044966179999996</v>
      </c>
      <c r="G660">
        <v>12.055700849999999</v>
      </c>
      <c r="H660">
        <v>10.8423132</v>
      </c>
      <c r="I660">
        <v>6.0384601480000004</v>
      </c>
      <c r="J660">
        <v>2.3570892219999999</v>
      </c>
      <c r="K660">
        <v>25.76773369</v>
      </c>
      <c r="L660">
        <v>7.4044966179999996</v>
      </c>
      <c r="M660">
        <v>12.055700849999999</v>
      </c>
      <c r="N660">
        <v>0.21998569400000001</v>
      </c>
      <c r="O660">
        <v>49.749969479999997</v>
      </c>
      <c r="P660">
        <v>0.93552500758780799</v>
      </c>
      <c r="Q660">
        <v>1097.17910729392</v>
      </c>
      <c r="R660">
        <v>0.402361894593877</v>
      </c>
      <c r="S660">
        <v>0.244749643374543</v>
      </c>
      <c r="T660">
        <v>0.120635664620501</v>
      </c>
      <c r="U660">
        <v>0.18466808617269201</v>
      </c>
      <c r="V660">
        <v>0.361573253242433</v>
      </c>
      <c r="W660">
        <v>0.25522200400143702</v>
      </c>
      <c r="X660">
        <v>0.30633836663783898</v>
      </c>
      <c r="Y660">
        <v>0.63233730871477101</v>
      </c>
      <c r="Z660">
        <v>8.0133920599039996E-4</v>
      </c>
      <c r="AA660">
        <v>2.53585595108307E-2</v>
      </c>
    </row>
    <row r="661" spans="1:27" x14ac:dyDescent="0.55000000000000004">
      <c r="A661">
        <v>2048</v>
      </c>
      <c r="B661">
        <v>10.056501730000001</v>
      </c>
      <c r="C661">
        <v>-7.4601055189999999</v>
      </c>
      <c r="D661">
        <v>-3.618584705</v>
      </c>
      <c r="E661">
        <v>24.843592529999999</v>
      </c>
      <c r="F661">
        <v>5.5650984379999997</v>
      </c>
      <c r="G661">
        <v>11.151170049999999</v>
      </c>
      <c r="H661">
        <v>10.056501730000001</v>
      </c>
      <c r="I661">
        <v>7.4601055189999999</v>
      </c>
      <c r="J661">
        <v>3.618584705</v>
      </c>
      <c r="K661">
        <v>24.843592529999999</v>
      </c>
      <c r="L661">
        <v>5.5650984379999997</v>
      </c>
      <c r="M661">
        <v>11.151170049999999</v>
      </c>
      <c r="N661">
        <v>5.6831151000000003E-2</v>
      </c>
      <c r="O661">
        <v>18.520513529999999</v>
      </c>
      <c r="P661">
        <v>60.809125493207503</v>
      </c>
      <c r="Q661">
        <v>4.7421794345266202</v>
      </c>
      <c r="R661">
        <v>0.37267578376342803</v>
      </c>
      <c r="S661">
        <v>0.30253324071694299</v>
      </c>
      <c r="T661">
        <v>0.185325849877191</v>
      </c>
      <c r="U661">
        <v>0.158295309238804</v>
      </c>
      <c r="V661">
        <v>0.27110877751899898</v>
      </c>
      <c r="W661">
        <v>0.20542649797364501</v>
      </c>
      <c r="X661">
        <v>7.5103784091446996E-2</v>
      </c>
      <c r="Y661">
        <v>0.227269218970924</v>
      </c>
      <c r="Z661">
        <v>5.2087048389376001E-2</v>
      </c>
      <c r="AA661">
        <v>1.08227501343927E-4</v>
      </c>
    </row>
    <row r="662" spans="1:27" x14ac:dyDescent="0.55000000000000004">
      <c r="A662">
        <v>2049</v>
      </c>
      <c r="B662">
        <v>9.3488334240000004</v>
      </c>
      <c r="C662">
        <v>-9.0202345220000009</v>
      </c>
      <c r="D662">
        <v>-5.0681807540000001</v>
      </c>
      <c r="E662">
        <v>24.780786020000001</v>
      </c>
      <c r="F662">
        <v>5.9875651599999999</v>
      </c>
      <c r="G662">
        <v>10.97980877</v>
      </c>
      <c r="H662">
        <v>9.3488334240000004</v>
      </c>
      <c r="I662">
        <v>9.0202345220000009</v>
      </c>
      <c r="J662">
        <v>5.0681807540000001</v>
      </c>
      <c r="K662">
        <v>24.780786020000001</v>
      </c>
      <c r="L662">
        <v>5.9875651599999999</v>
      </c>
      <c r="M662">
        <v>10.97980877</v>
      </c>
      <c r="N662">
        <v>0.128666684</v>
      </c>
      <c r="O662">
        <v>37.36171341</v>
      </c>
      <c r="P662">
        <v>70.545473958683502</v>
      </c>
      <c r="Q662">
        <v>4.8473015600390896</v>
      </c>
      <c r="R662">
        <v>0.34594173804746098</v>
      </c>
      <c r="S662">
        <v>0.36594558527945598</v>
      </c>
      <c r="T662">
        <v>0.25966193607083199</v>
      </c>
      <c r="U662">
        <v>0.15650296175995501</v>
      </c>
      <c r="V662">
        <v>0.29188635082089698</v>
      </c>
      <c r="W662">
        <v>0.19599285386647899</v>
      </c>
      <c r="X662">
        <v>0.176914369195734</v>
      </c>
      <c r="Y662">
        <v>0.47165288214113099</v>
      </c>
      <c r="Z662">
        <v>6.0426876491553302E-2</v>
      </c>
      <c r="AA662">
        <v>1.10657269601518E-4</v>
      </c>
    </row>
    <row r="663" spans="1:27" x14ac:dyDescent="0.55000000000000004">
      <c r="A663">
        <v>2050</v>
      </c>
      <c r="B663">
        <v>10.851902170000001</v>
      </c>
      <c r="C663">
        <v>-7.2885103679999999</v>
      </c>
      <c r="D663">
        <v>-3.3577988909999998</v>
      </c>
      <c r="E663">
        <v>26.045493830000002</v>
      </c>
      <c r="F663">
        <v>8.0429913580000001</v>
      </c>
      <c r="G663">
        <v>12.74769482</v>
      </c>
      <c r="H663">
        <v>10.851902170000001</v>
      </c>
      <c r="I663">
        <v>7.2885103679999999</v>
      </c>
      <c r="J663">
        <v>3.3577988909999998</v>
      </c>
      <c r="K663">
        <v>26.045493830000002</v>
      </c>
      <c r="L663">
        <v>8.0429913580000001</v>
      </c>
      <c r="M663">
        <v>12.74769482</v>
      </c>
      <c r="N663">
        <v>0.19614055799999999</v>
      </c>
      <c r="O663">
        <v>56.815471649999999</v>
      </c>
      <c r="P663">
        <v>0.59784299964986098</v>
      </c>
      <c r="Q663">
        <v>2690.93195525496</v>
      </c>
      <c r="R663">
        <v>0.40272414334823697</v>
      </c>
      <c r="S663">
        <v>0.29555865667963299</v>
      </c>
      <c r="T663">
        <v>0.17195260926926101</v>
      </c>
      <c r="U663">
        <v>0.19259469579729299</v>
      </c>
      <c r="V663">
        <v>0.39297542191603202</v>
      </c>
      <c r="W663">
        <v>0.29331710248158799</v>
      </c>
      <c r="X663">
        <v>0.27254329132251698</v>
      </c>
      <c r="Y663">
        <v>0.72398185966900896</v>
      </c>
      <c r="Z663">
        <v>5.1209217365723097E-4</v>
      </c>
      <c r="AA663">
        <v>6.2196190614107298E-2</v>
      </c>
    </row>
    <row r="664" spans="1:27" x14ac:dyDescent="0.55000000000000004">
      <c r="A664">
        <v>2051</v>
      </c>
      <c r="B664">
        <v>10.21579543</v>
      </c>
      <c r="C664">
        <v>-8.394233431</v>
      </c>
      <c r="D664">
        <v>-4.36517306</v>
      </c>
      <c r="E664">
        <v>25.25115705</v>
      </c>
      <c r="F664">
        <v>5.5682006150000003</v>
      </c>
      <c r="G664">
        <v>10.737917149999999</v>
      </c>
      <c r="H664">
        <v>10.21579543</v>
      </c>
      <c r="I664">
        <v>8.394233431</v>
      </c>
      <c r="J664">
        <v>4.36517306</v>
      </c>
      <c r="K664">
        <v>25.25115705</v>
      </c>
      <c r="L664">
        <v>5.5682006150000003</v>
      </c>
      <c r="M664">
        <v>10.737917149999999</v>
      </c>
      <c r="N664">
        <v>0.11706140600000001</v>
      </c>
      <c r="O664">
        <v>31.769678119999998</v>
      </c>
      <c r="P664">
        <v>10.0779248512405</v>
      </c>
      <c r="Q664">
        <v>97.172183363365804</v>
      </c>
      <c r="R664">
        <v>0.378693525439803</v>
      </c>
      <c r="S664">
        <v>0.34050140931537298</v>
      </c>
      <c r="T664">
        <v>0.22361131315969299</v>
      </c>
      <c r="U664">
        <v>0.169926225204204</v>
      </c>
      <c r="V664">
        <v>0.271261347429613</v>
      </c>
      <c r="W664">
        <v>0.18267642990194199</v>
      </c>
      <c r="X664">
        <v>0.160466518193113</v>
      </c>
      <c r="Y664">
        <v>0.39912023679735298</v>
      </c>
      <c r="Z664">
        <v>8.6324109273647493E-3</v>
      </c>
      <c r="AA664">
        <v>2.24463302492372E-3</v>
      </c>
    </row>
    <row r="665" spans="1:27" x14ac:dyDescent="0.55000000000000004">
      <c r="A665">
        <v>2052</v>
      </c>
      <c r="B665">
        <v>11.661036810000001</v>
      </c>
      <c r="C665">
        <v>-7.1354515110000003</v>
      </c>
      <c r="D665">
        <v>-3.0772347820000001</v>
      </c>
      <c r="E665">
        <v>26.290973300000001</v>
      </c>
      <c r="F665">
        <v>7.329164392</v>
      </c>
      <c r="G665">
        <v>12.8016044</v>
      </c>
      <c r="H665">
        <v>11.661036810000001</v>
      </c>
      <c r="I665">
        <v>7.1354515110000003</v>
      </c>
      <c r="J665">
        <v>3.0772347820000001</v>
      </c>
      <c r="K665">
        <v>26.290973300000001</v>
      </c>
      <c r="L665">
        <v>7.329164392</v>
      </c>
      <c r="M665">
        <v>12.8016044</v>
      </c>
      <c r="N665">
        <v>0.11251019700000001</v>
      </c>
      <c r="O665">
        <v>35.01844406</v>
      </c>
      <c r="P665">
        <v>1.0529175217714</v>
      </c>
      <c r="Q665">
        <v>1441.6261536053901</v>
      </c>
      <c r="R665">
        <v>0.43329134873631198</v>
      </c>
      <c r="S665">
        <v>0.28933749101976503</v>
      </c>
      <c r="T665">
        <v>0.15756512676759901</v>
      </c>
      <c r="U665">
        <v>0.199600092358311</v>
      </c>
      <c r="V665">
        <v>0.35786829669508602</v>
      </c>
      <c r="W665">
        <v>0.29628488955511401</v>
      </c>
      <c r="X665">
        <v>0.15401621105580901</v>
      </c>
      <c r="Y665">
        <v>0.44125902446780102</v>
      </c>
      <c r="Z665">
        <v>9.0189367897840699E-4</v>
      </c>
      <c r="AA665">
        <v>3.3320028092906101E-2</v>
      </c>
    </row>
    <row r="666" spans="1:27" x14ac:dyDescent="0.55000000000000004">
      <c r="A666">
        <v>2053</v>
      </c>
      <c r="B666">
        <v>11.41041162</v>
      </c>
      <c r="C666">
        <v>-7.3448545000000003</v>
      </c>
      <c r="D666">
        <v>-3.1115343759999998</v>
      </c>
      <c r="E666">
        <v>25.298297460000001</v>
      </c>
      <c r="F666">
        <v>4.4779900990000003</v>
      </c>
      <c r="G666">
        <v>10.184125</v>
      </c>
      <c r="H666">
        <v>11.41041162</v>
      </c>
      <c r="I666">
        <v>7.3448545000000003</v>
      </c>
      <c r="J666">
        <v>3.1115343759999998</v>
      </c>
      <c r="K666">
        <v>25.298297460000001</v>
      </c>
      <c r="L666">
        <v>4.4779900990000003</v>
      </c>
      <c r="M666">
        <v>10.184125</v>
      </c>
      <c r="N666">
        <v>4.4882766999999997E-2</v>
      </c>
      <c r="O666">
        <v>19.57782173</v>
      </c>
      <c r="P666">
        <v>70.545473958683502</v>
      </c>
      <c r="Q666">
        <v>10.0891244959445</v>
      </c>
      <c r="R666">
        <v>0.42382331797921202</v>
      </c>
      <c r="S666">
        <v>0.29784879647293799</v>
      </c>
      <c r="T666">
        <v>0.15932402889605701</v>
      </c>
      <c r="U666">
        <v>0.17127149968316099</v>
      </c>
      <c r="V666">
        <v>0.21764309128992601</v>
      </c>
      <c r="W666">
        <v>0.15218950746273999</v>
      </c>
      <c r="X666">
        <v>5.8169658105485397E-2</v>
      </c>
      <c r="Y666">
        <v>0.24098325271939</v>
      </c>
      <c r="Z666">
        <v>6.0426876491553302E-2</v>
      </c>
      <c r="AA666">
        <v>2.3181554070272E-4</v>
      </c>
    </row>
    <row r="667" spans="1:27" x14ac:dyDescent="0.55000000000000004">
      <c r="A667">
        <v>2054</v>
      </c>
      <c r="B667">
        <v>11.87452966</v>
      </c>
      <c r="C667">
        <v>-6.930337669</v>
      </c>
      <c r="D667">
        <v>-2.634734055</v>
      </c>
      <c r="E667">
        <v>26.08728095</v>
      </c>
      <c r="F667">
        <v>4.1673980979999996</v>
      </c>
      <c r="G667">
        <v>9.7564132469999993</v>
      </c>
      <c r="H667">
        <v>11.87452966</v>
      </c>
      <c r="I667">
        <v>6.930337669</v>
      </c>
      <c r="J667">
        <v>2.634734055</v>
      </c>
      <c r="K667">
        <v>26.08728095</v>
      </c>
      <c r="L667">
        <v>4.1673980979999996</v>
      </c>
      <c r="M667">
        <v>9.7564132469999993</v>
      </c>
      <c r="N667">
        <v>4.2224418E-2</v>
      </c>
      <c r="O667">
        <v>18.447467799999998</v>
      </c>
      <c r="P667">
        <v>23.515157986227901</v>
      </c>
      <c r="Q667">
        <v>25.6278768773015</v>
      </c>
      <c r="R667">
        <v>0.441356606942086</v>
      </c>
      <c r="S667">
        <v>0.281000520424107</v>
      </c>
      <c r="T667">
        <v>0.13487344503618601</v>
      </c>
      <c r="U667">
        <v>0.19378720019182699</v>
      </c>
      <c r="V667">
        <v>0.202367691520662</v>
      </c>
      <c r="W667">
        <v>0.128643462181951</v>
      </c>
      <c r="X667">
        <v>5.4402050964582102E-2</v>
      </c>
      <c r="Y667">
        <v>0.22632176428703801</v>
      </c>
      <c r="Z667">
        <v>2.0142292163851098E-2</v>
      </c>
      <c r="AA667">
        <v>5.9097463413549604E-4</v>
      </c>
    </row>
    <row r="668" spans="1:27" x14ac:dyDescent="0.55000000000000004">
      <c r="A668">
        <v>2055</v>
      </c>
      <c r="B668">
        <v>12.311148060000001</v>
      </c>
      <c r="C668">
        <v>-6.5235794440000001</v>
      </c>
      <c r="D668">
        <v>-2.087108373</v>
      </c>
      <c r="E668">
        <v>24.87743717</v>
      </c>
      <c r="F668">
        <v>3.354863881</v>
      </c>
      <c r="G668">
        <v>9.5316835859999998</v>
      </c>
      <c r="H668">
        <v>12.311148060000001</v>
      </c>
      <c r="I668">
        <v>6.5235794440000001</v>
      </c>
      <c r="J668">
        <v>2.087108373</v>
      </c>
      <c r="K668">
        <v>24.87743717</v>
      </c>
      <c r="L668">
        <v>3.354863881</v>
      </c>
      <c r="M668">
        <v>9.5316835859999998</v>
      </c>
      <c r="N668">
        <v>4.6697948000000003E-2</v>
      </c>
      <c r="O668">
        <v>20.948106769999999</v>
      </c>
      <c r="P668">
        <v>61.252987723084999</v>
      </c>
      <c r="Q668">
        <v>1.69564696488538</v>
      </c>
      <c r="R668">
        <v>0.45785102412463602</v>
      </c>
      <c r="S668">
        <v>0.26446759739803799</v>
      </c>
      <c r="T668">
        <v>0.106790897538154</v>
      </c>
      <c r="U668">
        <v>0.15926115426309401</v>
      </c>
      <c r="V668">
        <v>0.16240598950992299</v>
      </c>
      <c r="W668">
        <v>0.11627182465567799</v>
      </c>
      <c r="X668">
        <v>6.0742265726844401E-2</v>
      </c>
      <c r="Y668">
        <v>0.25875681702502601</v>
      </c>
      <c r="Z668">
        <v>5.2467245822875097E-2</v>
      </c>
      <c r="AA668" s="1">
        <v>3.7810661365021002E-5</v>
      </c>
    </row>
    <row r="669" spans="1:27" x14ac:dyDescent="0.55000000000000004">
      <c r="A669">
        <v>2056</v>
      </c>
      <c r="B669">
        <v>12.51857981</v>
      </c>
      <c r="C669">
        <v>-6.3472278229999999</v>
      </c>
      <c r="D669">
        <v>-1.8593351010000001</v>
      </c>
      <c r="E669">
        <v>24.255455510000001</v>
      </c>
      <c r="F669">
        <v>4.184949542</v>
      </c>
      <c r="G669">
        <v>9.5038156849999993</v>
      </c>
      <c r="H669">
        <v>12.51857981</v>
      </c>
      <c r="I669">
        <v>6.3472278229999999</v>
      </c>
      <c r="J669">
        <v>1.8593351010000001</v>
      </c>
      <c r="K669">
        <v>24.255455510000001</v>
      </c>
      <c r="L669">
        <v>4.184949542</v>
      </c>
      <c r="M669">
        <v>9.5038156849999993</v>
      </c>
      <c r="N669">
        <v>5.9011459000000002E-2</v>
      </c>
      <c r="O669">
        <v>27.300571439999999</v>
      </c>
      <c r="P669">
        <v>61.252987723084999</v>
      </c>
      <c r="Q669">
        <v>1.53246404054868</v>
      </c>
      <c r="R669">
        <v>0.46568730821483101</v>
      </c>
      <c r="S669">
        <v>0.25729968388992103</v>
      </c>
      <c r="T669">
        <v>9.5110558321114494E-2</v>
      </c>
      <c r="U669">
        <v>0.141511286292545</v>
      </c>
      <c r="V669">
        <v>0.20323089895280599</v>
      </c>
      <c r="W669">
        <v>0.114737663262581</v>
      </c>
      <c r="X669">
        <v>7.8193876472157198E-2</v>
      </c>
      <c r="Y669">
        <v>0.34115276824370799</v>
      </c>
      <c r="Z669">
        <v>5.2467245822875097E-2</v>
      </c>
      <c r="AA669" s="1">
        <v>3.4038889363634497E-5</v>
      </c>
    </row>
    <row r="670" spans="1:27" x14ac:dyDescent="0.55000000000000004">
      <c r="A670">
        <v>2057</v>
      </c>
      <c r="B670">
        <v>12.66676685</v>
      </c>
      <c r="C670">
        <v>-6.3128825329999998</v>
      </c>
      <c r="D670">
        <v>-1.7719226459999999</v>
      </c>
      <c r="E670">
        <v>24.966946</v>
      </c>
      <c r="F670">
        <v>3.898811775</v>
      </c>
      <c r="G670">
        <v>9.6034504710000004</v>
      </c>
      <c r="H670">
        <v>12.66676685</v>
      </c>
      <c r="I670">
        <v>6.3128825329999998</v>
      </c>
      <c r="J670">
        <v>1.7719226459999999</v>
      </c>
      <c r="K670">
        <v>24.966946</v>
      </c>
      <c r="L670">
        <v>3.898811775</v>
      </c>
      <c r="M670">
        <v>9.6034504710000004</v>
      </c>
      <c r="N670">
        <v>6.2499296000000003E-2</v>
      </c>
      <c r="O670">
        <v>25.475952150000001</v>
      </c>
      <c r="P670">
        <v>61.252987723084999</v>
      </c>
      <c r="Q670">
        <v>0.47074234097788498</v>
      </c>
      <c r="R670">
        <v>0.47128546637492602</v>
      </c>
      <c r="S670">
        <v>0.25590369973771798</v>
      </c>
      <c r="T670">
        <v>9.0627999339417203E-2</v>
      </c>
      <c r="U670">
        <v>0.16181552204734401</v>
      </c>
      <c r="V670">
        <v>0.18915819661038599</v>
      </c>
      <c r="W670">
        <v>0.12022267779922299</v>
      </c>
      <c r="X670">
        <v>8.3137094833443503E-2</v>
      </c>
      <c r="Y670">
        <v>0.31748616798357499</v>
      </c>
      <c r="Z670">
        <v>5.2467245822875097E-2</v>
      </c>
      <c r="AA670" s="1">
        <v>9.4985019672011998E-6</v>
      </c>
    </row>
    <row r="671" spans="1:27" x14ac:dyDescent="0.55000000000000004">
      <c r="A671">
        <v>2058</v>
      </c>
      <c r="B671">
        <v>12.791769820000001</v>
      </c>
      <c r="C671">
        <v>-6.187271097</v>
      </c>
      <c r="D671">
        <v>-1.636297991</v>
      </c>
      <c r="E671">
        <v>23.152675179999999</v>
      </c>
      <c r="F671">
        <v>3.611391475</v>
      </c>
      <c r="G671">
        <v>9.2146718120000006</v>
      </c>
      <c r="H671">
        <v>12.791769820000001</v>
      </c>
      <c r="I671">
        <v>6.187271097</v>
      </c>
      <c r="J671">
        <v>1.636297991</v>
      </c>
      <c r="K671">
        <v>23.152675179999999</v>
      </c>
      <c r="L671">
        <v>3.611391475</v>
      </c>
      <c r="M671">
        <v>9.2146718120000006</v>
      </c>
      <c r="N671">
        <v>8.1399307000000004E-2</v>
      </c>
      <c r="O671">
        <v>30.549547199999999</v>
      </c>
      <c r="P671">
        <v>61.252987723084999</v>
      </c>
      <c r="Q671">
        <v>0.29059867877872902</v>
      </c>
      <c r="R671">
        <v>0.47600778484853501</v>
      </c>
      <c r="S671">
        <v>0.25079815035987402</v>
      </c>
      <c r="T671">
        <v>8.3673092107835301E-2</v>
      </c>
      <c r="U671">
        <v>0.110040574988906</v>
      </c>
      <c r="V671">
        <v>0.175022417291646</v>
      </c>
      <c r="W671">
        <v>9.8819946065034595E-2</v>
      </c>
      <c r="X671">
        <v>0.10992357637019901</v>
      </c>
      <c r="Y671">
        <v>0.38329427742767602</v>
      </c>
      <c r="Z671">
        <v>5.2467245822875097E-2</v>
      </c>
      <c r="AA671" s="1">
        <v>5.3347034320797402E-6</v>
      </c>
    </row>
    <row r="672" spans="1:27" x14ac:dyDescent="0.55000000000000004">
      <c r="A672">
        <v>2059</v>
      </c>
      <c r="B672">
        <v>12.816772</v>
      </c>
      <c r="C672">
        <v>-6.2385485469999997</v>
      </c>
      <c r="D672">
        <v>-1.663579079</v>
      </c>
      <c r="E672">
        <v>23.11504089</v>
      </c>
      <c r="F672">
        <v>3.4204925930000001</v>
      </c>
      <c r="G672">
        <v>9.6413727290000004</v>
      </c>
      <c r="H672">
        <v>12.816772</v>
      </c>
      <c r="I672">
        <v>6.2385485469999997</v>
      </c>
      <c r="J672">
        <v>1.663579079</v>
      </c>
      <c r="K672">
        <v>23.11504089</v>
      </c>
      <c r="L672">
        <v>3.4204925930000001</v>
      </c>
      <c r="M672">
        <v>9.6413727290000004</v>
      </c>
      <c r="N672">
        <v>9.4481631999999996E-2</v>
      </c>
      <c r="O672">
        <v>33.653629299999999</v>
      </c>
      <c r="P672">
        <v>30.6264938615425</v>
      </c>
      <c r="Q672">
        <v>12.100878965706301</v>
      </c>
      <c r="R672">
        <v>0.47695230845860997</v>
      </c>
      <c r="S672">
        <v>0.25288235193643199</v>
      </c>
      <c r="T672">
        <v>8.5072081371377506E-2</v>
      </c>
      <c r="U672">
        <v>0.10896658242349</v>
      </c>
      <c r="V672">
        <v>0.16563371208138</v>
      </c>
      <c r="W672">
        <v>0.122310343610964</v>
      </c>
      <c r="X672">
        <v>0.128464806693839</v>
      </c>
      <c r="Y672">
        <v>0.42355641355544599</v>
      </c>
      <c r="Z672">
        <v>2.62336229114375E-2</v>
      </c>
      <c r="AA672">
        <v>2.7831476366709797E-4</v>
      </c>
    </row>
    <row r="673" spans="1:27" x14ac:dyDescent="0.55000000000000004">
      <c r="A673">
        <v>2060</v>
      </c>
      <c r="B673">
        <v>12.870361320000001</v>
      </c>
      <c r="C673">
        <v>-6.4843530469999999</v>
      </c>
      <c r="D673">
        <v>-1.8903405550000001</v>
      </c>
      <c r="E673">
        <v>23.93418711</v>
      </c>
      <c r="F673">
        <v>5.5551703090000002</v>
      </c>
      <c r="G673">
        <v>11.596314850000001</v>
      </c>
      <c r="H673">
        <v>12.870361320000001</v>
      </c>
      <c r="I673">
        <v>6.4843530469999999</v>
      </c>
      <c r="J673">
        <v>1.8903405550000001</v>
      </c>
      <c r="K673">
        <v>23.93418711</v>
      </c>
      <c r="L673">
        <v>5.5551703090000002</v>
      </c>
      <c r="M673">
        <v>11.596314850000001</v>
      </c>
      <c r="N673">
        <v>0.16759581900000001</v>
      </c>
      <c r="O673">
        <v>55.207969669999997</v>
      </c>
      <c r="P673">
        <v>0.57785837474608404</v>
      </c>
      <c r="Q673">
        <v>2557.7116541605501</v>
      </c>
      <c r="R673">
        <v>0.47897678704359198</v>
      </c>
      <c r="S673">
        <v>0.262873217832165</v>
      </c>
      <c r="T673">
        <v>9.6700535130589696E-2</v>
      </c>
      <c r="U673">
        <v>0.13234305505706301</v>
      </c>
      <c r="V673">
        <v>0.27062049662655002</v>
      </c>
      <c r="W673">
        <v>0.22993225341242099</v>
      </c>
      <c r="X673">
        <v>0.23208759401128301</v>
      </c>
      <c r="Y673">
        <v>0.70313142419102403</v>
      </c>
      <c r="Z673">
        <v>4.9497401719693498E-4</v>
      </c>
      <c r="AA673">
        <v>5.9116967688506397E-2</v>
      </c>
    </row>
    <row r="674" spans="1:27" x14ac:dyDescent="0.55000000000000004">
      <c r="A674">
        <v>2061</v>
      </c>
      <c r="B674">
        <v>12.76357338</v>
      </c>
      <c r="C674">
        <v>-6.7748399380000004</v>
      </c>
      <c r="D674">
        <v>-2.0730803529999999</v>
      </c>
      <c r="E674">
        <v>21.971590240000001</v>
      </c>
      <c r="F674">
        <v>3.3596568090000001</v>
      </c>
      <c r="G674">
        <v>10.04074056</v>
      </c>
      <c r="H674">
        <v>12.76357338</v>
      </c>
      <c r="I674">
        <v>6.7748399380000004</v>
      </c>
      <c r="J674">
        <v>2.0730803529999999</v>
      </c>
      <c r="K674">
        <v>21.971590240000001</v>
      </c>
      <c r="L674">
        <v>3.3596568090000001</v>
      </c>
      <c r="M674">
        <v>10.04074056</v>
      </c>
      <c r="N674">
        <v>0.11424017</v>
      </c>
      <c r="O674">
        <v>38.767124180000003</v>
      </c>
      <c r="P674">
        <v>30.6264938615425</v>
      </c>
      <c r="Q674">
        <v>32.104031550662</v>
      </c>
      <c r="R674">
        <v>0.474942589601558</v>
      </c>
      <c r="S674">
        <v>0.27468022532165098</v>
      </c>
      <c r="T674">
        <v>0.10607153292304899</v>
      </c>
      <c r="U674">
        <v>7.6335237524448998E-2</v>
      </c>
      <c r="V674">
        <v>0.16264171319575399</v>
      </c>
      <c r="W674">
        <v>0.14429602197135499</v>
      </c>
      <c r="X674">
        <v>0.15646805565122199</v>
      </c>
      <c r="Y674">
        <v>0.489882051961469</v>
      </c>
      <c r="Z674">
        <v>2.62336229114375E-2</v>
      </c>
      <c r="AA674">
        <v>7.4066296073533699E-4</v>
      </c>
    </row>
    <row r="675" spans="1:27" x14ac:dyDescent="0.55000000000000004">
      <c r="A675">
        <v>2062</v>
      </c>
      <c r="B675">
        <v>12.69021281</v>
      </c>
      <c r="C675">
        <v>-7.2217656100000003</v>
      </c>
      <c r="D675">
        <v>-2.4974256779999999</v>
      </c>
      <c r="E675">
        <v>21.5559075</v>
      </c>
      <c r="F675">
        <v>3.4832684610000002</v>
      </c>
      <c r="G675">
        <v>10.096231449999999</v>
      </c>
      <c r="H675">
        <v>12.69021281</v>
      </c>
      <c r="I675">
        <v>7.2217656100000003</v>
      </c>
      <c r="J675">
        <v>2.4974256779999999</v>
      </c>
      <c r="K675">
        <v>21.5559075</v>
      </c>
      <c r="L675">
        <v>3.4832684610000002</v>
      </c>
      <c r="M675">
        <v>10.096231449999999</v>
      </c>
      <c r="N675">
        <v>0.10714378200000001</v>
      </c>
      <c r="O675">
        <v>33.984523770000003</v>
      </c>
      <c r="P675">
        <v>15.3132469307712</v>
      </c>
      <c r="Q675">
        <v>32.799314948205101</v>
      </c>
      <c r="R675">
        <v>0.47217119965021898</v>
      </c>
      <c r="S675">
        <v>0.292845777434456</v>
      </c>
      <c r="T675">
        <v>0.12783219561030501</v>
      </c>
      <c r="U675">
        <v>6.4472646989808605E-2</v>
      </c>
      <c r="V675">
        <v>0.16872112732863501</v>
      </c>
      <c r="W675">
        <v>0.14735086205804099</v>
      </c>
      <c r="X675">
        <v>0.146410534195829</v>
      </c>
      <c r="Y675">
        <v>0.42784834842246</v>
      </c>
      <c r="Z675">
        <v>1.31168114557188E-2</v>
      </c>
      <c r="AA675">
        <v>7.5673357880117397E-4</v>
      </c>
    </row>
    <row r="676" spans="1:27" x14ac:dyDescent="0.55000000000000004">
      <c r="A676">
        <v>2063</v>
      </c>
      <c r="B676">
        <v>12.056558519999999</v>
      </c>
      <c r="C676">
        <v>-7.3538760569999999</v>
      </c>
      <c r="D676">
        <v>-2.8723521600000002</v>
      </c>
      <c r="E676">
        <v>23.07704318</v>
      </c>
      <c r="F676">
        <v>5.8293472560000001</v>
      </c>
      <c r="G676">
        <v>12.189183679999999</v>
      </c>
      <c r="H676">
        <v>12.056558519999999</v>
      </c>
      <c r="I676">
        <v>7.3538760569999999</v>
      </c>
      <c r="J676">
        <v>2.8723521600000002</v>
      </c>
      <c r="K676">
        <v>23.07704318</v>
      </c>
      <c r="L676">
        <v>5.8293472560000001</v>
      </c>
      <c r="M676">
        <v>12.189183679999999</v>
      </c>
      <c r="N676">
        <v>0.143620729</v>
      </c>
      <c r="O676">
        <v>43.70073318</v>
      </c>
      <c r="P676">
        <v>0.31136604185431499</v>
      </c>
      <c r="Q676">
        <v>5025.6360163775598</v>
      </c>
      <c r="R676">
        <v>0.448233229539997</v>
      </c>
      <c r="S676">
        <v>0.29821548286866201</v>
      </c>
      <c r="T676">
        <v>0.14705863272805</v>
      </c>
      <c r="U676">
        <v>0.10788221872105699</v>
      </c>
      <c r="V676">
        <v>0.28410494715797702</v>
      </c>
      <c r="W676">
        <v>0.262570393979834</v>
      </c>
      <c r="X676">
        <v>0.198108338357567</v>
      </c>
      <c r="Y676">
        <v>0.55387444351554105</v>
      </c>
      <c r="Z676">
        <v>2.6670566230533498E-4</v>
      </c>
      <c r="AA676">
        <v>0.116159995007609</v>
      </c>
    </row>
    <row r="677" spans="1:27" x14ac:dyDescent="0.55000000000000004">
      <c r="A677">
        <v>2064</v>
      </c>
      <c r="B677">
        <v>12.34652552</v>
      </c>
      <c r="C677">
        <v>-7.8129830089999999</v>
      </c>
      <c r="D677">
        <v>-3.3801338329999999</v>
      </c>
      <c r="E677">
        <v>21.782794769999999</v>
      </c>
      <c r="F677">
        <v>4.1853005630000002</v>
      </c>
      <c r="G677">
        <v>10.79424844</v>
      </c>
      <c r="H677">
        <v>12.34652552</v>
      </c>
      <c r="I677">
        <v>7.8129830089999999</v>
      </c>
      <c r="J677">
        <v>3.3801338329999999</v>
      </c>
      <c r="K677">
        <v>21.782794769999999</v>
      </c>
      <c r="L677">
        <v>4.1853005630000002</v>
      </c>
      <c r="M677">
        <v>10.79424844</v>
      </c>
      <c r="N677">
        <v>0.15098419799999999</v>
      </c>
      <c r="O677">
        <v>34.636848450000002</v>
      </c>
      <c r="P677">
        <v>1.3605342263634199</v>
      </c>
      <c r="Q677">
        <v>537.82309026943801</v>
      </c>
      <c r="R677">
        <v>0.45918750143319398</v>
      </c>
      <c r="S677">
        <v>0.316876150143796</v>
      </c>
      <c r="T677">
        <v>0.17309795743352199</v>
      </c>
      <c r="U677">
        <v>7.0947466660051306E-2</v>
      </c>
      <c r="V677">
        <v>0.20324816271389901</v>
      </c>
      <c r="W677">
        <v>0.18577753501715499</v>
      </c>
      <c r="X677">
        <v>0.208544386591347</v>
      </c>
      <c r="Y677">
        <v>0.436309460023105</v>
      </c>
      <c r="Z677">
        <v>1.1653877852907E-3</v>
      </c>
      <c r="AA677">
        <v>1.2429735172158901E-2</v>
      </c>
    </row>
    <row r="678" spans="1:27" x14ac:dyDescent="0.55000000000000004">
      <c r="A678">
        <v>2065</v>
      </c>
      <c r="B678">
        <v>12.18442668</v>
      </c>
      <c r="C678">
        <v>-8.423460189</v>
      </c>
      <c r="D678">
        <v>-3.9149107060000001</v>
      </c>
      <c r="E678">
        <v>22.16476874</v>
      </c>
      <c r="F678">
        <v>3.5283845450000002</v>
      </c>
      <c r="G678">
        <v>10.81652199</v>
      </c>
      <c r="H678">
        <v>12.18442668</v>
      </c>
      <c r="I678">
        <v>8.423460189</v>
      </c>
      <c r="J678">
        <v>3.9149107060000001</v>
      </c>
      <c r="K678">
        <v>22.16476874</v>
      </c>
      <c r="L678">
        <v>3.5283845450000002</v>
      </c>
      <c r="M678">
        <v>10.81652199</v>
      </c>
      <c r="N678">
        <v>0.14023880699999999</v>
      </c>
      <c r="O678">
        <v>53.909671779999996</v>
      </c>
      <c r="P678">
        <v>0.19805245067315599</v>
      </c>
      <c r="Q678">
        <v>8322.7785155260808</v>
      </c>
      <c r="R678">
        <v>0.45306378815915999</v>
      </c>
      <c r="S678">
        <v>0.34168934777762699</v>
      </c>
      <c r="T678">
        <v>0.200521610907962</v>
      </c>
      <c r="U678">
        <v>8.18480895750201E-2</v>
      </c>
      <c r="V678">
        <v>0.17094000681331201</v>
      </c>
      <c r="W678">
        <v>0.18700372067416701</v>
      </c>
      <c r="X678">
        <v>0.19331523050108301</v>
      </c>
      <c r="Y678">
        <v>0.68629158403938095</v>
      </c>
      <c r="Z678">
        <v>1.6964505735244401E-4</v>
      </c>
      <c r="AA678">
        <v>0.19236937667802101</v>
      </c>
    </row>
    <row r="679" spans="1:27" x14ac:dyDescent="0.55000000000000004">
      <c r="A679">
        <v>2066</v>
      </c>
      <c r="B679">
        <v>10.678388200000001</v>
      </c>
      <c r="C679">
        <v>-10.65624817</v>
      </c>
      <c r="D679">
        <v>-5.9873273219999996</v>
      </c>
      <c r="E679">
        <v>22.32528357</v>
      </c>
      <c r="F679">
        <v>1.329079415</v>
      </c>
      <c r="G679">
        <v>10.59086308</v>
      </c>
      <c r="H679">
        <v>10.678388200000001</v>
      </c>
      <c r="I679">
        <v>10.65624817</v>
      </c>
      <c r="J679">
        <v>5.9873273219999996</v>
      </c>
      <c r="K679">
        <v>22.32528357</v>
      </c>
      <c r="L679">
        <v>1.329079415</v>
      </c>
      <c r="M679">
        <v>10.59086308</v>
      </c>
      <c r="N679">
        <v>0.10432084599999999</v>
      </c>
      <c r="O679">
        <v>31.183551789999999</v>
      </c>
      <c r="P679">
        <v>60.5806693360637</v>
      </c>
      <c r="Q679">
        <v>0.93343590660557696</v>
      </c>
      <c r="R679">
        <v>0.39616919328616801</v>
      </c>
      <c r="S679">
        <v>0.432442305074074</v>
      </c>
      <c r="T679">
        <v>0.30679627984237601</v>
      </c>
      <c r="U679">
        <v>8.6428798658652994E-2</v>
      </c>
      <c r="V679">
        <v>6.2774745096401297E-2</v>
      </c>
      <c r="W679">
        <v>0.174580926875294</v>
      </c>
      <c r="X679">
        <v>0.14240966228927601</v>
      </c>
      <c r="Y679">
        <v>0.391517764528166</v>
      </c>
      <c r="Z679">
        <v>5.1891360541286E-2</v>
      </c>
      <c r="AA679" s="1">
        <v>2.01930929800163E-5</v>
      </c>
    </row>
    <row r="680" spans="1:27" x14ac:dyDescent="0.55000000000000004">
      <c r="A680">
        <v>2067</v>
      </c>
      <c r="B680">
        <v>10.74903917</v>
      </c>
      <c r="C680">
        <v>-12.384864139999999</v>
      </c>
      <c r="D680">
        <v>-7.4746237229999997</v>
      </c>
      <c r="E680">
        <v>22.0795502</v>
      </c>
      <c r="F680">
        <v>2.5981786140000001</v>
      </c>
      <c r="G680">
        <v>10.20785257</v>
      </c>
      <c r="H680">
        <v>10.74903917</v>
      </c>
      <c r="I680">
        <v>12.384864139999999</v>
      </c>
      <c r="J680">
        <v>7.4746237229999997</v>
      </c>
      <c r="K680">
        <v>22.0795502</v>
      </c>
      <c r="L680">
        <v>2.5981786140000001</v>
      </c>
      <c r="M680">
        <v>10.20785257</v>
      </c>
      <c r="N680">
        <v>0.25520986299999998</v>
      </c>
      <c r="O680">
        <v>50.499847410000001</v>
      </c>
      <c r="P680">
        <v>0.35742397773875201</v>
      </c>
      <c r="Q680">
        <v>4378.5230120467904</v>
      </c>
      <c r="R680">
        <v>0.39883822091654703</v>
      </c>
      <c r="S680">
        <v>0.50270289973972004</v>
      </c>
      <c r="T680">
        <v>0.383065660913397</v>
      </c>
      <c r="U680">
        <v>7.94161563993009E-2</v>
      </c>
      <c r="V680">
        <v>0.12519102609900901</v>
      </c>
      <c r="W680">
        <v>0.15349573866565799</v>
      </c>
      <c r="X680">
        <v>0.356260641951121</v>
      </c>
      <c r="Y680">
        <v>0.64206375483450195</v>
      </c>
      <c r="Z680">
        <v>3.0615733860670701E-4</v>
      </c>
      <c r="AA680">
        <v>0.101202776160178</v>
      </c>
    </row>
    <row r="681" spans="1:27" x14ac:dyDescent="0.55000000000000004">
      <c r="A681">
        <v>2068</v>
      </c>
      <c r="B681">
        <v>8.0607276399999996</v>
      </c>
      <c r="C681">
        <v>-15.434246959999999</v>
      </c>
      <c r="D681">
        <v>-10.457737529999999</v>
      </c>
      <c r="E681">
        <v>22.222509670000001</v>
      </c>
      <c r="F681">
        <v>1.984956843</v>
      </c>
      <c r="G681">
        <v>10.23291663</v>
      </c>
      <c r="H681">
        <v>8.0607276399999996</v>
      </c>
      <c r="I681">
        <v>15.434246959999999</v>
      </c>
      <c r="J681">
        <v>10.457737529999999</v>
      </c>
      <c r="K681">
        <v>22.222509670000001</v>
      </c>
      <c r="L681">
        <v>1.984956843</v>
      </c>
      <c r="M681">
        <v>10.23291663</v>
      </c>
      <c r="N681">
        <v>0.12833230200000001</v>
      </c>
      <c r="O681">
        <v>39.615215300000003</v>
      </c>
      <c r="P681">
        <v>29.1300541857083</v>
      </c>
      <c r="Q681">
        <v>24.6427697693425</v>
      </c>
      <c r="R681">
        <v>0.29728012832933598</v>
      </c>
      <c r="S681">
        <v>0.62664682598749399</v>
      </c>
      <c r="T681">
        <v>0.53604138489910103</v>
      </c>
      <c r="U681">
        <v>8.3495877524260798E-2</v>
      </c>
      <c r="V681">
        <v>9.5031821518459195E-2</v>
      </c>
      <c r="W681">
        <v>0.154875545246938</v>
      </c>
      <c r="X681">
        <v>0.17644045850493001</v>
      </c>
      <c r="Y681">
        <v>0.50088239248796196</v>
      </c>
      <c r="Z681">
        <v>2.4951823096446599E-2</v>
      </c>
      <c r="AA681">
        <v>5.6820509851607205E-4</v>
      </c>
    </row>
    <row r="682" spans="1:27" x14ac:dyDescent="0.55000000000000004">
      <c r="A682">
        <v>2069</v>
      </c>
      <c r="B682">
        <v>8.3056060170000006</v>
      </c>
      <c r="C682">
        <v>-15.36962269</v>
      </c>
      <c r="D682">
        <v>-10.366120860000001</v>
      </c>
      <c r="E682">
        <v>22.24250919</v>
      </c>
      <c r="F682">
        <v>1.4106406499999999</v>
      </c>
      <c r="G682">
        <v>10.228745460000001</v>
      </c>
      <c r="H682">
        <v>8.3056060170000006</v>
      </c>
      <c r="I682">
        <v>15.36962269</v>
      </c>
      <c r="J682">
        <v>10.366120860000001</v>
      </c>
      <c r="K682">
        <v>22.24250919</v>
      </c>
      <c r="L682">
        <v>1.4106406499999999</v>
      </c>
      <c r="M682">
        <v>10.228745460000001</v>
      </c>
      <c r="N682">
        <v>0.15122142399999999</v>
      </c>
      <c r="O682">
        <v>41.354396819999998</v>
      </c>
      <c r="P682">
        <v>19.420036123805598</v>
      </c>
      <c r="Q682">
        <v>33.156692825485401</v>
      </c>
      <c r="R682">
        <v>0.30653105799520403</v>
      </c>
      <c r="S682">
        <v>0.62402013520201405</v>
      </c>
      <c r="T682">
        <v>0.531343231449668</v>
      </c>
      <c r="U682">
        <v>8.4066615959658295E-2</v>
      </c>
      <c r="V682">
        <v>6.6786054036388806E-2</v>
      </c>
      <c r="W682">
        <v>0.1546459173328</v>
      </c>
      <c r="X682">
        <v>0.20888060067445199</v>
      </c>
      <c r="Y682">
        <v>0.52344080455739195</v>
      </c>
      <c r="Z682">
        <v>1.6634548730964399E-2</v>
      </c>
      <c r="AA682">
        <v>7.64993927590241E-4</v>
      </c>
    </row>
    <row r="683" spans="1:27" x14ac:dyDescent="0.55000000000000004">
      <c r="A683">
        <v>2070</v>
      </c>
      <c r="B683">
        <v>8.6073624520000003</v>
      </c>
      <c r="C683">
        <v>-15.16806278</v>
      </c>
      <c r="D683">
        <v>-10.16618779</v>
      </c>
      <c r="E683">
        <v>22.154684849999999</v>
      </c>
      <c r="F683">
        <v>1.6486441119999999</v>
      </c>
      <c r="G683">
        <v>10.308578069999999</v>
      </c>
      <c r="H683">
        <v>8.6073624520000003</v>
      </c>
      <c r="I683">
        <v>15.16806278</v>
      </c>
      <c r="J683">
        <v>10.16618779</v>
      </c>
      <c r="K683">
        <v>22.154684849999999</v>
      </c>
      <c r="L683">
        <v>1.6486441119999999</v>
      </c>
      <c r="M683">
        <v>10.308578069999999</v>
      </c>
      <c r="N683">
        <v>0.15794129700000001</v>
      </c>
      <c r="O683">
        <v>43.198162080000003</v>
      </c>
      <c r="P683">
        <v>9.7100180619027796</v>
      </c>
      <c r="Q683">
        <v>51.8518945874373</v>
      </c>
      <c r="R683">
        <v>0.31793070703979098</v>
      </c>
      <c r="S683">
        <v>0.61582761622548599</v>
      </c>
      <c r="T683">
        <v>0.52109055317096298</v>
      </c>
      <c r="U683">
        <v>8.1560319488472005E-2</v>
      </c>
      <c r="V683">
        <v>7.8491436070741105E-2</v>
      </c>
      <c r="W683">
        <v>0.159040798316918</v>
      </c>
      <c r="X683">
        <v>0.21840449746180499</v>
      </c>
      <c r="Y683">
        <v>0.5473557415643</v>
      </c>
      <c r="Z683">
        <v>8.3172743654821892E-3</v>
      </c>
      <c r="AA683">
        <v>1.1971104548103701E-3</v>
      </c>
    </row>
    <row r="684" spans="1:27" x14ac:dyDescent="0.55000000000000004">
      <c r="A684">
        <v>2071</v>
      </c>
      <c r="B684">
        <v>8.8745307310000001</v>
      </c>
      <c r="C684">
        <v>-14.86708934</v>
      </c>
      <c r="D684">
        <v>-9.8948010160000006</v>
      </c>
      <c r="E684">
        <v>21.990557190000001</v>
      </c>
      <c r="F684">
        <v>0.92618629200000002</v>
      </c>
      <c r="G684">
        <v>10.346517349999999</v>
      </c>
      <c r="H684">
        <v>8.8745307310000001</v>
      </c>
      <c r="I684">
        <v>14.86708934</v>
      </c>
      <c r="J684">
        <v>9.8948010160000006</v>
      </c>
      <c r="K684">
        <v>21.990557190000001</v>
      </c>
      <c r="L684">
        <v>0.92618629200000002</v>
      </c>
      <c r="M684">
        <v>10.346517349999999</v>
      </c>
      <c r="N684">
        <v>0.116418228</v>
      </c>
      <c r="O684">
        <v>35.599727629999997</v>
      </c>
      <c r="P684">
        <v>58.260108371416599</v>
      </c>
      <c r="Q684">
        <v>9.7452521746388996</v>
      </c>
      <c r="R684">
        <v>0.32802369682622701</v>
      </c>
      <c r="S684">
        <v>0.60359437689415896</v>
      </c>
      <c r="T684">
        <v>0.50717368947793895</v>
      </c>
      <c r="U684">
        <v>7.6876508883324701E-2</v>
      </c>
      <c r="V684">
        <v>4.2959831968254203E-2</v>
      </c>
      <c r="W684">
        <v>0.16112940121018601</v>
      </c>
      <c r="X684">
        <v>0.15955495916693799</v>
      </c>
      <c r="Y684">
        <v>0.44879868272109802</v>
      </c>
      <c r="Z684">
        <v>4.9903646192893197E-2</v>
      </c>
      <c r="AA684">
        <v>2.23867356180203E-4</v>
      </c>
    </row>
    <row r="685" spans="1:27" x14ac:dyDescent="0.55000000000000004">
      <c r="A685">
        <v>2072</v>
      </c>
      <c r="B685">
        <v>9.3606919449999992</v>
      </c>
      <c r="C685">
        <v>-14.304182000000001</v>
      </c>
      <c r="D685">
        <v>-9.3793433509999993</v>
      </c>
      <c r="E685">
        <v>22.393326909999999</v>
      </c>
      <c r="F685">
        <v>1.154984368</v>
      </c>
      <c r="G685">
        <v>10.65551415</v>
      </c>
      <c r="H685">
        <v>9.3606919449999992</v>
      </c>
      <c r="I685">
        <v>14.304182000000001</v>
      </c>
      <c r="J685">
        <v>9.3793433509999993</v>
      </c>
      <c r="K685">
        <v>22.393326909999999</v>
      </c>
      <c r="L685">
        <v>1.154984368</v>
      </c>
      <c r="M685">
        <v>10.65551415</v>
      </c>
      <c r="N685">
        <v>9.7923524999999997E-2</v>
      </c>
      <c r="O685">
        <v>34.976291660000001</v>
      </c>
      <c r="P685">
        <v>11.652021674283301</v>
      </c>
      <c r="Q685">
        <v>43.332583277800403</v>
      </c>
      <c r="R685">
        <v>0.34638972510559202</v>
      </c>
      <c r="S685">
        <v>0.58071468288667105</v>
      </c>
      <c r="T685">
        <v>0.480740735662257</v>
      </c>
      <c r="U685">
        <v>8.8370592732251799E-2</v>
      </c>
      <c r="V685">
        <v>5.4212478739857697E-2</v>
      </c>
      <c r="W685">
        <v>0.17814004586371099</v>
      </c>
      <c r="X685">
        <v>0.133342909849228</v>
      </c>
      <c r="Y685">
        <v>0.440712278082803</v>
      </c>
      <c r="Z685">
        <v>9.9807292385786298E-3</v>
      </c>
      <c r="AA685">
        <v>1.0001970829033801E-3</v>
      </c>
    </row>
    <row r="686" spans="1:27" x14ac:dyDescent="0.55000000000000004">
      <c r="A686">
        <v>2073</v>
      </c>
      <c r="B686">
        <v>9.8554507319999995</v>
      </c>
      <c r="C686">
        <v>-13.982505789999999</v>
      </c>
      <c r="D686">
        <v>-9.0286602150000004</v>
      </c>
      <c r="E686">
        <v>22.321629699999999</v>
      </c>
      <c r="F686">
        <v>1.308764423</v>
      </c>
      <c r="G686">
        <v>10.66415956</v>
      </c>
      <c r="H686">
        <v>9.8554507319999995</v>
      </c>
      <c r="I686">
        <v>13.982505789999999</v>
      </c>
      <c r="J686">
        <v>9.0286602150000004</v>
      </c>
      <c r="K686">
        <v>22.321629699999999</v>
      </c>
      <c r="L686">
        <v>1.308764423</v>
      </c>
      <c r="M686">
        <v>10.66415956</v>
      </c>
      <c r="N686">
        <v>0.12954644900000001</v>
      </c>
      <c r="O686">
        <v>36.133094790000001</v>
      </c>
      <c r="P686">
        <v>7.2825135464270803</v>
      </c>
      <c r="Q686">
        <v>62.023027244711699</v>
      </c>
      <c r="R686">
        <v>0.36508054949024998</v>
      </c>
      <c r="S686">
        <v>0.56763996750937895</v>
      </c>
      <c r="T686">
        <v>0.46275751072015298</v>
      </c>
      <c r="U686">
        <v>8.6324525953760806E-2</v>
      </c>
      <c r="V686">
        <v>6.17756220568179E-2</v>
      </c>
      <c r="W686">
        <v>0.17861598605918899</v>
      </c>
      <c r="X686">
        <v>0.178161236667356</v>
      </c>
      <c r="Y686">
        <v>0.45571683131066099</v>
      </c>
      <c r="Z686">
        <v>6.2379557741116497E-3</v>
      </c>
      <c r="AA686">
        <v>1.4322036395601301E-3</v>
      </c>
    </row>
    <row r="687" spans="1:27" x14ac:dyDescent="0.55000000000000004">
      <c r="A687">
        <v>2074</v>
      </c>
      <c r="B687">
        <v>10.469782929999999</v>
      </c>
      <c r="C687">
        <v>-13.45062154</v>
      </c>
      <c r="D687">
        <v>-8.5189351690000006</v>
      </c>
      <c r="E687">
        <v>22.356168279999999</v>
      </c>
      <c r="F687">
        <v>1.186820523</v>
      </c>
      <c r="G687">
        <v>10.779419770000001</v>
      </c>
      <c r="H687">
        <v>10.469782929999999</v>
      </c>
      <c r="I687">
        <v>13.45062154</v>
      </c>
      <c r="J687">
        <v>8.5189351690000006</v>
      </c>
      <c r="K687">
        <v>22.356168279999999</v>
      </c>
      <c r="L687">
        <v>1.186820523</v>
      </c>
      <c r="M687">
        <v>10.779419770000001</v>
      </c>
      <c r="N687">
        <v>8.4066643999999996E-2</v>
      </c>
      <c r="O687">
        <v>30.016510010000001</v>
      </c>
      <c r="P687">
        <v>29.894732220141499</v>
      </c>
      <c r="Q687">
        <v>57.074248692794498</v>
      </c>
      <c r="R687">
        <v>0.38828857636792002</v>
      </c>
      <c r="S687">
        <v>0.54602122491596705</v>
      </c>
      <c r="T687">
        <v>0.43661852877366297</v>
      </c>
      <c r="U687">
        <v>8.7310174364825202E-2</v>
      </c>
      <c r="V687">
        <v>5.5778230572408098E-2</v>
      </c>
      <c r="W687">
        <v>0.184961198938418</v>
      </c>
      <c r="X687">
        <v>0.113703921963797</v>
      </c>
      <c r="Y687">
        <v>0.376380408781952</v>
      </c>
      <c r="Z687">
        <v>2.5606820540642099E-2</v>
      </c>
      <c r="AA687">
        <v>1.3178187279092701E-3</v>
      </c>
    </row>
    <row r="688" spans="1:27" x14ac:dyDescent="0.55000000000000004">
      <c r="A688">
        <v>2075</v>
      </c>
      <c r="B688">
        <v>10.843633690000001</v>
      </c>
      <c r="C688">
        <v>-13.419347459999999</v>
      </c>
      <c r="D688">
        <v>-8.4732028800000005</v>
      </c>
      <c r="E688">
        <v>22.34089432</v>
      </c>
      <c r="F688">
        <v>0.94513338000000002</v>
      </c>
      <c r="G688">
        <v>10.612826869999999</v>
      </c>
      <c r="H688">
        <v>10.843633690000001</v>
      </c>
      <c r="I688">
        <v>13.419347459999999</v>
      </c>
      <c r="J688">
        <v>8.4732028800000005</v>
      </c>
      <c r="K688">
        <v>22.34089432</v>
      </c>
      <c r="L688">
        <v>0.94513338000000002</v>
      </c>
      <c r="M688">
        <v>10.612826869999999</v>
      </c>
      <c r="N688">
        <v>7.8137851999999994E-2</v>
      </c>
      <c r="O688">
        <v>28.41354561</v>
      </c>
      <c r="P688">
        <v>59.789464440283098</v>
      </c>
      <c r="Q688">
        <v>0.75144314869995599</v>
      </c>
      <c r="R688">
        <v>0.40241177960317898</v>
      </c>
      <c r="S688">
        <v>0.544750071868352</v>
      </c>
      <c r="T688">
        <v>0.434273351729837</v>
      </c>
      <c r="U688">
        <v>8.6874292102014694E-2</v>
      </c>
      <c r="V688">
        <v>4.3891679352383799E-2</v>
      </c>
      <c r="W688">
        <v>0.17579005987257601</v>
      </c>
      <c r="X688">
        <v>0.10530120318002099</v>
      </c>
      <c r="Y688">
        <v>0.35558882891981902</v>
      </c>
      <c r="Z688">
        <v>5.1213641081284199E-2</v>
      </c>
      <c r="AA688" s="1">
        <v>1.5986554878596002E-5</v>
      </c>
    </row>
    <row r="689" spans="1:27" x14ac:dyDescent="0.55000000000000004">
      <c r="A689">
        <v>2076</v>
      </c>
      <c r="B689">
        <v>11.644569089999999</v>
      </c>
      <c r="C689">
        <v>-13.086983310000001</v>
      </c>
      <c r="D689">
        <v>-8.1119883940000008</v>
      </c>
      <c r="E689">
        <v>22.300296110000001</v>
      </c>
      <c r="F689">
        <v>1.4984926540000001</v>
      </c>
      <c r="G689">
        <v>10.677029790000001</v>
      </c>
      <c r="H689">
        <v>11.644569089999999</v>
      </c>
      <c r="I689">
        <v>13.086983310000001</v>
      </c>
      <c r="J689">
        <v>8.1119883940000008</v>
      </c>
      <c r="K689">
        <v>22.300296110000001</v>
      </c>
      <c r="L689">
        <v>1.4984926540000001</v>
      </c>
      <c r="M689">
        <v>10.677029790000001</v>
      </c>
      <c r="N689">
        <v>8.1358424999999998E-2</v>
      </c>
      <c r="O689">
        <v>30.404897689999999</v>
      </c>
      <c r="P689">
        <v>59.789464440283098</v>
      </c>
      <c r="Q689">
        <v>2.0006989112179601</v>
      </c>
      <c r="R689">
        <v>0.43266923697069398</v>
      </c>
      <c r="S689">
        <v>0.53124093899568603</v>
      </c>
      <c r="T689">
        <v>0.41575007334189501</v>
      </c>
      <c r="U689">
        <v>8.5715716353429797E-2</v>
      </c>
      <c r="V689">
        <v>7.1106752822288996E-2</v>
      </c>
      <c r="W689">
        <v>0.179324507665688</v>
      </c>
      <c r="X689">
        <v>0.1098656354019</v>
      </c>
      <c r="Y689">
        <v>0.38141807116933202</v>
      </c>
      <c r="Z689">
        <v>5.1213641081284199E-2</v>
      </c>
      <c r="AA689" s="1">
        <v>4.48615608069969E-5</v>
      </c>
    </row>
    <row r="690" spans="1:27" x14ac:dyDescent="0.55000000000000004">
      <c r="A690">
        <v>2077</v>
      </c>
      <c r="B690">
        <v>12.38615205</v>
      </c>
      <c r="C690">
        <v>-13.03002292</v>
      </c>
      <c r="D690">
        <v>-7.96921386</v>
      </c>
      <c r="E690">
        <v>22.505257919999998</v>
      </c>
      <c r="F690">
        <v>0.94133945600000002</v>
      </c>
      <c r="G690">
        <v>10.86568274</v>
      </c>
      <c r="H690">
        <v>12.38615205</v>
      </c>
      <c r="I690">
        <v>13.03002292</v>
      </c>
      <c r="J690">
        <v>7.96921386</v>
      </c>
      <c r="K690">
        <v>22.505257919999998</v>
      </c>
      <c r="L690">
        <v>0.94133945600000002</v>
      </c>
      <c r="M690">
        <v>10.86568274</v>
      </c>
      <c r="N690">
        <v>9.1700293000000002E-2</v>
      </c>
      <c r="O690">
        <v>28.69870186</v>
      </c>
      <c r="P690">
        <v>59.789464440283098</v>
      </c>
      <c r="Q690">
        <v>1.0414841542009601</v>
      </c>
      <c r="R690">
        <v>0.46068449862185301</v>
      </c>
      <c r="S690">
        <v>0.52892575103997896</v>
      </c>
      <c r="T690">
        <v>0.40842851636538202</v>
      </c>
      <c r="U690">
        <v>9.15648358700802E-2</v>
      </c>
      <c r="V690">
        <v>4.37050882437666E-2</v>
      </c>
      <c r="W690">
        <v>0.18971007895733</v>
      </c>
      <c r="X690">
        <v>0.124522889106015</v>
      </c>
      <c r="Y690">
        <v>0.35928750678506799</v>
      </c>
      <c r="Z690">
        <v>5.1213641081284199E-2</v>
      </c>
      <c r="AA690" s="1">
        <v>2.26904949400293E-5</v>
      </c>
    </row>
    <row r="691" spans="1:27" x14ac:dyDescent="0.55000000000000004">
      <c r="A691">
        <v>2078</v>
      </c>
      <c r="B691">
        <v>12.215423980000001</v>
      </c>
      <c r="C691">
        <v>-13.42832559</v>
      </c>
      <c r="D691">
        <v>-8.3649624029999998</v>
      </c>
      <c r="E691">
        <v>22.81641668</v>
      </c>
      <c r="F691">
        <v>1.8557799210000001</v>
      </c>
      <c r="G691">
        <v>11.19262118</v>
      </c>
      <c r="H691">
        <v>12.215423980000001</v>
      </c>
      <c r="I691">
        <v>13.42832559</v>
      </c>
      <c r="J691">
        <v>8.3649624029999998</v>
      </c>
      <c r="K691">
        <v>22.81641668</v>
      </c>
      <c r="L691">
        <v>1.8557799210000001</v>
      </c>
      <c r="M691">
        <v>11.19262118</v>
      </c>
      <c r="N691">
        <v>6.8892963000000002E-2</v>
      </c>
      <c r="O691">
        <v>25.20763779</v>
      </c>
      <c r="P691">
        <v>59.789464440283098</v>
      </c>
      <c r="Q691">
        <v>13.17377359268</v>
      </c>
      <c r="R691">
        <v>0.45423479331545402</v>
      </c>
      <c r="S691">
        <v>0.54511499314857503</v>
      </c>
      <c r="T691">
        <v>0.42872272027394698</v>
      </c>
      <c r="U691">
        <v>0.100444562175643</v>
      </c>
      <c r="V691">
        <v>8.8678698713751003E-2</v>
      </c>
      <c r="W691">
        <v>0.20770843242383</v>
      </c>
      <c r="X691">
        <v>9.21986685567424E-2</v>
      </c>
      <c r="Y691">
        <v>0.31400594132096399</v>
      </c>
      <c r="Z691">
        <v>5.1213641081284199E-2</v>
      </c>
      <c r="AA691">
        <v>3.0311339949806103E-4</v>
      </c>
    </row>
    <row r="692" spans="1:27" x14ac:dyDescent="0.55000000000000004">
      <c r="A692">
        <v>2079</v>
      </c>
      <c r="B692">
        <v>10.88365806</v>
      </c>
      <c r="C692">
        <v>-15.679602340000001</v>
      </c>
      <c r="D692">
        <v>-10.337600549999999</v>
      </c>
      <c r="E692">
        <v>22.9797537</v>
      </c>
      <c r="F692">
        <v>1.716075912</v>
      </c>
      <c r="G692">
        <v>11.569329120000001</v>
      </c>
      <c r="H692">
        <v>10.88365806</v>
      </c>
      <c r="I692">
        <v>15.679602340000001</v>
      </c>
      <c r="J692">
        <v>10.337600549999999</v>
      </c>
      <c r="K692">
        <v>22.9797537</v>
      </c>
      <c r="L692">
        <v>1.716075912</v>
      </c>
      <c r="M692">
        <v>11.569329120000001</v>
      </c>
      <c r="N692">
        <v>0.126514882</v>
      </c>
      <c r="O692">
        <v>36.719932559999997</v>
      </c>
      <c r="P692">
        <v>3.9859642960188699</v>
      </c>
      <c r="Q692">
        <v>357.94573840578602</v>
      </c>
      <c r="R692">
        <v>0.40392380625218999</v>
      </c>
      <c r="S692">
        <v>0.63661943714138503</v>
      </c>
      <c r="T692">
        <v>0.52988069419738104</v>
      </c>
      <c r="U692">
        <v>0.105105809807451</v>
      </c>
      <c r="V692">
        <v>8.1807837326551502E-2</v>
      </c>
      <c r="W692">
        <v>0.22844665659152799</v>
      </c>
      <c r="X692">
        <v>0.17386467760858401</v>
      </c>
      <c r="Y692">
        <v>0.46332853145888098</v>
      </c>
      <c r="Z692">
        <v>3.4142427387522799E-3</v>
      </c>
      <c r="AA692">
        <v>8.2720920719349597E-3</v>
      </c>
    </row>
    <row r="693" spans="1:27" x14ac:dyDescent="0.55000000000000004">
      <c r="A693">
        <v>2080</v>
      </c>
      <c r="B693">
        <v>10.40980392</v>
      </c>
      <c r="C693">
        <v>-16.34698629</v>
      </c>
      <c r="D693">
        <v>-10.917621929999999</v>
      </c>
      <c r="E693">
        <v>22.97379553</v>
      </c>
      <c r="F693">
        <v>1.4602687759999999</v>
      </c>
      <c r="G693">
        <v>11.41488537</v>
      </c>
      <c r="H693">
        <v>10.40980392</v>
      </c>
      <c r="I693">
        <v>16.34698629</v>
      </c>
      <c r="J693">
        <v>10.917621929999999</v>
      </c>
      <c r="K693">
        <v>22.97379553</v>
      </c>
      <c r="L693">
        <v>1.4602687759999999</v>
      </c>
      <c r="M693">
        <v>11.41488537</v>
      </c>
      <c r="N693">
        <v>7.1557893999999997E-2</v>
      </c>
      <c r="O693">
        <v>23.633743290000002</v>
      </c>
      <c r="P693">
        <v>59.789464440283098</v>
      </c>
      <c r="Q693">
        <v>13.0845194160981</v>
      </c>
      <c r="R693">
        <v>0.38602271030928298</v>
      </c>
      <c r="S693">
        <v>0.66374564331504904</v>
      </c>
      <c r="T693">
        <v>0.55962451098522303</v>
      </c>
      <c r="U693">
        <v>0.104935777895503</v>
      </c>
      <c r="V693">
        <v>6.9226842794659002E-2</v>
      </c>
      <c r="W693">
        <v>0.219944342812849</v>
      </c>
      <c r="X693">
        <v>9.5975604190707206E-2</v>
      </c>
      <c r="Y693">
        <v>0.29359141858339</v>
      </c>
      <c r="Z693">
        <v>5.1213641081284199E-2</v>
      </c>
      <c r="AA693">
        <v>3.0105039930605803E-4</v>
      </c>
    </row>
    <row r="694" spans="1:27" x14ac:dyDescent="0.55000000000000004">
      <c r="A694">
        <v>2081</v>
      </c>
      <c r="B694">
        <v>10.46225883</v>
      </c>
      <c r="C694">
        <v>-16.514451359999999</v>
      </c>
      <c r="D694">
        <v>-10.842404370000001</v>
      </c>
      <c r="E694">
        <v>22.48618914</v>
      </c>
      <c r="F694">
        <v>2.1038191290000001</v>
      </c>
      <c r="G694">
        <v>11.923934450000001</v>
      </c>
      <c r="H694">
        <v>10.46225883</v>
      </c>
      <c r="I694">
        <v>16.514451359999999</v>
      </c>
      <c r="J694">
        <v>10.842404370000001</v>
      </c>
      <c r="K694">
        <v>22.48618914</v>
      </c>
      <c r="L694">
        <v>2.1038191290000001</v>
      </c>
      <c r="M694">
        <v>11.923934450000001</v>
      </c>
      <c r="N694">
        <v>9.2302418999999997E-2</v>
      </c>
      <c r="O694">
        <v>34.752368930000003</v>
      </c>
      <c r="P694">
        <v>59.789464440283098</v>
      </c>
      <c r="Q694">
        <v>1.36996344082761</v>
      </c>
      <c r="R694">
        <v>0.38800433355011099</v>
      </c>
      <c r="S694">
        <v>0.670552357824301</v>
      </c>
      <c r="T694">
        <v>0.55576731295595605</v>
      </c>
      <c r="U694">
        <v>9.1020658526717105E-2</v>
      </c>
      <c r="V694">
        <v>0.100877654412715</v>
      </c>
      <c r="W694">
        <v>0.247968105554352</v>
      </c>
      <c r="X694">
        <v>0.12537626622742501</v>
      </c>
      <c r="Y694">
        <v>0.437807842199048</v>
      </c>
      <c r="Z694">
        <v>5.1213641081284199E-2</v>
      </c>
      <c r="AA694" s="1">
        <v>3.0282888454055499E-5</v>
      </c>
    </row>
    <row r="695" spans="1:27" x14ac:dyDescent="0.55000000000000004">
      <c r="A695">
        <v>2082</v>
      </c>
      <c r="B695">
        <v>10.68500607</v>
      </c>
      <c r="C695">
        <v>-16.353106230000002</v>
      </c>
      <c r="D695">
        <v>-10.56824486</v>
      </c>
      <c r="E695">
        <v>22.36663227</v>
      </c>
      <c r="F695">
        <v>2.4222134369999999</v>
      </c>
      <c r="G695">
        <v>11.504089090000001</v>
      </c>
      <c r="H695">
        <v>10.68500607</v>
      </c>
      <c r="I695">
        <v>16.353106230000002</v>
      </c>
      <c r="J695">
        <v>10.56824486</v>
      </c>
      <c r="K695">
        <v>22.36663227</v>
      </c>
      <c r="L695">
        <v>2.4222134369999999</v>
      </c>
      <c r="M695">
        <v>11.504089090000001</v>
      </c>
      <c r="N695">
        <v>9.8158769000000007E-2</v>
      </c>
      <c r="O695">
        <v>32.08292007</v>
      </c>
      <c r="P695">
        <v>9.9649107400471806</v>
      </c>
      <c r="Q695">
        <v>39.967529759039301</v>
      </c>
      <c r="R695">
        <v>0.39641920086404397</v>
      </c>
      <c r="S695">
        <v>0.663994391811638</v>
      </c>
      <c r="T695">
        <v>0.54170826182910903</v>
      </c>
      <c r="U695">
        <v>8.7608791595669505E-2</v>
      </c>
      <c r="V695">
        <v>0.11653678382783</v>
      </c>
      <c r="W695">
        <v>0.224855114648326</v>
      </c>
      <c r="X695">
        <v>0.13367631489659099</v>
      </c>
      <c r="Y695">
        <v>0.40318320601837598</v>
      </c>
      <c r="Z695">
        <v>8.5356068468807004E-3</v>
      </c>
      <c r="AA695">
        <v>9.2241802178640801E-4</v>
      </c>
    </row>
    <row r="696" spans="1:27" x14ac:dyDescent="0.55000000000000004">
      <c r="A696">
        <v>2083</v>
      </c>
      <c r="B696">
        <v>11.482763329999999</v>
      </c>
      <c r="C696">
        <v>-15.60534841</v>
      </c>
      <c r="D696">
        <v>-9.5980972399999995</v>
      </c>
      <c r="E696">
        <v>21.103683100000001</v>
      </c>
      <c r="F696">
        <v>3.4410564209999999</v>
      </c>
      <c r="G696">
        <v>11.699087049999999</v>
      </c>
      <c r="H696">
        <v>11.482763329999999</v>
      </c>
      <c r="I696">
        <v>15.60534841</v>
      </c>
      <c r="J696">
        <v>9.5980972399999995</v>
      </c>
      <c r="K696">
        <v>21.103683100000001</v>
      </c>
      <c r="L696">
        <v>3.4410564209999999</v>
      </c>
      <c r="M696">
        <v>11.699087049999999</v>
      </c>
      <c r="N696">
        <v>7.4467473000000006E-2</v>
      </c>
      <c r="O696">
        <v>27.396427150000001</v>
      </c>
      <c r="P696">
        <v>69.6863700907561</v>
      </c>
      <c r="Q696">
        <v>0.93513300381433895</v>
      </c>
      <c r="R696">
        <v>0.42655659557037801</v>
      </c>
      <c r="S696">
        <v>0.63360134326246498</v>
      </c>
      <c r="T696">
        <v>0.49195855593647397</v>
      </c>
      <c r="U696">
        <v>5.1567244934930298E-2</v>
      </c>
      <c r="V696">
        <v>0.16664507326413799</v>
      </c>
      <c r="W696">
        <v>0.235589986354836</v>
      </c>
      <c r="X696">
        <v>0.10009927291043599</v>
      </c>
      <c r="Y696">
        <v>0.34239608447063502</v>
      </c>
      <c r="Z696">
        <v>5.9690997059357903E-2</v>
      </c>
      <c r="AA696" s="1">
        <v>2.0232319288538898E-5</v>
      </c>
    </row>
    <row r="697" spans="1:27" x14ac:dyDescent="0.55000000000000004">
      <c r="A697">
        <v>2084</v>
      </c>
      <c r="B697">
        <v>11.586497899999999</v>
      </c>
      <c r="C697">
        <v>-15.467832189999999</v>
      </c>
      <c r="D697">
        <v>-9.4825245490000007</v>
      </c>
      <c r="E697">
        <v>20.832614360000001</v>
      </c>
      <c r="F697">
        <v>3.6725392659999998</v>
      </c>
      <c r="G697">
        <v>11.770499389999999</v>
      </c>
      <c r="H697">
        <v>11.586497899999999</v>
      </c>
      <c r="I697">
        <v>15.467832189999999</v>
      </c>
      <c r="J697">
        <v>9.4825245490000007</v>
      </c>
      <c r="K697">
        <v>20.832614360000001</v>
      </c>
      <c r="L697">
        <v>3.6725392659999998</v>
      </c>
      <c r="M697">
        <v>11.770499389999999</v>
      </c>
      <c r="N697">
        <v>7.6231353000000002E-2</v>
      </c>
      <c r="O697">
        <v>28.341476440000001</v>
      </c>
      <c r="P697">
        <v>69.6863700907561</v>
      </c>
      <c r="Q697">
        <v>2.6154525309329202</v>
      </c>
      <c r="R697">
        <v>0.430475443868646</v>
      </c>
      <c r="S697">
        <v>0.62801191706193504</v>
      </c>
      <c r="T697">
        <v>0.48603192449612698</v>
      </c>
      <c r="U697">
        <v>4.3831591851617502E-2</v>
      </c>
      <c r="V697">
        <v>0.17802976116890401</v>
      </c>
      <c r="W697">
        <v>0.23952132137065699</v>
      </c>
      <c r="X697">
        <v>0.10259917299266599</v>
      </c>
      <c r="Y697">
        <v>0.35465404090852398</v>
      </c>
      <c r="Z697">
        <v>5.9690997059357903E-2</v>
      </c>
      <c r="AA697" s="1">
        <v>5.9070832396023998E-5</v>
      </c>
    </row>
    <row r="698" spans="1:27" x14ac:dyDescent="0.55000000000000004">
      <c r="A698">
        <v>2085</v>
      </c>
      <c r="B698">
        <v>12.201943099999999</v>
      </c>
      <c r="C698">
        <v>-15.03036342</v>
      </c>
      <c r="D698">
        <v>-9.1659436799999998</v>
      </c>
      <c r="E698">
        <v>19.690646000000001</v>
      </c>
      <c r="F698">
        <v>3.5054324270000001</v>
      </c>
      <c r="G698">
        <v>10.384726949999999</v>
      </c>
      <c r="H698">
        <v>12.201943099999999</v>
      </c>
      <c r="I698">
        <v>15.03036342</v>
      </c>
      <c r="J698">
        <v>9.1659436799999998</v>
      </c>
      <c r="K698">
        <v>19.690646000000001</v>
      </c>
      <c r="L698">
        <v>3.5054324270000001</v>
      </c>
      <c r="M698">
        <v>10.384726949999999</v>
      </c>
      <c r="N698">
        <v>9.3463525000000006E-2</v>
      </c>
      <c r="O698">
        <v>31.052551269999999</v>
      </c>
      <c r="P698">
        <v>9.9551957272508709</v>
      </c>
      <c r="Q698">
        <v>97.694843571691393</v>
      </c>
      <c r="R698">
        <v>0.45372551734653499</v>
      </c>
      <c r="S698">
        <v>0.61023074619386297</v>
      </c>
      <c r="T698">
        <v>0.469797482644912</v>
      </c>
      <c r="U698">
        <v>1.1242547961571E-2</v>
      </c>
      <c r="V698">
        <v>0.169811185797727</v>
      </c>
      <c r="W698">
        <v>0.16323288554385301</v>
      </c>
      <c r="X698">
        <v>0.127021870795127</v>
      </c>
      <c r="Y698">
        <v>0.38981859530546797</v>
      </c>
      <c r="Z698">
        <v>8.5272852941939894E-3</v>
      </c>
      <c r="AA698">
        <v>2.2567136709105099E-3</v>
      </c>
    </row>
    <row r="699" spans="1:27" x14ac:dyDescent="0.55000000000000004">
      <c r="A699">
        <v>2086</v>
      </c>
      <c r="B699">
        <v>12.634012370000001</v>
      </c>
      <c r="C699">
        <v>-14.963953849999999</v>
      </c>
      <c r="D699">
        <v>-9.1328505470000003</v>
      </c>
      <c r="E699">
        <v>19.296690470000001</v>
      </c>
      <c r="F699">
        <v>3.4893461430000001</v>
      </c>
      <c r="G699">
        <v>10.45927389</v>
      </c>
      <c r="H699">
        <v>12.634012370000001</v>
      </c>
      <c r="I699">
        <v>14.963953849999999</v>
      </c>
      <c r="J699">
        <v>9.1328505470000003</v>
      </c>
      <c r="K699">
        <v>19.296690470000001</v>
      </c>
      <c r="L699">
        <v>3.4893461430000001</v>
      </c>
      <c r="M699">
        <v>10.45927389</v>
      </c>
      <c r="N699">
        <v>0.11445353900000001</v>
      </c>
      <c r="O699">
        <v>31.21475792</v>
      </c>
      <c r="P699">
        <v>34.177391700561898</v>
      </c>
      <c r="Q699">
        <v>19.805154589472799</v>
      </c>
      <c r="R699">
        <v>0.47004807908726798</v>
      </c>
      <c r="S699">
        <v>0.60753149085857305</v>
      </c>
      <c r="T699">
        <v>0.46810044850301902</v>
      </c>
      <c r="U699">
        <v>0</v>
      </c>
      <c r="V699">
        <v>0.16902003722303499</v>
      </c>
      <c r="W699">
        <v>0.16733678405137101</v>
      </c>
      <c r="X699">
        <v>0.15677045784447999</v>
      </c>
      <c r="Y699">
        <v>0.39192253006387201</v>
      </c>
      <c r="Z699">
        <v>2.92752023794303E-2</v>
      </c>
      <c r="AA699">
        <v>4.5638959108426402E-4</v>
      </c>
    </row>
    <row r="700" spans="1:27" x14ac:dyDescent="0.55000000000000004">
      <c r="A700">
        <v>2087</v>
      </c>
      <c r="B700">
        <v>13.48668782</v>
      </c>
      <c r="C700">
        <v>-14.41220691</v>
      </c>
      <c r="D700">
        <v>-8.6593595089999997</v>
      </c>
      <c r="E700">
        <v>20.05715773</v>
      </c>
      <c r="F700">
        <v>3.4330483460000001</v>
      </c>
      <c r="G700">
        <v>11.188565280000001</v>
      </c>
      <c r="H700">
        <v>13.48668782</v>
      </c>
      <c r="I700">
        <v>14.41220691</v>
      </c>
      <c r="J700">
        <v>8.6593595089999997</v>
      </c>
      <c r="K700">
        <v>20.05715773</v>
      </c>
      <c r="L700">
        <v>3.4330483460000001</v>
      </c>
      <c r="M700">
        <v>11.188565280000001</v>
      </c>
      <c r="N700">
        <v>0.321397871</v>
      </c>
      <c r="O700">
        <v>61.858081820000002</v>
      </c>
      <c r="P700">
        <v>2.3570614965904801</v>
      </c>
      <c r="Q700">
        <v>481.28963742957399</v>
      </c>
      <c r="R700">
        <v>0.502260153964595</v>
      </c>
      <c r="S700">
        <v>0.58510541775608305</v>
      </c>
      <c r="T700">
        <v>0.44381956650353699</v>
      </c>
      <c r="U700">
        <v>2.17019155531449E-2</v>
      </c>
      <c r="V700">
        <v>0.166251223626628</v>
      </c>
      <c r="W700">
        <v>0.207485150261523</v>
      </c>
      <c r="X700">
        <v>0.45006714048948698</v>
      </c>
      <c r="Y700">
        <v>0.78938807334609296</v>
      </c>
      <c r="Z700">
        <v>2.0189794744434699E-3</v>
      </c>
      <c r="AA700">
        <v>1.1123034146730999E-2</v>
      </c>
    </row>
    <row r="701" spans="1:27" x14ac:dyDescent="0.55000000000000004">
      <c r="A701">
        <v>2088</v>
      </c>
      <c r="B701">
        <v>14.15431811</v>
      </c>
      <c r="C701">
        <v>-13.73515241</v>
      </c>
      <c r="D701">
        <v>-7.9106324829999997</v>
      </c>
      <c r="E701">
        <v>20.71714025</v>
      </c>
      <c r="F701">
        <v>3.4259044269999999</v>
      </c>
      <c r="G701">
        <v>11.75743078</v>
      </c>
      <c r="H701">
        <v>14.15431811</v>
      </c>
      <c r="I701">
        <v>13.73515241</v>
      </c>
      <c r="J701">
        <v>7.9106324829999997</v>
      </c>
      <c r="K701">
        <v>20.71714025</v>
      </c>
      <c r="L701">
        <v>3.4259044269999999</v>
      </c>
      <c r="M701">
        <v>11.75743078</v>
      </c>
      <c r="N701">
        <v>0.304457635</v>
      </c>
      <c r="O701">
        <v>61.858081820000002</v>
      </c>
      <c r="P701">
        <v>1.84742657840875</v>
      </c>
      <c r="Q701">
        <v>1609.38619168421</v>
      </c>
      <c r="R701">
        <v>0.52748165751773701</v>
      </c>
      <c r="S701">
        <v>0.557586146491309</v>
      </c>
      <c r="T701">
        <v>0.40542443099068898</v>
      </c>
      <c r="U701">
        <v>4.0536237119587898E-2</v>
      </c>
      <c r="V701">
        <v>0.16589987453105301</v>
      </c>
      <c r="W701">
        <v>0.23880187870709099</v>
      </c>
      <c r="X701">
        <v>0.42605819579404303</v>
      </c>
      <c r="Y701">
        <v>0.78938807334609296</v>
      </c>
      <c r="Z701">
        <v>1.5824433718611001E-3</v>
      </c>
      <c r="AA701">
        <v>3.7197594432332802E-2</v>
      </c>
    </row>
    <row r="702" spans="1:27" x14ac:dyDescent="0.55000000000000004">
      <c r="A702">
        <v>2089</v>
      </c>
      <c r="B702">
        <v>14.626760989999999</v>
      </c>
      <c r="C702">
        <v>-13.182685449999999</v>
      </c>
      <c r="D702">
        <v>-7.3090565400000003</v>
      </c>
      <c r="E702">
        <v>21.2856007</v>
      </c>
      <c r="F702">
        <v>2.0243940989999998</v>
      </c>
      <c r="G702">
        <v>11.168129710000001</v>
      </c>
      <c r="H702">
        <v>14.626760989999999</v>
      </c>
      <c r="I702">
        <v>13.182685449999999</v>
      </c>
      <c r="J702">
        <v>7.3090565400000003</v>
      </c>
      <c r="K702">
        <v>21.2856007</v>
      </c>
      <c r="L702">
        <v>2.0243940989999998</v>
      </c>
      <c r="M702">
        <v>11.168129710000001</v>
      </c>
      <c r="N702">
        <v>0.160717845</v>
      </c>
      <c r="O702">
        <v>50.82966614</v>
      </c>
      <c r="P702">
        <v>27.220931442925401</v>
      </c>
      <c r="Q702">
        <v>14.5374367172854</v>
      </c>
      <c r="R702">
        <v>0.545329439374034</v>
      </c>
      <c r="S702">
        <v>0.535130807759987</v>
      </c>
      <c r="T702">
        <v>0.37457528430481202</v>
      </c>
      <c r="U702">
        <v>5.6758737850523801E-2</v>
      </c>
      <c r="V702">
        <v>9.6971407371485796E-2</v>
      </c>
      <c r="W702">
        <v>0.20636014760919</v>
      </c>
      <c r="X702">
        <v>0.22233962489310199</v>
      </c>
      <c r="Y702">
        <v>0.64634173659431005</v>
      </c>
      <c r="Z702">
        <v>2.3316532868572801E-2</v>
      </c>
      <c r="AA702">
        <v>3.3463279047365801E-4</v>
      </c>
    </row>
    <row r="703" spans="1:27" x14ac:dyDescent="0.55000000000000004">
      <c r="A703">
        <v>2090</v>
      </c>
      <c r="B703">
        <v>14.6731198</v>
      </c>
      <c r="C703">
        <v>-13.14036374</v>
      </c>
      <c r="D703">
        <v>-7.3475743299999996</v>
      </c>
      <c r="E703">
        <v>21.541536700000002</v>
      </c>
      <c r="F703">
        <v>2.673555795</v>
      </c>
      <c r="G703">
        <v>11.718302509999999</v>
      </c>
      <c r="H703">
        <v>14.6731198</v>
      </c>
      <c r="I703">
        <v>13.14036374</v>
      </c>
      <c r="J703">
        <v>7.3475743299999996</v>
      </c>
      <c r="K703">
        <v>21.541536700000002</v>
      </c>
      <c r="L703">
        <v>2.673555795</v>
      </c>
      <c r="M703">
        <v>11.718302509999999</v>
      </c>
      <c r="N703">
        <v>0.149806038</v>
      </c>
      <c r="O703">
        <v>40.655052189999999</v>
      </c>
      <c r="P703">
        <v>5.6739733721941903</v>
      </c>
      <c r="Q703">
        <v>188.96591444168101</v>
      </c>
      <c r="R703">
        <v>0.54708076628152702</v>
      </c>
      <c r="S703">
        <v>0.53341061740916795</v>
      </c>
      <c r="T703">
        <v>0.37655049785441003</v>
      </c>
      <c r="U703">
        <v>6.4062538751840398E-2</v>
      </c>
      <c r="V703">
        <v>0.12889819360347801</v>
      </c>
      <c r="W703">
        <v>0.23664782048746799</v>
      </c>
      <c r="X703">
        <v>0.206874611844267</v>
      </c>
      <c r="Y703">
        <v>0.51436981101205903</v>
      </c>
      <c r="Z703">
        <v>4.8601344485791403E-3</v>
      </c>
      <c r="AA703">
        <v>4.3663318864394299E-3</v>
      </c>
    </row>
    <row r="704" spans="1:27" x14ac:dyDescent="0.55000000000000004">
      <c r="A704">
        <v>2091</v>
      </c>
      <c r="B704">
        <v>14.76676702</v>
      </c>
      <c r="C704">
        <v>-13.092819130000001</v>
      </c>
      <c r="D704">
        <v>-7.320449655</v>
      </c>
      <c r="E704">
        <v>21.836039929999998</v>
      </c>
      <c r="F704">
        <v>1.9246162069999999</v>
      </c>
      <c r="G704">
        <v>12.19005471</v>
      </c>
      <c r="H704">
        <v>14.76676702</v>
      </c>
      <c r="I704">
        <v>13.092819130000001</v>
      </c>
      <c r="J704">
        <v>7.320449655</v>
      </c>
      <c r="K704">
        <v>21.836039929999998</v>
      </c>
      <c r="L704">
        <v>1.9246162069999999</v>
      </c>
      <c r="M704">
        <v>12.19005471</v>
      </c>
      <c r="N704">
        <v>0.10714598</v>
      </c>
      <c r="O704">
        <v>34.066715240000001</v>
      </c>
      <c r="P704">
        <v>28.369866860971001</v>
      </c>
      <c r="Q704">
        <v>7.0517721140809098</v>
      </c>
      <c r="R704">
        <v>0.55061853820013196</v>
      </c>
      <c r="S704">
        <v>0.53147813927074905</v>
      </c>
      <c r="T704">
        <v>0.37515952953591503</v>
      </c>
      <c r="U704">
        <v>7.2466956093342194E-2</v>
      </c>
      <c r="V704">
        <v>9.2064174784918101E-2</v>
      </c>
      <c r="W704">
        <v>0.26261834522661898</v>
      </c>
      <c r="X704">
        <v>0.14641364936261</v>
      </c>
      <c r="Y704">
        <v>0.42891442981047601</v>
      </c>
      <c r="Z704">
        <v>2.4300672242895699E-2</v>
      </c>
      <c r="AA704">
        <v>1.6161088712867799E-4</v>
      </c>
    </row>
    <row r="705" spans="1:27" x14ac:dyDescent="0.55000000000000004">
      <c r="A705">
        <v>2092</v>
      </c>
      <c r="B705">
        <v>15.12846452</v>
      </c>
      <c r="C705">
        <v>-12.68480458</v>
      </c>
      <c r="D705">
        <v>-6.9397905059999996</v>
      </c>
      <c r="E705">
        <v>22.491475510000001</v>
      </c>
      <c r="F705">
        <v>2.2372680059999999</v>
      </c>
      <c r="G705">
        <v>12.83869449</v>
      </c>
      <c r="H705">
        <v>15.12846452</v>
      </c>
      <c r="I705">
        <v>12.68480458</v>
      </c>
      <c r="J705">
        <v>6.9397905059999996</v>
      </c>
      <c r="K705">
        <v>22.491475510000001</v>
      </c>
      <c r="L705">
        <v>2.2372680059999999</v>
      </c>
      <c r="M705">
        <v>12.83869449</v>
      </c>
      <c r="N705">
        <v>5.7750452000000001E-2</v>
      </c>
      <c r="O705">
        <v>19.449190139999999</v>
      </c>
      <c r="P705">
        <v>28.369866860971001</v>
      </c>
      <c r="Q705">
        <v>0.65304188709376798</v>
      </c>
      <c r="R705">
        <v>0.56428261983041905</v>
      </c>
      <c r="S705">
        <v>0.514894152189318</v>
      </c>
      <c r="T705">
        <v>0.35563911808750998</v>
      </c>
      <c r="U705">
        <v>9.1171518874502103E-2</v>
      </c>
      <c r="V705">
        <v>0.107440878637329</v>
      </c>
      <c r="W705">
        <v>0.29832674351980598</v>
      </c>
      <c r="X705">
        <v>7.6406684881463502E-2</v>
      </c>
      <c r="Y705">
        <v>0.23931481019111001</v>
      </c>
      <c r="Z705">
        <v>2.4300672242895699E-2</v>
      </c>
      <c r="AA705" s="1">
        <v>1.37121310996624E-5</v>
      </c>
    </row>
    <row r="706" spans="1:27" x14ac:dyDescent="0.55000000000000004">
      <c r="A706">
        <v>2093</v>
      </c>
      <c r="B706">
        <v>15.13871129</v>
      </c>
      <c r="C706">
        <v>-12.65562218</v>
      </c>
      <c r="D706">
        <v>-6.9066296280000001</v>
      </c>
      <c r="E706">
        <v>22.757740460000001</v>
      </c>
      <c r="F706">
        <v>1.8056605969999999</v>
      </c>
      <c r="G706">
        <v>12.43995937</v>
      </c>
      <c r="H706">
        <v>15.13871129</v>
      </c>
      <c r="I706">
        <v>12.65562218</v>
      </c>
      <c r="J706">
        <v>6.9066296280000001</v>
      </c>
      <c r="K706">
        <v>22.757740460000001</v>
      </c>
      <c r="L706">
        <v>1.8056605969999999</v>
      </c>
      <c r="M706">
        <v>12.43995937</v>
      </c>
      <c r="N706">
        <v>7.9267032000000001E-2</v>
      </c>
      <c r="O706">
        <v>24.423000340000002</v>
      </c>
      <c r="P706">
        <v>28.369866860971001</v>
      </c>
      <c r="Q706">
        <v>17.475873267383999</v>
      </c>
      <c r="R706">
        <v>0.56466971872307603</v>
      </c>
      <c r="S706">
        <v>0.513708016683598</v>
      </c>
      <c r="T706">
        <v>0.35393860994459297</v>
      </c>
      <c r="U706">
        <v>9.8770083288257898E-2</v>
      </c>
      <c r="V706">
        <v>8.6213752070565197E-2</v>
      </c>
      <c r="W706">
        <v>0.27637589665925499</v>
      </c>
      <c r="X706">
        <v>0.106901559879373</v>
      </c>
      <c r="Y706">
        <v>0.30382863968875301</v>
      </c>
      <c r="Z706">
        <v>2.4300672242895699E-2</v>
      </c>
      <c r="AA706">
        <v>4.02551126614298E-4</v>
      </c>
    </row>
    <row r="707" spans="1:27" x14ac:dyDescent="0.55000000000000004">
      <c r="A707">
        <v>2094</v>
      </c>
      <c r="B707">
        <v>22.950806029999999</v>
      </c>
      <c r="C707">
        <v>-5.4628933679999996</v>
      </c>
      <c r="D707">
        <v>2.6300752780000001</v>
      </c>
      <c r="E707">
        <v>37.006140809999998</v>
      </c>
      <c r="F707">
        <v>6.4632989419999998</v>
      </c>
      <c r="G707">
        <v>10.638096490000001</v>
      </c>
      <c r="H707">
        <v>22.950806029999999</v>
      </c>
      <c r="I707">
        <v>5.4628933679999996</v>
      </c>
      <c r="J707">
        <v>2.6300752780000001</v>
      </c>
      <c r="K707">
        <v>37.006140809999998</v>
      </c>
      <c r="L707">
        <v>6.4632989419999998</v>
      </c>
      <c r="M707">
        <v>10.638096490000001</v>
      </c>
      <c r="N707">
        <v>0.10953858499999999</v>
      </c>
      <c r="O707">
        <v>32.633468630000003</v>
      </c>
      <c r="P707">
        <v>0.78805185724919302</v>
      </c>
      <c r="Q707">
        <v>531.84410955121803</v>
      </c>
      <c r="R707">
        <v>0.85979230107683602</v>
      </c>
      <c r="S707">
        <v>0.22135539911530999</v>
      </c>
      <c r="T707">
        <v>0.13463454037797601</v>
      </c>
      <c r="U707">
        <v>0.50538532818795401</v>
      </c>
      <c r="V707">
        <v>0.31528368133938001</v>
      </c>
      <c r="W707">
        <v>0.17718118277854</v>
      </c>
      <c r="X707">
        <v>0.14980462461956801</v>
      </c>
      <c r="Y707">
        <v>0.41032420949494902</v>
      </c>
      <c r="Z707">
        <v>6.7501867341376897E-4</v>
      </c>
      <c r="AA707">
        <v>1.2291538408242099E-2</v>
      </c>
    </row>
    <row r="708" spans="1:27" x14ac:dyDescent="0.55000000000000004">
      <c r="A708">
        <v>2095</v>
      </c>
      <c r="B708">
        <v>15.4472364</v>
      </c>
      <c r="C708">
        <v>-11.93851675</v>
      </c>
      <c r="D708">
        <v>-6.2335732139999998</v>
      </c>
      <c r="E708">
        <v>23.135028210000002</v>
      </c>
      <c r="F708">
        <v>3.2809957829999998</v>
      </c>
      <c r="G708">
        <v>13.11977523</v>
      </c>
      <c r="H708">
        <v>15.4472364</v>
      </c>
      <c r="I708">
        <v>11.93851675</v>
      </c>
      <c r="J708">
        <v>6.2335732139999998</v>
      </c>
      <c r="K708">
        <v>23.135028210000002</v>
      </c>
      <c r="L708">
        <v>3.2809957829999998</v>
      </c>
      <c r="M708">
        <v>13.11977523</v>
      </c>
      <c r="N708">
        <v>6.2650800000000006E-2</v>
      </c>
      <c r="O708">
        <v>21.598377230000001</v>
      </c>
      <c r="P708">
        <v>28.369866860971001</v>
      </c>
      <c r="Q708">
        <v>1.4542373536398501</v>
      </c>
      <c r="R708">
        <v>0.57632507240407604</v>
      </c>
      <c r="S708">
        <v>0.484560852232859</v>
      </c>
      <c r="T708">
        <v>0.31942390521785102</v>
      </c>
      <c r="U708">
        <v>0.109536972700086</v>
      </c>
      <c r="V708">
        <v>0.15877304106465601</v>
      </c>
      <c r="W708">
        <v>0.31380057556948998</v>
      </c>
      <c r="X708">
        <v>8.3351817412109896E-2</v>
      </c>
      <c r="Y708">
        <v>0.267191283942118</v>
      </c>
      <c r="Z708">
        <v>2.4300672242895699E-2</v>
      </c>
      <c r="AA708" s="1">
        <v>3.2230775992439198E-5</v>
      </c>
    </row>
    <row r="709" spans="1:27" x14ac:dyDescent="0.55000000000000004">
      <c r="A709">
        <v>2096</v>
      </c>
      <c r="B709">
        <v>22.950806029999999</v>
      </c>
      <c r="C709">
        <v>-5.4628933679999996</v>
      </c>
      <c r="D709">
        <v>2.6300752780000001</v>
      </c>
      <c r="E709">
        <v>37.006140809999998</v>
      </c>
      <c r="F709">
        <v>6.4632989419999998</v>
      </c>
      <c r="G709">
        <v>10.638096490000001</v>
      </c>
      <c r="H709">
        <v>22.950806029999999</v>
      </c>
      <c r="I709">
        <v>5.4628933679999996</v>
      </c>
      <c r="J709">
        <v>2.6300752780000001</v>
      </c>
      <c r="K709">
        <v>37.006140809999998</v>
      </c>
      <c r="L709">
        <v>6.4632989419999998</v>
      </c>
      <c r="M709">
        <v>10.638096490000001</v>
      </c>
      <c r="N709">
        <v>7.9162113000000006E-2</v>
      </c>
      <c r="O709">
        <v>26.917690279999999</v>
      </c>
      <c r="P709">
        <v>9.4566222869903207</v>
      </c>
      <c r="Q709">
        <v>66.812668993041498</v>
      </c>
      <c r="R709">
        <v>0.85979230107683602</v>
      </c>
      <c r="S709">
        <v>0.22135539911530999</v>
      </c>
      <c r="T709">
        <v>0.13463454037797601</v>
      </c>
      <c r="U709">
        <v>0.50538532818795401</v>
      </c>
      <c r="V709">
        <v>0.31528368133938001</v>
      </c>
      <c r="W709">
        <v>0.17718118277854</v>
      </c>
      <c r="X709">
        <v>0.106752860978809</v>
      </c>
      <c r="Y709">
        <v>0.33618652930799198</v>
      </c>
      <c r="Z709">
        <v>8.1002240809652307E-3</v>
      </c>
      <c r="AA709">
        <v>1.54291030029962E-3</v>
      </c>
    </row>
    <row r="710" spans="1:27" x14ac:dyDescent="0.55000000000000004">
      <c r="A710">
        <v>2097</v>
      </c>
      <c r="B710">
        <v>22.950806029999999</v>
      </c>
      <c r="C710">
        <v>-5.4628933679999996</v>
      </c>
      <c r="D710">
        <v>2.6300752780000001</v>
      </c>
      <c r="E710">
        <v>37.006140809999998</v>
      </c>
      <c r="F710">
        <v>6.4632989419999998</v>
      </c>
      <c r="G710">
        <v>10.638096490000001</v>
      </c>
      <c r="H710">
        <v>22.950806029999999</v>
      </c>
      <c r="I710">
        <v>5.4628933679999996</v>
      </c>
      <c r="J710">
        <v>2.6300752780000001</v>
      </c>
      <c r="K710">
        <v>37.006140809999998</v>
      </c>
      <c r="L710">
        <v>6.4632989419999998</v>
      </c>
      <c r="M710">
        <v>10.638096490000001</v>
      </c>
      <c r="N710">
        <v>7.9244062000000004E-2</v>
      </c>
      <c r="O710">
        <v>25.421392440000002</v>
      </c>
      <c r="P710">
        <v>14.184933430485501</v>
      </c>
      <c r="Q710">
        <v>30.771943379613099</v>
      </c>
      <c r="R710">
        <v>0.85979230107683602</v>
      </c>
      <c r="S710">
        <v>0.22135539911530999</v>
      </c>
      <c r="T710">
        <v>0.13463454037797601</v>
      </c>
      <c r="U710">
        <v>0.50538532818795401</v>
      </c>
      <c r="V710">
        <v>0.31528368133938001</v>
      </c>
      <c r="W710">
        <v>0.17718118277854</v>
      </c>
      <c r="X710">
        <v>0.106869005110971</v>
      </c>
      <c r="Y710">
        <v>0.31677849002908098</v>
      </c>
      <c r="Z710">
        <v>1.2150336121447799E-2</v>
      </c>
      <c r="AA710">
        <v>7.0987338586184299E-4</v>
      </c>
    </row>
    <row r="711" spans="1:27" x14ac:dyDescent="0.55000000000000004">
      <c r="A711">
        <v>2098</v>
      </c>
      <c r="B711">
        <v>22.950806029999999</v>
      </c>
      <c r="C711">
        <v>-5.4628933679999996</v>
      </c>
      <c r="D711">
        <v>2.6300752780000001</v>
      </c>
      <c r="E711">
        <v>37.006140809999998</v>
      </c>
      <c r="F711">
        <v>6.4632989419999998</v>
      </c>
      <c r="G711">
        <v>10.638096490000001</v>
      </c>
      <c r="H711">
        <v>22.950806029999999</v>
      </c>
      <c r="I711">
        <v>5.4628933679999996</v>
      </c>
      <c r="J711">
        <v>2.6300752780000001</v>
      </c>
      <c r="K711">
        <v>37.006140809999998</v>
      </c>
      <c r="L711">
        <v>6.4632989419999998</v>
      </c>
      <c r="M711">
        <v>10.638096490000001</v>
      </c>
      <c r="N711">
        <v>7.9244062000000004E-2</v>
      </c>
      <c r="O711">
        <v>25.421392440000002</v>
      </c>
      <c r="P711">
        <v>28.369866860971001</v>
      </c>
      <c r="Q711">
        <v>1.5536745557782601</v>
      </c>
      <c r="R711">
        <v>0.85979230107683602</v>
      </c>
      <c r="S711">
        <v>0.22135539911530999</v>
      </c>
      <c r="T711">
        <v>0.13463454037797601</v>
      </c>
      <c r="U711">
        <v>0.50538532818795401</v>
      </c>
      <c r="V711">
        <v>0.31528368133938001</v>
      </c>
      <c r="W711">
        <v>0.17718118277854</v>
      </c>
      <c r="X711">
        <v>0.106869005110971</v>
      </c>
      <c r="Y711">
        <v>0.31677849002908098</v>
      </c>
      <c r="Z711">
        <v>2.4300672242895699E-2</v>
      </c>
      <c r="AA711" s="1">
        <v>3.45291442588885E-5</v>
      </c>
    </row>
    <row r="712" spans="1:27" x14ac:dyDescent="0.55000000000000004">
      <c r="A712">
        <v>2099</v>
      </c>
      <c r="B712">
        <v>15.7131454</v>
      </c>
      <c r="C712">
        <v>-11.41082516</v>
      </c>
      <c r="D712">
        <v>-5.7620273739999996</v>
      </c>
      <c r="E712">
        <v>23.504204219999998</v>
      </c>
      <c r="F712">
        <v>2.329895633</v>
      </c>
      <c r="G712">
        <v>13.111354349999999</v>
      </c>
      <c r="H712">
        <v>15.7131454</v>
      </c>
      <c r="I712">
        <v>11.41082516</v>
      </c>
      <c r="J712">
        <v>5.7620273739999996</v>
      </c>
      <c r="K712">
        <v>23.504204219999998</v>
      </c>
      <c r="L712">
        <v>2.329895633</v>
      </c>
      <c r="M712">
        <v>13.111354349999999</v>
      </c>
      <c r="N712">
        <v>9.0249375000000007E-2</v>
      </c>
      <c r="O712">
        <v>25.200307850000002</v>
      </c>
      <c r="P712">
        <v>28.369866860971001</v>
      </c>
      <c r="Q712">
        <v>4.7979756402789402</v>
      </c>
      <c r="R712">
        <v>0.58637048958895599</v>
      </c>
      <c r="S712">
        <v>0.46311252272711001</v>
      </c>
      <c r="T712">
        <v>0.29524277404639598</v>
      </c>
      <c r="U712">
        <v>0.120072372466365</v>
      </c>
      <c r="V712">
        <v>0.111996450022129</v>
      </c>
      <c r="W712">
        <v>0.31333699601996101</v>
      </c>
      <c r="X712">
        <v>0.12246654171985</v>
      </c>
      <c r="Y712">
        <v>0.313910866824678</v>
      </c>
      <c r="Z712">
        <v>2.4300672242895699E-2</v>
      </c>
      <c r="AA712">
        <v>1.0951716181235901E-4</v>
      </c>
    </row>
    <row r="713" spans="1:27" x14ac:dyDescent="0.55000000000000004">
      <c r="A713">
        <v>2100</v>
      </c>
      <c r="B713">
        <v>15.53176204</v>
      </c>
      <c r="C713">
        <v>-11.541335589999999</v>
      </c>
      <c r="D713">
        <v>-5.9268639820000004</v>
      </c>
      <c r="E713">
        <v>23.543649640000002</v>
      </c>
      <c r="F713">
        <v>2.573714448</v>
      </c>
      <c r="G713">
        <v>13.18287252</v>
      </c>
      <c r="H713">
        <v>15.53176204</v>
      </c>
      <c r="I713">
        <v>11.541335589999999</v>
      </c>
      <c r="J713">
        <v>5.9268639820000004</v>
      </c>
      <c r="K713">
        <v>23.543649640000002</v>
      </c>
      <c r="L713">
        <v>2.573714448</v>
      </c>
      <c r="M713">
        <v>13.18287252</v>
      </c>
      <c r="N713">
        <v>9.0412423000000006E-2</v>
      </c>
      <c r="O713">
        <v>25.005199430000001</v>
      </c>
      <c r="P713">
        <v>7.0924667152427396</v>
      </c>
      <c r="Q713">
        <v>64.875541874623906</v>
      </c>
      <c r="R713">
        <v>0.57951825246424304</v>
      </c>
      <c r="S713">
        <v>0.468417194546073</v>
      </c>
      <c r="T713">
        <v>0.30369568636538902</v>
      </c>
      <c r="U713">
        <v>0.12119805034735399</v>
      </c>
      <c r="V713">
        <v>0.12398784020089</v>
      </c>
      <c r="W713">
        <v>0.31727415710428403</v>
      </c>
      <c r="X713">
        <v>0.122697625301844</v>
      </c>
      <c r="Y713">
        <v>0.31138017288275099</v>
      </c>
      <c r="Z713">
        <v>6.0751680607239204E-3</v>
      </c>
      <c r="AA713">
        <v>1.4981359965048301E-3</v>
      </c>
    </row>
    <row r="714" spans="1:27" x14ac:dyDescent="0.55000000000000004">
      <c r="A714">
        <v>2101</v>
      </c>
      <c r="B714">
        <v>15.25225479</v>
      </c>
      <c r="C714">
        <v>-11.658322999999999</v>
      </c>
      <c r="D714">
        <v>-6.094949315</v>
      </c>
      <c r="E714">
        <v>23.703327229999999</v>
      </c>
      <c r="F714">
        <v>2.5109073930000001</v>
      </c>
      <c r="G714">
        <v>12.91092727</v>
      </c>
      <c r="H714">
        <v>15.25225479</v>
      </c>
      <c r="I714">
        <v>11.658322999999999</v>
      </c>
      <c r="J714">
        <v>6.094949315</v>
      </c>
      <c r="K714">
        <v>23.703327229999999</v>
      </c>
      <c r="L714">
        <v>2.5109073930000001</v>
      </c>
      <c r="M714">
        <v>12.91092727</v>
      </c>
      <c r="N714">
        <v>0.143945605</v>
      </c>
      <c r="O714">
        <v>33.976352689999999</v>
      </c>
      <c r="P714">
        <v>4.9198003798360901</v>
      </c>
      <c r="Q714">
        <v>264.12567029044197</v>
      </c>
      <c r="R714">
        <v>0.56895912534764104</v>
      </c>
      <c r="S714">
        <v>0.47317221540533</v>
      </c>
      <c r="T714">
        <v>0.312315195097076</v>
      </c>
      <c r="U714">
        <v>0.12575486660517701</v>
      </c>
      <c r="V714">
        <v>0.12089889112825999</v>
      </c>
      <c r="W714">
        <v>0.30230324474220199</v>
      </c>
      <c r="X714">
        <v>0.19856877644809201</v>
      </c>
      <c r="Y714">
        <v>0.42774236374658098</v>
      </c>
      <c r="Z714">
        <v>4.2141352695364304E-3</v>
      </c>
      <c r="AA714">
        <v>6.1035569294008501E-3</v>
      </c>
    </row>
    <row r="715" spans="1:27" x14ac:dyDescent="0.55000000000000004">
      <c r="A715">
        <v>2102</v>
      </c>
      <c r="B715">
        <v>14.917847200000001</v>
      </c>
      <c r="C715">
        <v>-11.58831677</v>
      </c>
      <c r="D715">
        <v>-6.1863795140000004</v>
      </c>
      <c r="E715">
        <v>23.55216617</v>
      </c>
      <c r="F715">
        <v>0.72470062899999999</v>
      </c>
      <c r="G715">
        <v>12.19483366</v>
      </c>
      <c r="H715">
        <v>14.917847200000001</v>
      </c>
      <c r="I715">
        <v>11.58831677</v>
      </c>
      <c r="J715">
        <v>6.1863795140000004</v>
      </c>
      <c r="K715">
        <v>23.55216617</v>
      </c>
      <c r="L715">
        <v>0.72470062899999999</v>
      </c>
      <c r="M715">
        <v>12.19483366</v>
      </c>
      <c r="N715">
        <v>0.14978630800000001</v>
      </c>
      <c r="O715">
        <v>38.55442429</v>
      </c>
      <c r="P715">
        <v>1.96792015193443</v>
      </c>
      <c r="Q715">
        <v>723.25307416144699</v>
      </c>
      <c r="R715">
        <v>0.55632599239110203</v>
      </c>
      <c r="S715">
        <v>0.47032677174666698</v>
      </c>
      <c r="T715">
        <v>0.31700378621061698</v>
      </c>
      <c r="U715">
        <v>0.121441091730708</v>
      </c>
      <c r="V715">
        <v>3.3050452331332102E-2</v>
      </c>
      <c r="W715">
        <v>0.26288143215912801</v>
      </c>
      <c r="X715">
        <v>0.206846649041456</v>
      </c>
      <c r="Y715">
        <v>0.487123184235148</v>
      </c>
      <c r="Z715">
        <v>1.68565410781457E-3</v>
      </c>
      <c r="AA715">
        <v>1.67157205122569E-2</v>
      </c>
    </row>
    <row r="716" spans="1:27" x14ac:dyDescent="0.55000000000000004">
      <c r="A716">
        <v>2103</v>
      </c>
      <c r="B716">
        <v>13.24725958</v>
      </c>
      <c r="C716">
        <v>-12.566992620000001</v>
      </c>
      <c r="D716">
        <v>-7.5833014470000002</v>
      </c>
      <c r="E716">
        <v>23.93367194</v>
      </c>
      <c r="F716">
        <v>0.64915786900000005</v>
      </c>
      <c r="G716">
        <v>12.221540539999999</v>
      </c>
      <c r="H716">
        <v>13.24725958</v>
      </c>
      <c r="I716">
        <v>12.566992620000001</v>
      </c>
      <c r="J716">
        <v>7.5833014470000002</v>
      </c>
      <c r="K716">
        <v>23.93367194</v>
      </c>
      <c r="L716">
        <v>0.64915786900000005</v>
      </c>
      <c r="M716">
        <v>12.221540539999999</v>
      </c>
      <c r="N716">
        <v>9.0908541999999995E-2</v>
      </c>
      <c r="O716">
        <v>26.47575569</v>
      </c>
      <c r="P716">
        <v>14.7594011395083</v>
      </c>
      <c r="Q716">
        <v>44.9909863029253</v>
      </c>
      <c r="R716">
        <v>0.49321511766781101</v>
      </c>
      <c r="S716">
        <v>0.51010561701899604</v>
      </c>
      <c r="T716">
        <v>0.38863871463699501</v>
      </c>
      <c r="U716">
        <v>0.13232835333823301</v>
      </c>
      <c r="V716">
        <v>2.9335141393000599E-2</v>
      </c>
      <c r="W716">
        <v>0.264351677952884</v>
      </c>
      <c r="X716">
        <v>0.123400761529306</v>
      </c>
      <c r="Y716">
        <v>0.33045432569709199</v>
      </c>
      <c r="Z716">
        <v>1.26424058086093E-2</v>
      </c>
      <c r="AA716">
        <v>1.03852902310243E-3</v>
      </c>
    </row>
    <row r="717" spans="1:27" x14ac:dyDescent="0.55000000000000004">
      <c r="A717">
        <v>2104</v>
      </c>
      <c r="B717">
        <v>13.09537169</v>
      </c>
      <c r="C717">
        <v>-12.314975349999999</v>
      </c>
      <c r="D717">
        <v>-7.4923996109999997</v>
      </c>
      <c r="E717">
        <v>23.75566405</v>
      </c>
      <c r="F717">
        <v>-1.4933469850000001</v>
      </c>
      <c r="G717">
        <v>12.092940130000001</v>
      </c>
      <c r="H717">
        <v>13.09537169</v>
      </c>
      <c r="I717">
        <v>12.314975349999999</v>
      </c>
      <c r="J717">
        <v>7.4923996109999997</v>
      </c>
      <c r="K717">
        <v>23.75566405</v>
      </c>
      <c r="L717">
        <v>1.4933469850000001</v>
      </c>
      <c r="M717">
        <v>12.092940130000001</v>
      </c>
      <c r="N717">
        <v>0.11009562000000001</v>
      </c>
      <c r="O717">
        <v>29.70876312</v>
      </c>
      <c r="P717">
        <v>29.518802279016501</v>
      </c>
      <c r="Q717">
        <v>2.9120688305456999</v>
      </c>
      <c r="R717">
        <v>0.48747715009100401</v>
      </c>
      <c r="S717">
        <v>0.49986222949769898</v>
      </c>
      <c r="T717">
        <v>0.38397721826997699</v>
      </c>
      <c r="U717">
        <v>0.12724843418882301</v>
      </c>
      <c r="V717">
        <v>7.0853680783079298E-2</v>
      </c>
      <c r="W717">
        <v>0.25727207105466499</v>
      </c>
      <c r="X717">
        <v>0.150594095469232</v>
      </c>
      <c r="Y717">
        <v>0.37238871436830301</v>
      </c>
      <c r="Z717">
        <v>2.52848116172186E-2</v>
      </c>
      <c r="AA717" s="1">
        <v>6.5926752269882501E-5</v>
      </c>
    </row>
    <row r="718" spans="1:27" x14ac:dyDescent="0.55000000000000004">
      <c r="A718">
        <v>2105</v>
      </c>
      <c r="B718">
        <v>12.78903568</v>
      </c>
      <c r="C718">
        <v>-12.41930075</v>
      </c>
      <c r="D718">
        <v>-7.7109043389999998</v>
      </c>
      <c r="E718">
        <v>23.942694920000001</v>
      </c>
      <c r="F718">
        <v>-5.2691628999999997E-2</v>
      </c>
      <c r="G718">
        <v>12.60705838</v>
      </c>
      <c r="H718">
        <v>12.78903568</v>
      </c>
      <c r="I718">
        <v>12.41930075</v>
      </c>
      <c r="J718">
        <v>7.7109043389999998</v>
      </c>
      <c r="K718">
        <v>23.942694920000001</v>
      </c>
      <c r="L718">
        <v>5.2691628999999997E-2</v>
      </c>
      <c r="M718">
        <v>12.60705838</v>
      </c>
      <c r="N718">
        <v>0.20190799200000001</v>
      </c>
      <c r="O718">
        <v>44.213874820000001</v>
      </c>
      <c r="P718">
        <v>1.6399334599453601</v>
      </c>
      <c r="Q718">
        <v>195.51990890463901</v>
      </c>
      <c r="R718">
        <v>0.47590449546403901</v>
      </c>
      <c r="S718">
        <v>0.50410259564607496</v>
      </c>
      <c r="T718">
        <v>0.39518226143047103</v>
      </c>
      <c r="U718">
        <v>0.13258584759248601</v>
      </c>
      <c r="V718">
        <v>0</v>
      </c>
      <c r="W718">
        <v>0.28557489768795702</v>
      </c>
      <c r="X718">
        <v>0.28071732171622699</v>
      </c>
      <c r="Y718">
        <v>0.56053025283273294</v>
      </c>
      <c r="Z718">
        <v>1.4047117565121399E-3</v>
      </c>
      <c r="AA718">
        <v>4.5178193837563801E-3</v>
      </c>
    </row>
    <row r="719" spans="1:27" x14ac:dyDescent="0.55000000000000004">
      <c r="A719">
        <v>2106</v>
      </c>
      <c r="B719">
        <v>14.34774294</v>
      </c>
      <c r="C719">
        <v>-9.7896620609999996</v>
      </c>
      <c r="D719">
        <v>-5.2987847720000003</v>
      </c>
      <c r="E719">
        <v>23.235039780000001</v>
      </c>
      <c r="F719">
        <v>-2.1443970569999999</v>
      </c>
      <c r="G719">
        <v>11.5942092</v>
      </c>
      <c r="H719">
        <v>14.34774294</v>
      </c>
      <c r="I719">
        <v>9.7896620609999996</v>
      </c>
      <c r="J719">
        <v>5.2987847720000003</v>
      </c>
      <c r="K719">
        <v>23.235039780000001</v>
      </c>
      <c r="L719">
        <v>2.1443970569999999</v>
      </c>
      <c r="M719">
        <v>11.5942092</v>
      </c>
      <c r="N719">
        <v>0.30919233000000002</v>
      </c>
      <c r="O719">
        <v>56.462711329999998</v>
      </c>
      <c r="P719">
        <v>0.24456517082284299</v>
      </c>
      <c r="Q719">
        <v>10683.2733166567</v>
      </c>
      <c r="R719">
        <v>0.53478879308390603</v>
      </c>
      <c r="S719">
        <v>0.397219412075274</v>
      </c>
      <c r="T719">
        <v>0.27148743750654097</v>
      </c>
      <c r="U719">
        <v>0.112391063547439</v>
      </c>
      <c r="V719">
        <v>0.10287334029648799</v>
      </c>
      <c r="W719">
        <v>0.229816334853022</v>
      </c>
      <c r="X719">
        <v>0.432768552745669</v>
      </c>
      <c r="Y719">
        <v>0.71940630929155103</v>
      </c>
      <c r="Z719">
        <v>2.0948628653487801E-4</v>
      </c>
      <c r="AA719">
        <v>0.24692930221258499</v>
      </c>
    </row>
    <row r="720" spans="1:27" x14ac:dyDescent="0.55000000000000004">
      <c r="A720">
        <v>2107</v>
      </c>
      <c r="B720">
        <v>17.830688479999999</v>
      </c>
      <c r="C720">
        <v>-5.0321971889999997</v>
      </c>
      <c r="D720">
        <v>-0.74773662299999999</v>
      </c>
      <c r="E720">
        <v>22.171656250000002</v>
      </c>
      <c r="F720">
        <v>-1.5496515369999999</v>
      </c>
      <c r="G720">
        <v>11.9148063</v>
      </c>
      <c r="H720">
        <v>17.830688479999999</v>
      </c>
      <c r="I720">
        <v>5.0321971889999997</v>
      </c>
      <c r="J720">
        <v>0.74773662299999999</v>
      </c>
      <c r="K720">
        <v>22.171656250000002</v>
      </c>
      <c r="L720">
        <v>1.5496515369999999</v>
      </c>
      <c r="M720">
        <v>11.9148063</v>
      </c>
      <c r="N720">
        <v>0.38269332099999998</v>
      </c>
      <c r="O720">
        <v>62.0790863</v>
      </c>
      <c r="P720">
        <v>0.40540532821083902</v>
      </c>
      <c r="Q720">
        <v>4275.5438740651298</v>
      </c>
      <c r="R720">
        <v>0.66636629133148995</v>
      </c>
      <c r="S720">
        <v>0.20384950412073699</v>
      </c>
      <c r="T720">
        <v>3.8107174288486097E-2</v>
      </c>
      <c r="U720">
        <v>8.2044642626352596E-2</v>
      </c>
      <c r="V720">
        <v>7.3622826600937399E-2</v>
      </c>
      <c r="W720">
        <v>0.24746558994255899</v>
      </c>
      <c r="X720">
        <v>0.53693954705645097</v>
      </c>
      <c r="Y720">
        <v>0.79225465746724399</v>
      </c>
      <c r="Z720">
        <v>3.4725654704880702E-4</v>
      </c>
      <c r="AA720">
        <v>9.8822540415875099E-2</v>
      </c>
    </row>
    <row r="721" spans="1:27" x14ac:dyDescent="0.55000000000000004">
      <c r="A721">
        <v>2108</v>
      </c>
      <c r="B721">
        <v>19.064893189999999</v>
      </c>
      <c r="C721">
        <v>-3.1172834659999999</v>
      </c>
      <c r="D721">
        <v>1.0131630599999999</v>
      </c>
      <c r="E721">
        <v>21.842938480000001</v>
      </c>
      <c r="F721">
        <v>-0.84999341500000003</v>
      </c>
      <c r="G721">
        <v>11.70625967</v>
      </c>
      <c r="H721">
        <v>19.064893189999999</v>
      </c>
      <c r="I721">
        <v>3.1172834659999999</v>
      </c>
      <c r="J721">
        <v>1.0131630599999999</v>
      </c>
      <c r="K721">
        <v>21.842938480000001</v>
      </c>
      <c r="L721">
        <v>0.84999341500000003</v>
      </c>
      <c r="M721">
        <v>11.70625967</v>
      </c>
      <c r="N721">
        <v>0.106662296</v>
      </c>
      <c r="O721">
        <v>26.79002762</v>
      </c>
      <c r="P721">
        <v>44.999991431403203</v>
      </c>
      <c r="Q721">
        <v>1.29100169399556</v>
      </c>
      <c r="R721">
        <v>0.71299164513107405</v>
      </c>
      <c r="S721">
        <v>0.126016729666278</v>
      </c>
      <c r="T721">
        <v>5.1718388607478002E-2</v>
      </c>
      <c r="U721">
        <v>7.26638241998524E-2</v>
      </c>
      <c r="V721">
        <v>3.9212547260347702E-2</v>
      </c>
      <c r="W721">
        <v>0.23598484769338299</v>
      </c>
      <c r="X721">
        <v>0.14572813692901199</v>
      </c>
      <c r="Y721">
        <v>0.33453065448581798</v>
      </c>
      <c r="Z721">
        <v>3.85454767224176E-2</v>
      </c>
      <c r="AA721" s="1">
        <v>2.84577850794696E-5</v>
      </c>
    </row>
    <row r="722" spans="1:27" x14ac:dyDescent="0.55000000000000004">
      <c r="A722">
        <v>2109</v>
      </c>
      <c r="B722">
        <v>19.77445883</v>
      </c>
      <c r="C722">
        <v>-2.1644490209999998</v>
      </c>
      <c r="D722">
        <v>1.952736697</v>
      </c>
      <c r="E722">
        <v>21.938495270000001</v>
      </c>
      <c r="F722">
        <v>-2.0813966119999998</v>
      </c>
      <c r="G722">
        <v>11.360167669999999</v>
      </c>
      <c r="H722">
        <v>19.77445883</v>
      </c>
      <c r="I722">
        <v>2.1644490209999998</v>
      </c>
      <c r="J722">
        <v>1.952736697</v>
      </c>
      <c r="K722">
        <v>21.938495270000001</v>
      </c>
      <c r="L722">
        <v>2.0813966119999998</v>
      </c>
      <c r="M722">
        <v>11.360167669999999</v>
      </c>
      <c r="N722">
        <v>9.7657940999999998E-2</v>
      </c>
      <c r="O722">
        <v>26.517461780000001</v>
      </c>
      <c r="P722">
        <v>44.999991431403203</v>
      </c>
      <c r="Q722">
        <v>18.384460939160501</v>
      </c>
      <c r="R722">
        <v>0.73979736766719095</v>
      </c>
      <c r="S722">
        <v>8.72882232279103E-2</v>
      </c>
      <c r="T722">
        <v>9.9900243761875201E-2</v>
      </c>
      <c r="U722">
        <v>7.5390786287752906E-2</v>
      </c>
      <c r="V722">
        <v>9.9774880001573599E-2</v>
      </c>
      <c r="W722">
        <v>0.21693206776353399</v>
      </c>
      <c r="X722">
        <v>0.132966504729016</v>
      </c>
      <c r="Y722">
        <v>0.33099528312632298</v>
      </c>
      <c r="Z722">
        <v>3.85454767224176E-2</v>
      </c>
      <c r="AA722">
        <v>4.23552009857082E-4</v>
      </c>
    </row>
    <row r="723" spans="1:27" x14ac:dyDescent="0.55000000000000004">
      <c r="A723">
        <v>3000</v>
      </c>
      <c r="B723">
        <v>20.84535838</v>
      </c>
      <c r="C723">
        <v>-0.851624822</v>
      </c>
      <c r="D723">
        <v>3.238829897</v>
      </c>
      <c r="E723">
        <v>22.085423309999999</v>
      </c>
      <c r="F723">
        <v>-1.5907447910000001</v>
      </c>
      <c r="G723">
        <v>11.52758599</v>
      </c>
      <c r="H723">
        <v>20.84535838</v>
      </c>
      <c r="I723">
        <v>0.851624822</v>
      </c>
      <c r="J723">
        <v>3.238829897</v>
      </c>
      <c r="K723">
        <v>22.085423309999999</v>
      </c>
      <c r="L723">
        <v>1.5907447910000001</v>
      </c>
      <c r="M723">
        <v>11.52758599</v>
      </c>
      <c r="N723">
        <v>0.114957139</v>
      </c>
      <c r="O723">
        <v>34.880573269999999</v>
      </c>
      <c r="P723">
        <v>44.999991431403203</v>
      </c>
      <c r="Q723">
        <v>0.98689717964655399</v>
      </c>
      <c r="R723">
        <v>0.780253436257763</v>
      </c>
      <c r="S723">
        <v>3.3927725283887301E-2</v>
      </c>
      <c r="T723">
        <v>0.16585181353485201</v>
      </c>
      <c r="U723">
        <v>7.9583760902424805E-2</v>
      </c>
      <c r="V723">
        <v>7.5643857022354793E-2</v>
      </c>
      <c r="W723">
        <v>0.22614864719092601</v>
      </c>
      <c r="X723">
        <v>0.15748419669372801</v>
      </c>
      <c r="Y723">
        <v>0.43947074299321598</v>
      </c>
      <c r="Z723">
        <v>3.85454767224176E-2</v>
      </c>
      <c r="AA723" s="1">
        <v>2.1428784359087201E-5</v>
      </c>
    </row>
    <row r="724" spans="1:27" x14ac:dyDescent="0.55000000000000004">
      <c r="A724">
        <v>3001</v>
      </c>
      <c r="B724">
        <v>21.229869220000001</v>
      </c>
      <c r="C724">
        <v>-0.81863523599999999</v>
      </c>
      <c r="D724">
        <v>3.3971043970000001</v>
      </c>
      <c r="E724">
        <v>22.148349849999999</v>
      </c>
      <c r="F724">
        <v>0.81148231999999998</v>
      </c>
      <c r="G724">
        <v>11.85350212</v>
      </c>
      <c r="H724">
        <v>21.229869220000001</v>
      </c>
      <c r="I724">
        <v>0.81863523599999999</v>
      </c>
      <c r="J724">
        <v>3.3971043970000001</v>
      </c>
      <c r="K724">
        <v>22.148349849999999</v>
      </c>
      <c r="L724">
        <v>0.81148231999999998</v>
      </c>
      <c r="M724">
        <v>11.85350212</v>
      </c>
      <c r="N724">
        <v>9.5774524E-2</v>
      </c>
      <c r="O724">
        <v>28.12233925</v>
      </c>
      <c r="P724">
        <v>11.249997857850801</v>
      </c>
      <c r="Q724">
        <v>167.63136006614499</v>
      </c>
      <c r="R724">
        <v>0.79477935226627905</v>
      </c>
      <c r="S724">
        <v>3.2586844503910799E-2</v>
      </c>
      <c r="T724">
        <v>0.173968217330497</v>
      </c>
      <c r="U724">
        <v>8.1379533750202099E-2</v>
      </c>
      <c r="V724">
        <v>3.73185114520104E-2</v>
      </c>
      <c r="W724">
        <v>0.24409072126509801</v>
      </c>
      <c r="X724">
        <v>0.13029718804467599</v>
      </c>
      <c r="Y724">
        <v>0.35181167685686598</v>
      </c>
      <c r="Z724">
        <v>9.6363691806044E-3</v>
      </c>
      <c r="AA724">
        <v>3.87320997933555E-3</v>
      </c>
    </row>
    <row r="725" spans="1:27" x14ac:dyDescent="0.55000000000000004">
      <c r="A725">
        <v>3002</v>
      </c>
      <c r="B725">
        <v>21.710850270000002</v>
      </c>
      <c r="C725">
        <v>-4.7847784359999999</v>
      </c>
      <c r="D725">
        <v>-7.6353364000000007E-2</v>
      </c>
      <c r="E725">
        <v>21.315838459999998</v>
      </c>
      <c r="F725">
        <v>6.9452840519999999</v>
      </c>
      <c r="G725">
        <v>13.88442201</v>
      </c>
      <c r="H725">
        <v>21.710850270000002</v>
      </c>
      <c r="I725">
        <v>4.7847784359999999</v>
      </c>
      <c r="J725">
        <v>7.6353364000000007E-2</v>
      </c>
      <c r="K725">
        <v>21.315838459999998</v>
      </c>
      <c r="L725">
        <v>6.9452840519999999</v>
      </c>
      <c r="M725">
        <v>13.88442201</v>
      </c>
      <c r="N725">
        <v>9.1689713000000006E-2</v>
      </c>
      <c r="O725">
        <v>23.38921547</v>
      </c>
      <c r="P725">
        <v>31.816673115107601</v>
      </c>
      <c r="Q725">
        <v>1.93537143426651</v>
      </c>
      <c r="R725">
        <v>0.81294968612211504</v>
      </c>
      <c r="S725">
        <v>0.19379302597931899</v>
      </c>
      <c r="T725">
        <v>3.6782698744458301E-3</v>
      </c>
      <c r="U725">
        <v>5.7621651152059299E-2</v>
      </c>
      <c r="V725">
        <v>0.33898846193378701</v>
      </c>
      <c r="W725">
        <v>0.35589529842759698</v>
      </c>
      <c r="X725">
        <v>0.124507894354178</v>
      </c>
      <c r="Y725">
        <v>0.29041972013640999</v>
      </c>
      <c r="Z725">
        <v>2.7253090365864301E-2</v>
      </c>
      <c r="AA725" s="1">
        <v>4.3351596762117599E-5</v>
      </c>
    </row>
    <row r="726" spans="1:27" x14ac:dyDescent="0.55000000000000004">
      <c r="A726">
        <v>3003</v>
      </c>
      <c r="B726">
        <v>21.475128990000002</v>
      </c>
      <c r="C726">
        <v>-5.312099935</v>
      </c>
      <c r="D726">
        <v>-0.59829346800000005</v>
      </c>
      <c r="E726">
        <v>21.455182570000002</v>
      </c>
      <c r="F726">
        <v>7.3959717979999997</v>
      </c>
      <c r="G726">
        <v>13.62386652</v>
      </c>
      <c r="H726">
        <v>21.475128990000002</v>
      </c>
      <c r="I726">
        <v>5.312099935</v>
      </c>
      <c r="J726">
        <v>0.59829346800000005</v>
      </c>
      <c r="K726">
        <v>21.455182570000002</v>
      </c>
      <c r="L726">
        <v>7.3959717979999997</v>
      </c>
      <c r="M726">
        <v>13.62386652</v>
      </c>
      <c r="N726">
        <v>7.4826919000000006E-2</v>
      </c>
      <c r="O726">
        <v>18.63757133</v>
      </c>
      <c r="P726">
        <v>31.816673115107601</v>
      </c>
      <c r="Q726">
        <v>7.5191917697827604</v>
      </c>
      <c r="R726">
        <v>0.804044690063487</v>
      </c>
      <c r="S726">
        <v>0.21522631292258301</v>
      </c>
      <c r="T726">
        <v>3.0443646743144599E-2</v>
      </c>
      <c r="U726">
        <v>6.1598198555360001E-2</v>
      </c>
      <c r="V726">
        <v>0.36115398927864201</v>
      </c>
      <c r="W726">
        <v>0.34155140602186601</v>
      </c>
      <c r="X726">
        <v>0.10060870613999701</v>
      </c>
      <c r="Y726">
        <v>0.22878754127252099</v>
      </c>
      <c r="Z726">
        <v>2.7253090365864301E-2</v>
      </c>
      <c r="AA726">
        <v>1.7241471588367799E-4</v>
      </c>
    </row>
    <row r="727" spans="1:27" x14ac:dyDescent="0.55000000000000004">
      <c r="A727">
        <v>3004</v>
      </c>
      <c r="B727">
        <v>20.96278452</v>
      </c>
      <c r="C727">
        <v>-5.885739815</v>
      </c>
      <c r="D727">
        <v>-1.207268445</v>
      </c>
      <c r="E727">
        <v>21.048633949999999</v>
      </c>
      <c r="F727">
        <v>6.751364691</v>
      </c>
      <c r="G727">
        <v>14.44945673</v>
      </c>
      <c r="H727">
        <v>20.96278452</v>
      </c>
      <c r="I727">
        <v>5.885739815</v>
      </c>
      <c r="J727">
        <v>1.207268445</v>
      </c>
      <c r="K727">
        <v>21.048633949999999</v>
      </c>
      <c r="L727">
        <v>6.751364691</v>
      </c>
      <c r="M727">
        <v>14.44945673</v>
      </c>
      <c r="N727">
        <v>0.102070466</v>
      </c>
      <c r="O727">
        <v>31.586135859999999</v>
      </c>
      <c r="P727">
        <v>32.6120899429853</v>
      </c>
      <c r="Q727">
        <v>3.2054504165836599</v>
      </c>
      <c r="R727">
        <v>0.78468951989806801</v>
      </c>
      <c r="S727">
        <v>0.238542237218209</v>
      </c>
      <c r="T727">
        <v>6.16722199799929E-2</v>
      </c>
      <c r="U727">
        <v>4.9996273944578298E-2</v>
      </c>
      <c r="V727">
        <v>0.32945120484816398</v>
      </c>
      <c r="W727">
        <v>0.38700113783701401</v>
      </c>
      <c r="X727">
        <v>0.13922025873175001</v>
      </c>
      <c r="Y727">
        <v>0.396739564115623</v>
      </c>
      <c r="Z727">
        <v>2.79344176250109E-2</v>
      </c>
      <c r="AA727" s="1">
        <v>7.2707905729646902E-5</v>
      </c>
    </row>
    <row r="728" spans="1:27" x14ac:dyDescent="0.55000000000000004">
      <c r="A728">
        <v>3005</v>
      </c>
      <c r="B728">
        <v>20.012388340000001</v>
      </c>
      <c r="C728">
        <v>-7.3864159389999999</v>
      </c>
      <c r="D728">
        <v>-2.6980291489999999</v>
      </c>
      <c r="E728">
        <v>20.78609719</v>
      </c>
      <c r="F728">
        <v>7.8426489220000004</v>
      </c>
      <c r="G728">
        <v>14.836718469999999</v>
      </c>
      <c r="H728">
        <v>20.012388340000001</v>
      </c>
      <c r="I728">
        <v>7.3864159389999999</v>
      </c>
      <c r="J728">
        <v>2.6980291489999999</v>
      </c>
      <c r="K728">
        <v>20.78609719</v>
      </c>
      <c r="L728">
        <v>7.8426489220000004</v>
      </c>
      <c r="M728">
        <v>14.836718469999999</v>
      </c>
      <c r="N728">
        <v>7.1745693999999999E-2</v>
      </c>
      <c r="O728">
        <v>24.12998962</v>
      </c>
      <c r="P728">
        <v>32.6120899429853</v>
      </c>
      <c r="Q728">
        <v>3.1544363330098601</v>
      </c>
      <c r="R728">
        <v>0.74878578546630303</v>
      </c>
      <c r="S728">
        <v>0.29953808516977998</v>
      </c>
      <c r="T728">
        <v>0.13811925242264</v>
      </c>
      <c r="U728">
        <v>4.2504103150642701E-2</v>
      </c>
      <c r="V728">
        <v>0.38312226796874699</v>
      </c>
      <c r="W728">
        <v>0.40832036135986499</v>
      </c>
      <c r="X728">
        <v>9.6241768122177995E-2</v>
      </c>
      <c r="Y728">
        <v>0.30002808380283302</v>
      </c>
      <c r="Z728">
        <v>2.79344176250109E-2</v>
      </c>
      <c r="AA728" s="1">
        <v>7.1528778116374106E-5</v>
      </c>
    </row>
    <row r="729" spans="1:27" x14ac:dyDescent="0.55000000000000004">
      <c r="A729">
        <v>3006</v>
      </c>
      <c r="B729">
        <v>19.60294816</v>
      </c>
      <c r="C729">
        <v>-8.0953676590000008</v>
      </c>
      <c r="D729">
        <v>-3.3468541790000002</v>
      </c>
      <c r="E729">
        <v>20.878601799999998</v>
      </c>
      <c r="F729">
        <v>8.0796361670000003</v>
      </c>
      <c r="G729">
        <v>15.070284129999999</v>
      </c>
      <c r="H729">
        <v>19.60294816</v>
      </c>
      <c r="I729">
        <v>8.0953676590000008</v>
      </c>
      <c r="J729">
        <v>3.3468541790000002</v>
      </c>
      <c r="K729">
        <v>20.878601799999998</v>
      </c>
      <c r="L729">
        <v>8.0796361670000003</v>
      </c>
      <c r="M729">
        <v>15.070284129999999</v>
      </c>
      <c r="N729">
        <v>7.1684778000000005E-2</v>
      </c>
      <c r="O729">
        <v>23.124662399999998</v>
      </c>
      <c r="P729">
        <v>32.6120899429853</v>
      </c>
      <c r="Q729">
        <v>0.62891528374238204</v>
      </c>
      <c r="R729">
        <v>0.73331809757175204</v>
      </c>
      <c r="S729">
        <v>0.32835383736743701</v>
      </c>
      <c r="T729">
        <v>0.17139135839170899</v>
      </c>
      <c r="U729">
        <v>4.51439633262097E-2</v>
      </c>
      <c r="V729">
        <v>0.394777670863658</v>
      </c>
      <c r="W729">
        <v>0.42117843123478199</v>
      </c>
      <c r="X729">
        <v>9.6155433499976295E-2</v>
      </c>
      <c r="Y729">
        <v>0.286988280060338</v>
      </c>
      <c r="Z729">
        <v>2.79344176250109E-2</v>
      </c>
      <c r="AA729" s="1">
        <v>1.31544744246199E-5</v>
      </c>
    </row>
    <row r="730" spans="1:27" x14ac:dyDescent="0.55000000000000004">
      <c r="A730">
        <v>3007</v>
      </c>
      <c r="B730">
        <v>18.969685909999999</v>
      </c>
      <c r="C730">
        <v>-9.1849661319999996</v>
      </c>
      <c r="D730">
        <v>-4.3821811080000002</v>
      </c>
      <c r="E730">
        <v>20.824712699999999</v>
      </c>
      <c r="F730">
        <v>8.6268758099999996</v>
      </c>
      <c r="G730">
        <v>15.14204895</v>
      </c>
      <c r="H730">
        <v>18.969685909999999</v>
      </c>
      <c r="I730">
        <v>9.1849661319999996</v>
      </c>
      <c r="J730">
        <v>4.3821811080000002</v>
      </c>
      <c r="K730">
        <v>20.824712699999999</v>
      </c>
      <c r="L730">
        <v>8.6268758099999996</v>
      </c>
      <c r="M730">
        <v>15.14204895</v>
      </c>
      <c r="N730">
        <v>5.8194640999999998E-2</v>
      </c>
      <c r="O730">
        <v>17.015073780000002</v>
      </c>
      <c r="P730">
        <v>32.6120899429853</v>
      </c>
      <c r="Q730">
        <v>5.4440328020143696</v>
      </c>
      <c r="R730">
        <v>0.70939493781151197</v>
      </c>
      <c r="S730">
        <v>0.37264119672797702</v>
      </c>
      <c r="T730">
        <v>0.22448349525689501</v>
      </c>
      <c r="U730">
        <v>4.36060973864782E-2</v>
      </c>
      <c r="V730">
        <v>0.42169177132181601</v>
      </c>
      <c r="W730">
        <v>0.42512917069759898</v>
      </c>
      <c r="X730">
        <v>7.7036222104872001E-2</v>
      </c>
      <c r="Y730">
        <v>0.207742602665687</v>
      </c>
      <c r="Z730">
        <v>2.79344176250109E-2</v>
      </c>
      <c r="AA730">
        <v>1.2444997616063599E-4</v>
      </c>
    </row>
    <row r="731" spans="1:27" x14ac:dyDescent="0.55000000000000004">
      <c r="A731">
        <v>3008</v>
      </c>
      <c r="B731">
        <v>18.785081760000001</v>
      </c>
      <c r="C731">
        <v>-9.5246561920000001</v>
      </c>
      <c r="D731">
        <v>-4.6960070920000003</v>
      </c>
      <c r="E731">
        <v>20.99867575</v>
      </c>
      <c r="F731">
        <v>8.597422152</v>
      </c>
      <c r="G731">
        <v>14.865460690000001</v>
      </c>
      <c r="H731">
        <v>18.785081760000001</v>
      </c>
      <c r="I731">
        <v>9.5246561920000001</v>
      </c>
      <c r="J731">
        <v>4.6960070920000003</v>
      </c>
      <c r="K731">
        <v>20.99867575</v>
      </c>
      <c r="L731">
        <v>8.597422152</v>
      </c>
      <c r="M731">
        <v>14.865460690000001</v>
      </c>
      <c r="N731">
        <v>6.4595446000000001E-2</v>
      </c>
      <c r="O731">
        <v>20.751293180000001</v>
      </c>
      <c r="P731">
        <v>4.0765112428731598</v>
      </c>
      <c r="Q731">
        <v>87.704046256287796</v>
      </c>
      <c r="R731">
        <v>0.702421026808837</v>
      </c>
      <c r="S731">
        <v>0.38644809544453201</v>
      </c>
      <c r="T731">
        <v>0.24057666508342801</v>
      </c>
      <c r="U731">
        <v>4.8570586482915498E-2</v>
      </c>
      <c r="V731">
        <v>0.42024319441330399</v>
      </c>
      <c r="W731">
        <v>0.40990265506314399</v>
      </c>
      <c r="X731">
        <v>8.6107912325204095E-2</v>
      </c>
      <c r="Y731">
        <v>0.25620400582445402</v>
      </c>
      <c r="Z731">
        <v>3.4918022031263699E-3</v>
      </c>
      <c r="AA731">
        <v>2.0257887151350399E-3</v>
      </c>
    </row>
    <row r="732" spans="1:27" x14ac:dyDescent="0.55000000000000004">
      <c r="A732">
        <v>3009</v>
      </c>
      <c r="B732">
        <v>18.736916239999999</v>
      </c>
      <c r="C732">
        <v>-9.6743309679999996</v>
      </c>
      <c r="D732">
        <v>-4.8468397120000004</v>
      </c>
      <c r="E732">
        <v>20.964301129999999</v>
      </c>
      <c r="F732">
        <v>8.4062337249999999</v>
      </c>
      <c r="G732">
        <v>15.37075171</v>
      </c>
      <c r="H732">
        <v>18.736916239999999</v>
      </c>
      <c r="I732">
        <v>9.6743309679999996</v>
      </c>
      <c r="J732">
        <v>4.8468397120000004</v>
      </c>
      <c r="K732">
        <v>20.964301129999999</v>
      </c>
      <c r="L732">
        <v>8.4062337249999999</v>
      </c>
      <c r="M732">
        <v>15.37075171</v>
      </c>
      <c r="N732">
        <v>8.3940439000000006E-2</v>
      </c>
      <c r="O732">
        <v>31.200054170000001</v>
      </c>
      <c r="P732">
        <v>32.6120899429853</v>
      </c>
      <c r="Q732">
        <v>12.222699453421299</v>
      </c>
      <c r="R732">
        <v>0.70060144664296597</v>
      </c>
      <c r="S732">
        <v>0.39253171317728203</v>
      </c>
      <c r="T732">
        <v>0.24831144516155201</v>
      </c>
      <c r="U732">
        <v>4.7589617097841E-2</v>
      </c>
      <c r="V732">
        <v>0.41084024892765503</v>
      </c>
      <c r="W732">
        <v>0.43771953209176401</v>
      </c>
      <c r="X732">
        <v>0.113525054983119</v>
      </c>
      <c r="Y732">
        <v>0.39173181204642998</v>
      </c>
      <c r="Z732">
        <v>2.79344176250109E-2</v>
      </c>
      <c r="AA732">
        <v>2.81130493968701E-4</v>
      </c>
    </row>
    <row r="733" spans="1:27" x14ac:dyDescent="0.55000000000000004">
      <c r="A733">
        <v>3010</v>
      </c>
      <c r="B733">
        <v>18.363659949999999</v>
      </c>
      <c r="C733">
        <v>-10.24753376</v>
      </c>
      <c r="D733">
        <v>-5.3780801760000001</v>
      </c>
      <c r="E733">
        <v>21.235928699999999</v>
      </c>
      <c r="F733">
        <v>8.7899208019999993</v>
      </c>
      <c r="G733">
        <v>15.450514910000001</v>
      </c>
      <c r="H733">
        <v>18.363659949999999</v>
      </c>
      <c r="I733">
        <v>10.24753376</v>
      </c>
      <c r="J733">
        <v>5.3780801760000001</v>
      </c>
      <c r="K733">
        <v>21.235928699999999</v>
      </c>
      <c r="L733">
        <v>8.7899208019999993</v>
      </c>
      <c r="M733">
        <v>15.450514910000001</v>
      </c>
      <c r="N733">
        <v>0.112325855</v>
      </c>
      <c r="O733">
        <v>43.812976839999997</v>
      </c>
      <c r="P733">
        <v>32.6120899429853</v>
      </c>
      <c r="Q733">
        <v>9.0077634817637797</v>
      </c>
      <c r="R733">
        <v>0.68650070108741701</v>
      </c>
      <c r="S733">
        <v>0.41582987177865699</v>
      </c>
      <c r="T733">
        <v>0.27555374962885298</v>
      </c>
      <c r="U733">
        <v>5.5341217851890501E-2</v>
      </c>
      <c r="V733">
        <v>0.429710578712727</v>
      </c>
      <c r="W733">
        <v>0.44211059197208602</v>
      </c>
      <c r="X733">
        <v>0.15375494805551501</v>
      </c>
      <c r="Y733">
        <v>0.55533032302285201</v>
      </c>
      <c r="Z733">
        <v>2.79344176250109E-2</v>
      </c>
      <c r="AA733">
        <v>2.06821214775199E-4</v>
      </c>
    </row>
    <row r="734" spans="1:27" x14ac:dyDescent="0.55000000000000004">
      <c r="A734">
        <v>3011</v>
      </c>
      <c r="B734">
        <v>18.203581280000002</v>
      </c>
      <c r="C734">
        <v>-10.517499320000001</v>
      </c>
      <c r="D734">
        <v>-5.6285366159999999</v>
      </c>
      <c r="E734">
        <v>21.31453823</v>
      </c>
      <c r="F734">
        <v>8.9178887420000006</v>
      </c>
      <c r="G734">
        <v>15.618553840000001</v>
      </c>
      <c r="H734">
        <v>18.203581280000002</v>
      </c>
      <c r="I734">
        <v>10.517499320000001</v>
      </c>
      <c r="J734">
        <v>5.6285366159999999</v>
      </c>
      <c r="K734">
        <v>21.31453823</v>
      </c>
      <c r="L734">
        <v>8.9178887420000006</v>
      </c>
      <c r="M734">
        <v>15.618553840000001</v>
      </c>
      <c r="N734">
        <v>0.125084996</v>
      </c>
      <c r="O734">
        <v>46.94522095</v>
      </c>
      <c r="P734">
        <v>32.6120899429853</v>
      </c>
      <c r="Q734">
        <v>5.5507533492620604</v>
      </c>
      <c r="R734">
        <v>0.68045330508897095</v>
      </c>
      <c r="S734">
        <v>0.42680277791514498</v>
      </c>
      <c r="T734">
        <v>0.28839729423180299</v>
      </c>
      <c r="U734">
        <v>5.7584545699735597E-2</v>
      </c>
      <c r="V734">
        <v>0.43600424189418502</v>
      </c>
      <c r="W734">
        <v>0.45136133672474499</v>
      </c>
      <c r="X734">
        <v>0.171838138315106</v>
      </c>
      <c r="Y734">
        <v>0.59595774030096504</v>
      </c>
      <c r="Z734">
        <v>2.79344176250109E-2</v>
      </c>
      <c r="AA734">
        <v>1.2691668996489999E-4</v>
      </c>
    </row>
    <row r="735" spans="1:27" x14ac:dyDescent="0.55000000000000004">
      <c r="A735">
        <v>3012</v>
      </c>
      <c r="B735">
        <v>17.976921019999999</v>
      </c>
      <c r="C735">
        <v>-10.922676389999999</v>
      </c>
      <c r="D735">
        <v>-6.000886575</v>
      </c>
      <c r="E735">
        <v>21.44506917</v>
      </c>
      <c r="F735">
        <v>8.7336579610000005</v>
      </c>
      <c r="G735">
        <v>17.432646779999999</v>
      </c>
      <c r="H735">
        <v>17.976921019999999</v>
      </c>
      <c r="I735">
        <v>10.922676389999999</v>
      </c>
      <c r="J735">
        <v>6.000886575</v>
      </c>
      <c r="K735">
        <v>21.44506917</v>
      </c>
      <c r="L735">
        <v>8.7336579610000005</v>
      </c>
      <c r="M735">
        <v>17.432646779999999</v>
      </c>
      <c r="N735">
        <v>0.12720514799999999</v>
      </c>
      <c r="O735">
        <v>45.9153862</v>
      </c>
      <c r="P735">
        <v>10.8706966476618</v>
      </c>
      <c r="Q735">
        <v>28.747354688116999</v>
      </c>
      <c r="R735">
        <v>0.67189061307428399</v>
      </c>
      <c r="S735">
        <v>0.44327143398285701</v>
      </c>
      <c r="T735">
        <v>0.307491605826759</v>
      </c>
      <c r="U735">
        <v>6.1309586324038899E-2</v>
      </c>
      <c r="V735">
        <v>0.42694348430700302</v>
      </c>
      <c r="W735">
        <v>0.55122933008521902</v>
      </c>
      <c r="X735">
        <v>0.17484297320134501</v>
      </c>
      <c r="Y735">
        <v>0.58260005659356395</v>
      </c>
      <c r="Z735">
        <v>9.3114725416703105E-3</v>
      </c>
      <c r="AA735">
        <v>6.6307751569375905E-4</v>
      </c>
    </row>
    <row r="736" spans="1:27" x14ac:dyDescent="0.55000000000000004">
      <c r="A736">
        <v>3013</v>
      </c>
      <c r="B736">
        <v>17.716607740000001</v>
      </c>
      <c r="C736">
        <v>-11.406040429999999</v>
      </c>
      <c r="D736">
        <v>-6.45041435</v>
      </c>
      <c r="E736">
        <v>21.512981589999999</v>
      </c>
      <c r="F736">
        <v>8.7371005279999991</v>
      </c>
      <c r="G736">
        <v>15.50626113</v>
      </c>
      <c r="H736">
        <v>17.716607740000001</v>
      </c>
      <c r="I736">
        <v>11.406040429999999</v>
      </c>
      <c r="J736">
        <v>6.45041435</v>
      </c>
      <c r="K736">
        <v>21.512981589999999</v>
      </c>
      <c r="L736">
        <v>8.7371005279999991</v>
      </c>
      <c r="M736">
        <v>15.50626113</v>
      </c>
      <c r="N736">
        <v>0.11821308699999999</v>
      </c>
      <c r="O736">
        <v>42.739852910000003</v>
      </c>
      <c r="P736">
        <v>4.0765112428731598</v>
      </c>
      <c r="Q736">
        <v>41.515271875132001</v>
      </c>
      <c r="R736">
        <v>0.66205658904213605</v>
      </c>
      <c r="S736">
        <v>0.46291804461227798</v>
      </c>
      <c r="T736">
        <v>0.33054363846156598</v>
      </c>
      <c r="U736">
        <v>6.3247644254172106E-2</v>
      </c>
      <c r="V736">
        <v>0.42711279512952399</v>
      </c>
      <c r="W736">
        <v>0.44517948828168302</v>
      </c>
      <c r="X736">
        <v>0.16209876495967401</v>
      </c>
      <c r="Y736">
        <v>0.54141114809135504</v>
      </c>
      <c r="Z736">
        <v>3.4918022031263699E-3</v>
      </c>
      <c r="AA736">
        <v>9.5819217157918897E-4</v>
      </c>
    </row>
    <row r="737" spans="1:27" x14ac:dyDescent="0.55000000000000004">
      <c r="A737">
        <v>3014</v>
      </c>
      <c r="B737">
        <v>17.645738770000001</v>
      </c>
      <c r="C737">
        <v>-11.47133792</v>
      </c>
      <c r="D737">
        <v>-6.5343836340000001</v>
      </c>
      <c r="E737">
        <v>21.6009055</v>
      </c>
      <c r="F737">
        <v>9.5619651619999999</v>
      </c>
      <c r="G737">
        <v>15.88118235</v>
      </c>
      <c r="H737">
        <v>17.645738770000001</v>
      </c>
      <c r="I737">
        <v>11.47133792</v>
      </c>
      <c r="J737">
        <v>6.5343836340000001</v>
      </c>
      <c r="K737">
        <v>21.6009055</v>
      </c>
      <c r="L737">
        <v>9.5619651619999999</v>
      </c>
      <c r="M737">
        <v>15.88118235</v>
      </c>
      <c r="N737">
        <v>0.103137285</v>
      </c>
      <c r="O737">
        <v>38.788093570000001</v>
      </c>
      <c r="P737">
        <v>32.6120899429853</v>
      </c>
      <c r="Q737">
        <v>4.1016776780765696</v>
      </c>
      <c r="R737">
        <v>0.65937932588401504</v>
      </c>
      <c r="S737">
        <v>0.46557209881355499</v>
      </c>
      <c r="T737">
        <v>0.334849629732271</v>
      </c>
      <c r="U737">
        <v>6.57567822148548E-2</v>
      </c>
      <c r="V737">
        <v>0.46768092630904501</v>
      </c>
      <c r="W737">
        <v>0.46581935136921598</v>
      </c>
      <c r="X737">
        <v>0.14073223284893799</v>
      </c>
      <c r="Y737">
        <v>0.49015403975286698</v>
      </c>
      <c r="Z737">
        <v>2.79344176250109E-2</v>
      </c>
      <c r="AA737" s="1">
        <v>9.3423093335939404E-5</v>
      </c>
    </row>
    <row r="738" spans="1:27" x14ac:dyDescent="0.55000000000000004">
      <c r="A738">
        <v>3015</v>
      </c>
      <c r="B738">
        <v>17.645738770000001</v>
      </c>
      <c r="C738">
        <v>-11.47133792</v>
      </c>
      <c r="D738">
        <v>-6.5343836340000001</v>
      </c>
      <c r="E738">
        <v>21.6009055</v>
      </c>
      <c r="F738">
        <v>9.5619651619999999</v>
      </c>
      <c r="G738">
        <v>15.88118235</v>
      </c>
      <c r="H738">
        <v>17.645738770000001</v>
      </c>
      <c r="I738">
        <v>11.47133792</v>
      </c>
      <c r="J738">
        <v>6.5343836340000001</v>
      </c>
      <c r="K738">
        <v>21.6009055</v>
      </c>
      <c r="L738">
        <v>9.5619651619999999</v>
      </c>
      <c r="M738">
        <v>15.88118235</v>
      </c>
      <c r="N738">
        <v>7.4040650999999999E-2</v>
      </c>
      <c r="O738">
        <v>25.66438484</v>
      </c>
      <c r="P738">
        <v>32.6120899429853</v>
      </c>
      <c r="Q738">
        <v>1.7714422541613799</v>
      </c>
      <c r="R738">
        <v>0.65937932588401504</v>
      </c>
      <c r="S738">
        <v>0.46557209881355499</v>
      </c>
      <c r="T738">
        <v>0.334849629732271</v>
      </c>
      <c r="U738">
        <v>6.57567822148548E-2</v>
      </c>
      <c r="V738">
        <v>0.46768092630904501</v>
      </c>
      <c r="W738">
        <v>0.46581935136921598</v>
      </c>
      <c r="X738">
        <v>9.9494349472958599E-2</v>
      </c>
      <c r="Y738">
        <v>0.31993027299474802</v>
      </c>
      <c r="Z738">
        <v>2.79344176250109E-2</v>
      </c>
      <c r="AA738" s="1">
        <v>3.9562575979189397E-5</v>
      </c>
    </row>
    <row r="739" spans="1:27" x14ac:dyDescent="0.55000000000000004">
      <c r="A739">
        <v>3016</v>
      </c>
      <c r="B739">
        <v>17.213311319999999</v>
      </c>
      <c r="C739">
        <v>-12.045953989999999</v>
      </c>
      <c r="D739">
        <v>-7.1073101559999996</v>
      </c>
      <c r="E739">
        <v>21.753645630000001</v>
      </c>
      <c r="F739">
        <v>9.0064739679999999</v>
      </c>
      <c r="G739">
        <v>15.7020628</v>
      </c>
      <c r="H739">
        <v>17.213311319999999</v>
      </c>
      <c r="I739">
        <v>12.045953989999999</v>
      </c>
      <c r="J739">
        <v>7.1073101559999996</v>
      </c>
      <c r="K739">
        <v>21.753645630000001</v>
      </c>
      <c r="L739">
        <v>9.0064739679999999</v>
      </c>
      <c r="M739">
        <v>15.7020628</v>
      </c>
      <c r="N739">
        <v>8.2366890999999998E-2</v>
      </c>
      <c r="O739">
        <v>29.09009361</v>
      </c>
      <c r="P739">
        <v>32.6120899429853</v>
      </c>
      <c r="Q739">
        <v>4.4655722206412696</v>
      </c>
      <c r="R739">
        <v>0.64304323294453702</v>
      </c>
      <c r="S739">
        <v>0.48892770091564403</v>
      </c>
      <c r="T739">
        <v>0.36422961828245698</v>
      </c>
      <c r="U739">
        <v>7.0115619967891604E-2</v>
      </c>
      <c r="V739">
        <v>0.440361001683375</v>
      </c>
      <c r="W739">
        <v>0.45595860518818998</v>
      </c>
      <c r="X739">
        <v>0.11129490736843201</v>
      </c>
      <c r="Y739">
        <v>0.36436413408103602</v>
      </c>
      <c r="Z739">
        <v>2.79344176250109E-2</v>
      </c>
      <c r="AA739">
        <v>1.01834066804406E-4</v>
      </c>
    </row>
    <row r="740" spans="1:27" x14ac:dyDescent="0.55000000000000004">
      <c r="A740">
        <v>3017</v>
      </c>
      <c r="B740">
        <v>16.942334240000001</v>
      </c>
      <c r="C740">
        <v>-12.45175233</v>
      </c>
      <c r="D740">
        <v>-7.4656001319999996</v>
      </c>
      <c r="E740">
        <v>21.819054120000001</v>
      </c>
      <c r="F740">
        <v>8.5221772960000006</v>
      </c>
      <c r="G740">
        <v>15.338024900000001</v>
      </c>
      <c r="H740">
        <v>16.942334240000001</v>
      </c>
      <c r="I740">
        <v>12.45175233</v>
      </c>
      <c r="J740">
        <v>7.4656001319999996</v>
      </c>
      <c r="K740">
        <v>21.819054120000001</v>
      </c>
      <c r="L740">
        <v>8.5221772960000006</v>
      </c>
      <c r="M740">
        <v>15.338024900000001</v>
      </c>
      <c r="N740">
        <v>9.1379858999999994E-2</v>
      </c>
      <c r="O740">
        <v>35.313346860000003</v>
      </c>
      <c r="P740">
        <v>32.6120899429853</v>
      </c>
      <c r="Q740">
        <v>5.52484591806114</v>
      </c>
      <c r="R740">
        <v>0.63280635560627196</v>
      </c>
      <c r="S740">
        <v>0.50542160886139298</v>
      </c>
      <c r="T740">
        <v>0.38260292618201103</v>
      </c>
      <c r="U740">
        <v>7.1982221728549498E-2</v>
      </c>
      <c r="V740">
        <v>0.41654253485903298</v>
      </c>
      <c r="W740">
        <v>0.435917881927253</v>
      </c>
      <c r="X740">
        <v>0.124068746543625</v>
      </c>
      <c r="Y740">
        <v>0.44508412196701402</v>
      </c>
      <c r="Z740">
        <v>2.79344176250109E-2</v>
      </c>
      <c r="AA740">
        <v>1.2631787165086E-4</v>
      </c>
    </row>
    <row r="741" spans="1:27" x14ac:dyDescent="0.55000000000000004">
      <c r="A741">
        <v>3018</v>
      </c>
      <c r="B741">
        <v>16.787636160000002</v>
      </c>
      <c r="C741">
        <v>-12.71086204</v>
      </c>
      <c r="D741">
        <v>-7.7059981190000002</v>
      </c>
      <c r="E741">
        <v>21.993934280000001</v>
      </c>
      <c r="F741">
        <v>7.9873167839999999</v>
      </c>
      <c r="G741">
        <v>15.041067229999999</v>
      </c>
      <c r="H741">
        <v>16.787636160000002</v>
      </c>
      <c r="I741">
        <v>12.71086204</v>
      </c>
      <c r="J741">
        <v>7.7059981190000002</v>
      </c>
      <c r="K741">
        <v>21.993934280000001</v>
      </c>
      <c r="L741">
        <v>7.9873167839999999</v>
      </c>
      <c r="M741">
        <v>15.041067229999999</v>
      </c>
      <c r="N741">
        <v>8.4264264000000005E-2</v>
      </c>
      <c r="O741">
        <v>29.296777729999999</v>
      </c>
      <c r="P741">
        <v>3.2612089942985301</v>
      </c>
      <c r="Q741">
        <v>128.70427929644401</v>
      </c>
      <c r="R741">
        <v>0.62696222565467297</v>
      </c>
      <c r="S741">
        <v>0.51595327270356095</v>
      </c>
      <c r="T741">
        <v>0.39493066775852598</v>
      </c>
      <c r="U741">
        <v>7.6972882949442198E-2</v>
      </c>
      <c r="V741">
        <v>0.39023725940026999</v>
      </c>
      <c r="W741">
        <v>0.41957000582786003</v>
      </c>
      <c r="X741">
        <v>0.113984003519373</v>
      </c>
      <c r="Y741">
        <v>0.36704497302369399</v>
      </c>
      <c r="Z741">
        <v>2.7934417625010899E-3</v>
      </c>
      <c r="AA741">
        <v>2.9734585259302902E-3</v>
      </c>
    </row>
    <row r="742" spans="1:27" x14ac:dyDescent="0.55000000000000004">
      <c r="A742">
        <v>3019</v>
      </c>
      <c r="B742">
        <v>16.803652790000001</v>
      </c>
      <c r="C742">
        <v>-12.55541184</v>
      </c>
      <c r="D742">
        <v>-7.615925131</v>
      </c>
      <c r="E742">
        <v>22.100258929999999</v>
      </c>
      <c r="F742">
        <v>8.6421744169999997</v>
      </c>
      <c r="G742">
        <v>15.46333634</v>
      </c>
      <c r="H742">
        <v>16.803652790000001</v>
      </c>
      <c r="I742">
        <v>12.55541184</v>
      </c>
      <c r="J742">
        <v>7.615925131</v>
      </c>
      <c r="K742">
        <v>22.100258929999999</v>
      </c>
      <c r="L742">
        <v>8.6421744169999997</v>
      </c>
      <c r="M742">
        <v>15.46333634</v>
      </c>
      <c r="N742">
        <v>8.2307503000000004E-2</v>
      </c>
      <c r="O742">
        <v>27.058460239999999</v>
      </c>
      <c r="P742">
        <v>32.6120899429853</v>
      </c>
      <c r="Q742">
        <v>6.6227804627272002</v>
      </c>
      <c r="R742">
        <v>0.62756729630006602</v>
      </c>
      <c r="S742">
        <v>0.50963490952605695</v>
      </c>
      <c r="T742">
        <v>0.39031167517483001</v>
      </c>
      <c r="U742">
        <v>8.0007133990726495E-2</v>
      </c>
      <c r="V742">
        <v>0.422444180711258</v>
      </c>
      <c r="W742">
        <v>0.442816427080023</v>
      </c>
      <c r="X742">
        <v>0.11121073833988</v>
      </c>
      <c r="Y742">
        <v>0.338012415064114</v>
      </c>
      <c r="Z742">
        <v>2.79344176250109E-2</v>
      </c>
      <c r="AA742">
        <v>1.5169527429123499E-4</v>
      </c>
    </row>
    <row r="743" spans="1:27" x14ac:dyDescent="0.55000000000000004">
      <c r="A743">
        <v>3020</v>
      </c>
      <c r="B743">
        <v>16.70488164</v>
      </c>
      <c r="C743">
        <v>-12.60523691</v>
      </c>
      <c r="D743">
        <v>-7.6675051749999996</v>
      </c>
      <c r="E743">
        <v>22.254998960000002</v>
      </c>
      <c r="F743">
        <v>8.0435906789999994</v>
      </c>
      <c r="G743">
        <v>14.95029795</v>
      </c>
      <c r="H743">
        <v>16.70488164</v>
      </c>
      <c r="I743">
        <v>12.60523691</v>
      </c>
      <c r="J743">
        <v>7.6675051749999996</v>
      </c>
      <c r="K743">
        <v>22.254998960000002</v>
      </c>
      <c r="L743">
        <v>8.0435906789999994</v>
      </c>
      <c r="M743">
        <v>14.95029795</v>
      </c>
      <c r="N743">
        <v>9.4510652000000001E-2</v>
      </c>
      <c r="O743">
        <v>23.64440536</v>
      </c>
      <c r="P743">
        <v>4.77250096726614</v>
      </c>
      <c r="Q743">
        <v>76.523338316024294</v>
      </c>
      <c r="R743">
        <v>0.623835954346313</v>
      </c>
      <c r="S743">
        <v>0.511660078278523</v>
      </c>
      <c r="T743">
        <v>0.39295672832553402</v>
      </c>
      <c r="U743">
        <v>8.44230441033475E-2</v>
      </c>
      <c r="V743">
        <v>0.39300489745898098</v>
      </c>
      <c r="W743">
        <v>0.414573048035623</v>
      </c>
      <c r="X743">
        <v>0.12850593596588999</v>
      </c>
      <c r="Y743">
        <v>0.29372971315805402</v>
      </c>
      <c r="Z743">
        <v>4.0879635548796501E-3</v>
      </c>
      <c r="AA743">
        <v>1.7673604430828E-3</v>
      </c>
    </row>
    <row r="744" spans="1:27" x14ac:dyDescent="0.55000000000000004">
      <c r="A744">
        <v>3021</v>
      </c>
      <c r="B744">
        <v>16.830854380000002</v>
      </c>
      <c r="C744">
        <v>-12.29954141</v>
      </c>
      <c r="D744">
        <v>-7.4310453299999999</v>
      </c>
      <c r="E744">
        <v>22.226909639999999</v>
      </c>
      <c r="F744">
        <v>8.8996000259999999</v>
      </c>
      <c r="G744">
        <v>15.76562944</v>
      </c>
      <c r="H744">
        <v>16.830854380000002</v>
      </c>
      <c r="I744">
        <v>12.29954141</v>
      </c>
      <c r="J744">
        <v>7.4310453299999999</v>
      </c>
      <c r="K744">
        <v>22.226909639999999</v>
      </c>
      <c r="L744">
        <v>8.8996000259999999</v>
      </c>
      <c r="M744">
        <v>15.76562944</v>
      </c>
      <c r="N744">
        <v>7.9356714999999994E-2</v>
      </c>
      <c r="O744">
        <v>28.339300160000001</v>
      </c>
      <c r="P744">
        <v>33.407506770863002</v>
      </c>
      <c r="Q744">
        <v>1.59955259900631</v>
      </c>
      <c r="R744">
        <v>0.62859490845174903</v>
      </c>
      <c r="S744">
        <v>0.49923490809071602</v>
      </c>
      <c r="T744">
        <v>0.38083093684632802</v>
      </c>
      <c r="U744">
        <v>8.3621442137491203E-2</v>
      </c>
      <c r="V744">
        <v>0.43510477427342598</v>
      </c>
      <c r="W744">
        <v>0.45945802500373001</v>
      </c>
      <c r="X744">
        <v>0.107028665203474</v>
      </c>
      <c r="Y744">
        <v>0.35462581302060497</v>
      </c>
      <c r="Z744">
        <v>2.8615744884157499E-2</v>
      </c>
      <c r="AA744" s="1">
        <v>3.5589558635143299E-5</v>
      </c>
    </row>
    <row r="745" spans="1:27" x14ac:dyDescent="0.55000000000000004">
      <c r="A745">
        <v>3022</v>
      </c>
      <c r="B745">
        <v>16.736443749999999</v>
      </c>
      <c r="C745">
        <v>-12.31383115</v>
      </c>
      <c r="D745">
        <v>-7.4309848220000001</v>
      </c>
      <c r="E745">
        <v>22.567431819999999</v>
      </c>
      <c r="F745">
        <v>8.1208808060000006</v>
      </c>
      <c r="G745">
        <v>15.03085516</v>
      </c>
      <c r="H745">
        <v>16.736443749999999</v>
      </c>
      <c r="I745">
        <v>12.31383115</v>
      </c>
      <c r="J745">
        <v>7.4309848220000001</v>
      </c>
      <c r="K745">
        <v>22.567431819999999</v>
      </c>
      <c r="L745">
        <v>8.1208808060000006</v>
      </c>
      <c r="M745">
        <v>15.03085516</v>
      </c>
      <c r="N745">
        <v>8.3407961000000003E-2</v>
      </c>
      <c r="O745">
        <v>26.122999190000002</v>
      </c>
      <c r="P745">
        <v>4.1759383463578796</v>
      </c>
      <c r="Q745">
        <v>75.654290757977407</v>
      </c>
      <c r="R745">
        <v>0.62502829669721205</v>
      </c>
      <c r="S745">
        <v>0.49981572282773201</v>
      </c>
      <c r="T745">
        <v>0.38082783396266101</v>
      </c>
      <c r="U745">
        <v>9.3339130173571594E-2</v>
      </c>
      <c r="V745">
        <v>0.39680614663584601</v>
      </c>
      <c r="W745">
        <v>0.41900781911930302</v>
      </c>
      <c r="X745">
        <v>0.112770388114632</v>
      </c>
      <c r="Y745">
        <v>0.32587882486773101</v>
      </c>
      <c r="Z745">
        <v>3.57696811051969E-3</v>
      </c>
      <c r="AA745">
        <v>1.74727348079408E-3</v>
      </c>
    </row>
    <row r="746" spans="1:27" x14ac:dyDescent="0.55000000000000004">
      <c r="A746">
        <v>3023</v>
      </c>
      <c r="B746">
        <v>16.910436529999998</v>
      </c>
      <c r="C746">
        <v>-11.661831429999999</v>
      </c>
      <c r="D746">
        <v>-6.8825038540000003</v>
      </c>
      <c r="E746">
        <v>22.828433189999998</v>
      </c>
      <c r="F746">
        <v>8.6336358339999997</v>
      </c>
      <c r="G746">
        <v>15.97655838</v>
      </c>
      <c r="H746">
        <v>16.910436529999998</v>
      </c>
      <c r="I746">
        <v>11.661831429999999</v>
      </c>
      <c r="J746">
        <v>6.8825038540000003</v>
      </c>
      <c r="K746">
        <v>22.828433189999998</v>
      </c>
      <c r="L746">
        <v>8.6336358339999997</v>
      </c>
      <c r="M746">
        <v>15.97655838</v>
      </c>
      <c r="N746">
        <v>7.9027072000000004E-2</v>
      </c>
      <c r="O746">
        <v>27.656404500000001</v>
      </c>
      <c r="P746">
        <v>28.0549325146897</v>
      </c>
      <c r="Q746">
        <v>5.5537342267249601</v>
      </c>
      <c r="R746">
        <v>0.63160133507596905</v>
      </c>
      <c r="S746">
        <v>0.47331481756938498</v>
      </c>
      <c r="T746">
        <v>0.35270142692606199</v>
      </c>
      <c r="U746">
        <v>0.100787484611598</v>
      </c>
      <c r="V746">
        <v>0.42202423986162901</v>
      </c>
      <c r="W746">
        <v>0.47106991627731198</v>
      </c>
      <c r="X746">
        <v>0.10656147097098199</v>
      </c>
      <c r="Y746">
        <v>0.345768174228131</v>
      </c>
      <c r="Z746">
        <v>2.4030910091225599E-2</v>
      </c>
      <c r="AA746">
        <v>1.2698558927038699E-4</v>
      </c>
    </row>
    <row r="747" spans="1:27" x14ac:dyDescent="0.55000000000000004">
      <c r="A747">
        <v>3024</v>
      </c>
      <c r="B747">
        <v>16.88494545</v>
      </c>
      <c r="C747">
        <v>-11.66363539</v>
      </c>
      <c r="D747">
        <v>-6.8805697840000004</v>
      </c>
      <c r="E747">
        <v>22.865327300000001</v>
      </c>
      <c r="F747">
        <v>8.5582645429999999</v>
      </c>
      <c r="G747">
        <v>16.172786290000001</v>
      </c>
      <c r="H747">
        <v>16.88494545</v>
      </c>
      <c r="I747">
        <v>11.66363539</v>
      </c>
      <c r="J747">
        <v>6.8805697840000004</v>
      </c>
      <c r="K747">
        <v>22.865327300000001</v>
      </c>
      <c r="L747">
        <v>8.5582645429999999</v>
      </c>
      <c r="M747">
        <v>16.172786290000001</v>
      </c>
      <c r="N747">
        <v>7.5491725999999995E-2</v>
      </c>
      <c r="O747">
        <v>28.25608063</v>
      </c>
      <c r="P747">
        <v>28.0549325146897</v>
      </c>
      <c r="Q747">
        <v>16.677826710995699</v>
      </c>
      <c r="R747">
        <v>0.63063834197271496</v>
      </c>
      <c r="S747">
        <v>0.47338814056567402</v>
      </c>
      <c r="T747">
        <v>0.35260224674802298</v>
      </c>
      <c r="U747">
        <v>0.10184035421130801</v>
      </c>
      <c r="V747">
        <v>0.41831736203656</v>
      </c>
      <c r="W747">
        <v>0.48187249820733102</v>
      </c>
      <c r="X747">
        <v>0.101550919371037</v>
      </c>
      <c r="Y747">
        <v>0.35354639696864198</v>
      </c>
      <c r="Z747">
        <v>2.4030910091225599E-2</v>
      </c>
      <c r="AA747">
        <v>3.8410526489547099E-4</v>
      </c>
    </row>
    <row r="748" spans="1:27" x14ac:dyDescent="0.55000000000000004">
      <c r="A748">
        <v>3025</v>
      </c>
      <c r="B748">
        <v>17.20747897</v>
      </c>
      <c r="C748">
        <v>-10.705233720000001</v>
      </c>
      <c r="D748">
        <v>-6.0424185460000004</v>
      </c>
      <c r="E748">
        <v>23.44931746</v>
      </c>
      <c r="F748">
        <v>8.9656138219999999</v>
      </c>
      <c r="G748">
        <v>17.103758930000001</v>
      </c>
      <c r="H748">
        <v>17.20747897</v>
      </c>
      <c r="I748">
        <v>10.705233720000001</v>
      </c>
      <c r="J748">
        <v>6.0424185460000004</v>
      </c>
      <c r="K748">
        <v>23.44931746</v>
      </c>
      <c r="L748">
        <v>8.9656138219999999</v>
      </c>
      <c r="M748">
        <v>17.103758930000001</v>
      </c>
      <c r="N748">
        <v>7.5325428999999999E-2</v>
      </c>
      <c r="O748">
        <v>29.3255558</v>
      </c>
      <c r="P748">
        <v>28.0549325146897</v>
      </c>
      <c r="Q748">
        <v>0.68137632058433495</v>
      </c>
      <c r="R748">
        <v>0.64282290046643997</v>
      </c>
      <c r="S748">
        <v>0.43443335105117697</v>
      </c>
      <c r="T748">
        <v>0.30962138824316199</v>
      </c>
      <c r="U748">
        <v>0.118506035697961</v>
      </c>
      <c r="V748">
        <v>0.43835143587752401</v>
      </c>
      <c r="W748">
        <v>0.533123659258817</v>
      </c>
      <c r="X748">
        <v>0.10131523106799201</v>
      </c>
      <c r="Y748">
        <v>0.36741824490713898</v>
      </c>
      <c r="Z748">
        <v>2.4030910091225599E-2</v>
      </c>
      <c r="AA748" s="1">
        <v>1.43670465777939E-5</v>
      </c>
    </row>
    <row r="749" spans="1:27" x14ac:dyDescent="0.55000000000000004">
      <c r="A749">
        <v>3026</v>
      </c>
      <c r="B749">
        <v>17.25125645</v>
      </c>
      <c r="C749">
        <v>-10.47511656</v>
      </c>
      <c r="D749">
        <v>-5.8419329769999999</v>
      </c>
      <c r="E749">
        <v>23.653562839999999</v>
      </c>
      <c r="F749">
        <v>8.5671521179999992</v>
      </c>
      <c r="G749">
        <v>17.068988229999999</v>
      </c>
      <c r="H749">
        <v>17.25125645</v>
      </c>
      <c r="I749">
        <v>10.47511656</v>
      </c>
      <c r="J749">
        <v>5.8419329769999999</v>
      </c>
      <c r="K749">
        <v>23.653562839999999</v>
      </c>
      <c r="L749">
        <v>8.5671521179999992</v>
      </c>
      <c r="M749">
        <v>17.068988229999999</v>
      </c>
      <c r="N749">
        <v>0.100819387</v>
      </c>
      <c r="O749">
        <v>36.400588990000003</v>
      </c>
      <c r="P749">
        <v>28.0549325146897</v>
      </c>
      <c r="Q749">
        <v>6.3227728604657001</v>
      </c>
      <c r="R749">
        <v>0.64447671079216295</v>
      </c>
      <c r="S749">
        <v>0.42508010615180802</v>
      </c>
      <c r="T749">
        <v>0.29934037751052001</v>
      </c>
      <c r="U749">
        <v>0.124334710017063</v>
      </c>
      <c r="V749">
        <v>0.41875446685789203</v>
      </c>
      <c r="W749">
        <v>0.53120949049702304</v>
      </c>
      <c r="X749">
        <v>0.13744713783068199</v>
      </c>
      <c r="Y749">
        <v>0.45918641991908998</v>
      </c>
      <c r="Z749">
        <v>2.4030910091225599E-2</v>
      </c>
      <c r="AA749">
        <v>1.4476096863999999E-4</v>
      </c>
    </row>
    <row r="750" spans="1:27" x14ac:dyDescent="0.55000000000000004">
      <c r="A750">
        <v>3027</v>
      </c>
      <c r="B750">
        <v>17.332543099999999</v>
      </c>
      <c r="C750">
        <v>-10.250741469999999</v>
      </c>
      <c r="D750">
        <v>-5.6362612240000001</v>
      </c>
      <c r="E750">
        <v>23.816486879999999</v>
      </c>
      <c r="F750">
        <v>8.3807412620000008</v>
      </c>
      <c r="G750">
        <v>17.295914490000001</v>
      </c>
      <c r="H750">
        <v>17.332543099999999</v>
      </c>
      <c r="I750">
        <v>10.250741469999999</v>
      </c>
      <c r="J750">
        <v>5.6362612240000001</v>
      </c>
      <c r="K750">
        <v>23.816486879999999</v>
      </c>
      <c r="L750">
        <v>8.3807412620000008</v>
      </c>
      <c r="M750">
        <v>17.295914490000001</v>
      </c>
      <c r="N750">
        <v>0.121744618</v>
      </c>
      <c r="O750">
        <v>39.743045809999998</v>
      </c>
      <c r="P750">
        <v>28.0549325146897</v>
      </c>
      <c r="Q750">
        <v>27.653605245689</v>
      </c>
      <c r="R750">
        <v>0.64754752942113503</v>
      </c>
      <c r="S750">
        <v>0.41596025100459599</v>
      </c>
      <c r="T750">
        <v>0.28879341639735201</v>
      </c>
      <c r="U750">
        <v>0.12898417218806699</v>
      </c>
      <c r="V750">
        <v>0.40958648977682499</v>
      </c>
      <c r="W750">
        <v>0.54370205343428701</v>
      </c>
      <c r="X750">
        <v>0.167103909661864</v>
      </c>
      <c r="Y750">
        <v>0.50254044444312895</v>
      </c>
      <c r="Z750">
        <v>2.4030910091225599E-2</v>
      </c>
      <c r="AA750">
        <v>6.3779684652907399E-4</v>
      </c>
    </row>
    <row r="751" spans="1:27" x14ac:dyDescent="0.55000000000000004">
      <c r="A751">
        <v>3028</v>
      </c>
      <c r="B751">
        <v>17.456656590000001</v>
      </c>
      <c r="C751">
        <v>-9.9470900269999998</v>
      </c>
      <c r="D751">
        <v>-5.3581499250000002</v>
      </c>
      <c r="E751">
        <v>23.885367519999999</v>
      </c>
      <c r="F751">
        <v>8.8381162090000007</v>
      </c>
      <c r="G751">
        <v>17.70338198</v>
      </c>
      <c r="H751">
        <v>17.456656590000001</v>
      </c>
      <c r="I751">
        <v>9.9470900269999998</v>
      </c>
      <c r="J751">
        <v>5.3581499250000002</v>
      </c>
      <c r="K751">
        <v>23.885367519999999</v>
      </c>
      <c r="L751">
        <v>8.8381162090000007</v>
      </c>
      <c r="M751">
        <v>17.70338198</v>
      </c>
      <c r="N751">
        <v>0.14218871299999999</v>
      </c>
      <c r="O751">
        <v>46.472606659999997</v>
      </c>
      <c r="P751">
        <v>14.0274662573449</v>
      </c>
      <c r="Q751">
        <v>41.620440527260499</v>
      </c>
      <c r="R751">
        <v>0.652236245430452</v>
      </c>
      <c r="S751">
        <v>0.40361816269433898</v>
      </c>
      <c r="T751">
        <v>0.27453171534749599</v>
      </c>
      <c r="U751">
        <v>0.130949860799733</v>
      </c>
      <c r="V751">
        <v>0.43208090411259897</v>
      </c>
      <c r="W751">
        <v>0.56613362774267395</v>
      </c>
      <c r="X751">
        <v>0.19607878027189499</v>
      </c>
      <c r="Y751">
        <v>0.58982759932308704</v>
      </c>
      <c r="Z751">
        <v>1.20154550456128E-2</v>
      </c>
      <c r="AA751">
        <v>9.6062301524211505E-4</v>
      </c>
    </row>
    <row r="752" spans="1:27" x14ac:dyDescent="0.55000000000000004">
      <c r="A752">
        <v>3029</v>
      </c>
      <c r="B752">
        <v>17.60789767</v>
      </c>
      <c r="C752">
        <v>-9.5315369820000004</v>
      </c>
      <c r="D752">
        <v>-4.9801692199999996</v>
      </c>
      <c r="E752">
        <v>24.137047320000001</v>
      </c>
      <c r="F752">
        <v>8.1537783699999995</v>
      </c>
      <c r="G752">
        <v>17.676543240000001</v>
      </c>
      <c r="H752">
        <v>17.60789767</v>
      </c>
      <c r="I752">
        <v>9.5315369820000004</v>
      </c>
      <c r="J752">
        <v>4.9801692199999996</v>
      </c>
      <c r="K752">
        <v>24.137047320000001</v>
      </c>
      <c r="L752">
        <v>8.1537783699999995</v>
      </c>
      <c r="M752">
        <v>17.676543240000001</v>
      </c>
      <c r="N752">
        <v>0.157345384</v>
      </c>
      <c r="O752">
        <v>51.477619169999997</v>
      </c>
      <c r="P752">
        <v>14.0274662573449</v>
      </c>
      <c r="Q752">
        <v>43.674592874319401</v>
      </c>
      <c r="R752">
        <v>0.65794977804533805</v>
      </c>
      <c r="S752">
        <v>0.38672776912889001</v>
      </c>
      <c r="T752">
        <v>0.25514865598706499</v>
      </c>
      <c r="U752">
        <v>0.13813219993952999</v>
      </c>
      <c r="V752">
        <v>0.39842410022099001</v>
      </c>
      <c r="W752">
        <v>0.56465612289767797</v>
      </c>
      <c r="X752">
        <v>0.21755992585959799</v>
      </c>
      <c r="Y752">
        <v>0.65474614480833904</v>
      </c>
      <c r="Z752">
        <v>1.20154550456128E-2</v>
      </c>
      <c r="AA752">
        <v>1.0081022128402199E-3</v>
      </c>
    </row>
    <row r="753" spans="1:27" x14ac:dyDescent="0.55000000000000004">
      <c r="A753">
        <v>3030</v>
      </c>
      <c r="B753">
        <v>18.10890101</v>
      </c>
      <c r="C753">
        <v>-8.185052765</v>
      </c>
      <c r="D753">
        <v>-3.8032325779999998</v>
      </c>
      <c r="E753">
        <v>24.221698669999999</v>
      </c>
      <c r="F753">
        <v>7.7207210570000004</v>
      </c>
      <c r="G753">
        <v>17.432847819999999</v>
      </c>
      <c r="H753">
        <v>18.10890101</v>
      </c>
      <c r="I753">
        <v>8.185052765</v>
      </c>
      <c r="J753">
        <v>3.8032325779999998</v>
      </c>
      <c r="K753">
        <v>24.221698669999999</v>
      </c>
      <c r="L753">
        <v>7.7207210570000004</v>
      </c>
      <c r="M753">
        <v>17.432847819999999</v>
      </c>
      <c r="N753">
        <v>6.4924248000000004E-2</v>
      </c>
      <c r="O753">
        <v>19.990417480000001</v>
      </c>
      <c r="P753">
        <v>8.9360155417159906</v>
      </c>
      <c r="Q753">
        <v>50.987391413681699</v>
      </c>
      <c r="R753">
        <v>0.67687650696883594</v>
      </c>
      <c r="S753">
        <v>0.33199914030896399</v>
      </c>
      <c r="T753">
        <v>0.194794694809729</v>
      </c>
      <c r="U753">
        <v>0.14054794687012101</v>
      </c>
      <c r="V753">
        <v>0.37712566511068402</v>
      </c>
      <c r="W753">
        <v>0.55124039757847898</v>
      </c>
      <c r="X753">
        <v>8.6573914630824395E-2</v>
      </c>
      <c r="Y753">
        <v>0.246334910864076</v>
      </c>
      <c r="Z753">
        <v>7.6542898809088796E-3</v>
      </c>
      <c r="AA753">
        <v>1.1771285303588E-3</v>
      </c>
    </row>
  </sheetData>
  <sheetProtection algorithmName="SHA-512" hashValue="A185IUE1dt1tamDmz3LTwQT7C5LTfX/tJ1vi4tEMuw6BZ4mOI3mjhOKNoW6nP+Za8Hawow+9fASeaNeOFjow1A==" saltValue="Fs2IpD/ZsbOaR8ico0lLrQ==" spinCount="100000" sheet="1" objects="1" scenarios="1"/>
  <sortState xmlns:xlrd2="http://schemas.microsoft.com/office/spreadsheetml/2017/richdata2" ref="A2:AA753">
    <sortCondition ref="A1:A7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19EA-10E1-46DE-B7D5-77986236EBFC}">
  <dimension ref="A1:J753"/>
  <sheetViews>
    <sheetView workbookViewId="0">
      <selection activeCell="K16" sqref="K16"/>
    </sheetView>
  </sheetViews>
  <sheetFormatPr defaultRowHeight="14.4" x14ac:dyDescent="0.55000000000000004"/>
  <sheetData>
    <row r="1" spans="1:10" x14ac:dyDescent="0.55000000000000004">
      <c r="A1" t="s">
        <v>0</v>
      </c>
      <c r="B1" t="s">
        <v>16</v>
      </c>
      <c r="C1" t="s">
        <v>43</v>
      </c>
      <c r="D1" t="s">
        <v>54</v>
      </c>
      <c r="F1" t="s">
        <v>42</v>
      </c>
    </row>
    <row r="2" spans="1:10" x14ac:dyDescent="0.55000000000000004">
      <c r="A2">
        <v>1</v>
      </c>
      <c r="B2">
        <v>91.553165586999995</v>
      </c>
      <c r="C2">
        <f>IF(B2&lt;$G$2, $F$2, IF(B2&lt;$G$3, $F$3, IF(B2&lt;$G$4, $F$4, IF(B2&lt;$G$5, $F$5, IF(B2&lt;$G$6, $F$6, IF(B2&lt;$G$7, $F$7, IF(B2&lt;$G$8, $F$8, IF(B2&lt;$G$9, $F$9, IF(B2&lt;$G$10, $F$10, $F$11)))))))))</f>
        <v>0.8</v>
      </c>
      <c r="D2">
        <f>C2*10</f>
        <v>8</v>
      </c>
      <c r="F2">
        <v>0.1</v>
      </c>
      <c r="G2" s="3">
        <f>PERCENTILE($B$2:$B$753, 0.1)</f>
        <v>2.5545629970019998</v>
      </c>
    </row>
    <row r="3" spans="1:10" x14ac:dyDescent="0.55000000000000004">
      <c r="A3">
        <v>2</v>
      </c>
      <c r="B3">
        <v>122.52264055400001</v>
      </c>
      <c r="C3">
        <f>IF(B3&lt;$G$2, $F$2, IF(B3&lt;$G$3, $F$3, IF(B3&lt;$G$4, $F$4, IF(B3&lt;$G$5, $F$5, IF(B3&lt;$G$6, $F$6, IF(B3&lt;$G$7, $F$7, IF(B3&lt;$G$8, $F$8, IF(B3&lt;$G$9, $F$9, IF(B3&lt;$G$10, $F$10, $F$11)))))))))</f>
        <v>0.9</v>
      </c>
      <c r="D3">
        <f t="shared" ref="D3:D66" si="0">C3*10</f>
        <v>9</v>
      </c>
      <c r="F3">
        <v>0.2</v>
      </c>
      <c r="G3" s="3">
        <f>PERCENTILE($B$2:$B$753, 0.2)</f>
        <v>5.4300292894940005</v>
      </c>
    </row>
    <row r="4" spans="1:10" x14ac:dyDescent="0.55000000000000004">
      <c r="A4">
        <v>3</v>
      </c>
      <c r="B4">
        <v>97.451311632100001</v>
      </c>
      <c r="C4">
        <f>IF(B4&lt;$G$2, $F$2, IF(B4&lt;$G$3, $F$3, IF(B4&lt;$G$4, $F$4, IF(B4&lt;$G$5, $F$5, IF(B4&lt;$G$6, $F$6, IF(B4&lt;$G$7, $F$7, IF(B4&lt;$G$8, $F$8, IF(B4&lt;$G$9, $F$9, IF(B4&lt;$G$10, $F$10, $F$11)))))))))</f>
        <v>0.8</v>
      </c>
      <c r="D4">
        <f t="shared" si="0"/>
        <v>8</v>
      </c>
      <c r="F4">
        <v>0.3</v>
      </c>
      <c r="G4" s="3">
        <f>PERCENTILE($B$2:$B$753, 0.3)</f>
        <v>10.382761019769999</v>
      </c>
    </row>
    <row r="5" spans="1:10" x14ac:dyDescent="0.55000000000000004">
      <c r="A5">
        <v>4</v>
      </c>
      <c r="B5">
        <v>113.939176422</v>
      </c>
      <c r="C5">
        <f>IF(B5&lt;$G$2, $F$2, IF(B5&lt;$G$3, $F$3, IF(B5&lt;$G$4, $F$4, IF(B5&lt;$G$5, $F$5, IF(B5&lt;$G$6, $F$6, IF(B5&lt;$G$7, $F$7, IF(B5&lt;$G$8, $F$8, IF(B5&lt;$G$9, $F$9, IF(B5&lt;$G$10, $F$10, $F$11)))))))))</f>
        <v>0.9</v>
      </c>
      <c r="D5">
        <f t="shared" si="0"/>
        <v>9</v>
      </c>
      <c r="F5">
        <v>0.4</v>
      </c>
      <c r="G5" s="3">
        <f>PERCENTILE($B$2:$B$753, 0.4)</f>
        <v>18.102797129541418</v>
      </c>
    </row>
    <row r="6" spans="1:10" x14ac:dyDescent="0.55000000000000004">
      <c r="A6">
        <v>5</v>
      </c>
      <c r="B6">
        <v>115.35458004199999</v>
      </c>
      <c r="C6">
        <f>IF(B6&lt;$G$2, $F$2, IF(B6&lt;$G$3, $F$3, IF(B6&lt;$G$4, $F$4, IF(B6&lt;$G$5, $F$5, IF(B6&lt;$G$6, $F$6, IF(B6&lt;$G$7, $F$7, IF(B6&lt;$G$8, $F$8, IF(B6&lt;$G$9, $F$9, IF(B6&lt;$G$10, $F$10, $F$11)))))))))</f>
        <v>0.9</v>
      </c>
      <c r="D6">
        <f t="shared" si="0"/>
        <v>9</v>
      </c>
      <c r="F6">
        <v>0.5</v>
      </c>
      <c r="G6" s="3">
        <f>PERCENTILE($B$2:$B$753, 0.5)</f>
        <v>25.764637026621202</v>
      </c>
    </row>
    <row r="7" spans="1:10" x14ac:dyDescent="0.55000000000000004">
      <c r="A7">
        <v>6</v>
      </c>
      <c r="B7">
        <v>176.06916353400001</v>
      </c>
      <c r="C7">
        <f>IF(B7&lt;$G$2, $F$2, IF(B7&lt;$G$3, $F$3, IF(B7&lt;$G$4, $F$4, IF(B7&lt;$G$5, $F$5, IF(B7&lt;$G$6, $F$6, IF(B7&lt;$G$7, $F$7, IF(B7&lt;$G$8, $F$8, IF(B7&lt;$G$9, $F$9, IF(B7&lt;$G$10, $F$10, $F$11)))))))))</f>
        <v>0.9</v>
      </c>
      <c r="D7">
        <f t="shared" si="0"/>
        <v>9</v>
      </c>
      <c r="F7">
        <v>0.6</v>
      </c>
      <c r="G7" s="3">
        <f>PERCENTILE($B$2:$B$753, 0.6)</f>
        <v>41.138725153759978</v>
      </c>
    </row>
    <row r="8" spans="1:10" x14ac:dyDescent="0.55000000000000004">
      <c r="A8">
        <v>7</v>
      </c>
      <c r="B8">
        <v>17.807912798699999</v>
      </c>
      <c r="C8">
        <f>IF(B8&lt;$G$2, $F$2, IF(B8&lt;$G$3, $F$3, IF(B8&lt;$G$4, $F$4, IF(B8&lt;$G$5, $F$5, IF(B8&lt;$G$6, $F$6, IF(B8&lt;$G$7, $F$7, IF(B8&lt;$G$8, $F$8, IF(B8&lt;$G$9, $F$9, IF(B8&lt;$G$10, $F$10, $F$11)))))))))</f>
        <v>0.4</v>
      </c>
      <c r="D8">
        <f t="shared" si="0"/>
        <v>4</v>
      </c>
      <c r="F8">
        <v>0.7</v>
      </c>
      <c r="G8" s="3">
        <f>PERCENTILE($B$2:$B$753, 0.7)</f>
        <v>64.053172004247401</v>
      </c>
    </row>
    <row r="9" spans="1:10" x14ac:dyDescent="0.55000000000000004">
      <c r="A9">
        <v>8</v>
      </c>
      <c r="B9">
        <v>48.649520453900003</v>
      </c>
      <c r="C9">
        <f>IF(B9&lt;$G$2, $F$2, IF(B9&lt;$G$3, $F$3, IF(B9&lt;$G$4, $F$4, IF(B9&lt;$G$5, $F$5, IF(B9&lt;$G$6, $F$6, IF(B9&lt;$G$7, $F$7, IF(B9&lt;$G$8, $F$8, IF(B9&lt;$G$9, $F$9, IF(B9&lt;$G$10, $F$10, $F$11)))))))))</f>
        <v>0.7</v>
      </c>
      <c r="D9">
        <f t="shared" si="0"/>
        <v>7</v>
      </c>
      <c r="F9">
        <v>0.8</v>
      </c>
      <c r="G9" s="3">
        <f>PERCENTILE($B$2:$B$753, 0.8)</f>
        <v>113.45374074600016</v>
      </c>
    </row>
    <row r="10" spans="1:10" x14ac:dyDescent="0.55000000000000004">
      <c r="A10">
        <v>9</v>
      </c>
      <c r="B10">
        <v>148.57936965799999</v>
      </c>
      <c r="C10">
        <f>IF(B10&lt;$G$2, $F$2, IF(B10&lt;$G$3, $F$3, IF(B10&lt;$G$4, $F$4, IF(B10&lt;$G$5, $F$5, IF(B10&lt;$G$6, $F$6, IF(B10&lt;$G$7, $F$7, IF(B10&lt;$G$8, $F$8, IF(B10&lt;$G$9, $F$9, IF(B10&lt;$G$10, $F$10, $F$11)))))))))</f>
        <v>0.9</v>
      </c>
      <c r="D10">
        <f t="shared" si="0"/>
        <v>9</v>
      </c>
      <c r="F10">
        <v>0.9</v>
      </c>
      <c r="G10" s="3">
        <f>PERCENTILE($B$2:$B$753, 0.9)</f>
        <v>357.830486354051</v>
      </c>
    </row>
    <row r="11" spans="1:10" x14ac:dyDescent="0.55000000000000004">
      <c r="A11">
        <v>10</v>
      </c>
      <c r="B11">
        <v>118.31326454400001</v>
      </c>
      <c r="C11">
        <f>IF(B11&lt;$G$2, $F$2, IF(B11&lt;$G$3, $F$3, IF(B11&lt;$G$4, $F$4, IF(B11&lt;$G$5, $F$5, IF(B11&lt;$G$6, $F$6, IF(B11&lt;$G$7, $F$7, IF(B11&lt;$G$8, $F$8, IF(B11&lt;$G$9, $F$9, IF(B11&lt;$G$10, $F$10, $F$11)))))))))</f>
        <v>0.9</v>
      </c>
      <c r="D11">
        <f t="shared" si="0"/>
        <v>9</v>
      </c>
      <c r="F11">
        <v>1</v>
      </c>
      <c r="G11" s="3">
        <f>PERCENTILE($B$2:$B$753, 1)</f>
        <v>43264.319745777997</v>
      </c>
    </row>
    <row r="12" spans="1:10" x14ac:dyDescent="0.55000000000000004">
      <c r="A12">
        <v>11</v>
      </c>
      <c r="B12">
        <v>288.659256105</v>
      </c>
      <c r="C12">
        <f>IF(B12&lt;$G$2, $F$2, IF(B12&lt;$G$3, $F$3, IF(B12&lt;$G$4, $F$4, IF(B12&lt;$G$5, $F$5, IF(B12&lt;$G$6, $F$6, IF(B12&lt;$G$7, $F$7, IF(B12&lt;$G$8, $F$8, IF(B12&lt;$G$9, $F$9, IF(B12&lt;$G$10, $F$10, $F$11)))))))))</f>
        <v>0.9</v>
      </c>
      <c r="D12">
        <f t="shared" si="0"/>
        <v>9</v>
      </c>
      <c r="J12" s="2"/>
    </row>
    <row r="13" spans="1:10" x14ac:dyDescent="0.55000000000000004">
      <c r="A13">
        <v>12</v>
      </c>
      <c r="B13">
        <v>17.887168396900002</v>
      </c>
      <c r="C13">
        <f>IF(B13&lt;$G$2, $F$2, IF(B13&lt;$G$3, $F$3, IF(B13&lt;$G$4, $F$4, IF(B13&lt;$G$5, $F$5, IF(B13&lt;$G$6, $F$6, IF(B13&lt;$G$7, $F$7, IF(B13&lt;$G$8, $F$8, IF(B13&lt;$G$9, $F$9, IF(B13&lt;$G$10, $F$10, $F$11)))))))))</f>
        <v>0.4</v>
      </c>
      <c r="D13">
        <f t="shared" si="0"/>
        <v>4</v>
      </c>
    </row>
    <row r="14" spans="1:10" x14ac:dyDescent="0.55000000000000004">
      <c r="A14">
        <v>13</v>
      </c>
      <c r="B14">
        <v>777.944963508</v>
      </c>
      <c r="C14">
        <f>IF(B14&lt;$G$2, $F$2, IF(B14&lt;$G$3, $F$3, IF(B14&lt;$G$4, $F$4, IF(B14&lt;$G$5, $F$5, IF(B14&lt;$G$6, $F$6, IF(B14&lt;$G$7, $F$7, IF(B14&lt;$G$8, $F$8, IF(B14&lt;$G$9, $F$9, IF(B14&lt;$G$10, $F$10, $F$11)))))))))</f>
        <v>1</v>
      </c>
      <c r="D14">
        <f t="shared" si="0"/>
        <v>10</v>
      </c>
      <c r="F14" t="s">
        <v>53</v>
      </c>
    </row>
    <row r="15" spans="1:10" x14ac:dyDescent="0.55000000000000004">
      <c r="A15">
        <v>14</v>
      </c>
      <c r="B15">
        <v>392.72085852800001</v>
      </c>
      <c r="C15">
        <f>IF(B15&lt;$G$2, $F$2, IF(B15&lt;$G$3, $F$3, IF(B15&lt;$G$4, $F$4, IF(B15&lt;$G$5, $F$5, IF(B15&lt;$G$6, $F$6, IF(B15&lt;$G$7, $F$7, IF(B15&lt;$G$8, $F$8, IF(B15&lt;$G$9, $F$9, IF(B15&lt;$G$10, $F$10, $F$11)))))))))</f>
        <v>1</v>
      </c>
      <c r="D15">
        <f t="shared" si="0"/>
        <v>10</v>
      </c>
      <c r="F15" t="s">
        <v>58</v>
      </c>
    </row>
    <row r="16" spans="1:10" x14ac:dyDescent="0.55000000000000004">
      <c r="A16">
        <v>15</v>
      </c>
      <c r="B16">
        <v>897.87741329100004</v>
      </c>
      <c r="C16">
        <f>IF(B16&lt;$G$2, $F$2, IF(B16&lt;$G$3, $F$3, IF(B16&lt;$G$4, $F$4, IF(B16&lt;$G$5, $F$5, IF(B16&lt;$G$6, $F$6, IF(B16&lt;$G$7, $F$7, IF(B16&lt;$G$8, $F$8, IF(B16&lt;$G$9, $F$9, IF(B16&lt;$G$10, $F$10, $F$11)))))))))</f>
        <v>1</v>
      </c>
      <c r="D16">
        <f t="shared" si="0"/>
        <v>10</v>
      </c>
      <c r="F16" t="s">
        <v>59</v>
      </c>
    </row>
    <row r="17" spans="1:4" x14ac:dyDescent="0.55000000000000004">
      <c r="A17">
        <v>16</v>
      </c>
      <c r="B17">
        <v>610.45355193700004</v>
      </c>
      <c r="C17">
        <f>IF(B17&lt;$G$2, $F$2, IF(B17&lt;$G$3, $F$3, IF(B17&lt;$G$4, $F$4, IF(B17&lt;$G$5, $F$5, IF(B17&lt;$G$6, $F$6, IF(B17&lt;$G$7, $F$7, IF(B17&lt;$G$8, $F$8, IF(B17&lt;$G$9, $F$9, IF(B17&lt;$G$10, $F$10, $F$11)))))))))</f>
        <v>1</v>
      </c>
      <c r="D17">
        <f t="shared" si="0"/>
        <v>10</v>
      </c>
    </row>
    <row r="18" spans="1:4" x14ac:dyDescent="0.55000000000000004">
      <c r="A18">
        <v>17</v>
      </c>
      <c r="B18">
        <v>78.540007516599999</v>
      </c>
      <c r="C18">
        <f>IF(B18&lt;$G$2, $F$2, IF(B18&lt;$G$3, $F$3, IF(B18&lt;$G$4, $F$4, IF(B18&lt;$G$5, $F$5, IF(B18&lt;$G$6, $F$6, IF(B18&lt;$G$7, $F$7, IF(B18&lt;$G$8, $F$8, IF(B18&lt;$G$9, $F$9, IF(B18&lt;$G$10, $F$10, $F$11)))))))))</f>
        <v>0.8</v>
      </c>
      <c r="D18">
        <f t="shared" si="0"/>
        <v>8</v>
      </c>
    </row>
    <row r="19" spans="1:4" x14ac:dyDescent="0.55000000000000004">
      <c r="A19">
        <v>18</v>
      </c>
      <c r="B19">
        <v>76.314304927899997</v>
      </c>
      <c r="C19">
        <f>IF(B19&lt;$G$2, $F$2, IF(B19&lt;$G$3, $F$3, IF(B19&lt;$G$4, $F$4, IF(B19&lt;$G$5, $F$5, IF(B19&lt;$G$6, $F$6, IF(B19&lt;$G$7, $F$7, IF(B19&lt;$G$8, $F$8, IF(B19&lt;$G$9, $F$9, IF(B19&lt;$G$10, $F$10, $F$11)))))))))</f>
        <v>0.8</v>
      </c>
      <c r="D19">
        <f t="shared" si="0"/>
        <v>8</v>
      </c>
    </row>
    <row r="20" spans="1:4" x14ac:dyDescent="0.55000000000000004">
      <c r="A20">
        <v>19</v>
      </c>
      <c r="B20">
        <v>46.0345643044</v>
      </c>
      <c r="C20">
        <f>IF(B20&lt;$G$2, $F$2, IF(B20&lt;$G$3, $F$3, IF(B20&lt;$G$4, $F$4, IF(B20&lt;$G$5, $F$5, IF(B20&lt;$G$6, $F$6, IF(B20&lt;$G$7, $F$7, IF(B20&lt;$G$8, $F$8, IF(B20&lt;$G$9, $F$9, IF(B20&lt;$G$10, $F$10, $F$11)))))))))</f>
        <v>0.7</v>
      </c>
      <c r="D20">
        <f t="shared" si="0"/>
        <v>7</v>
      </c>
    </row>
    <row r="21" spans="1:4" x14ac:dyDescent="0.55000000000000004">
      <c r="A21">
        <v>20</v>
      </c>
      <c r="B21">
        <v>39.004147435699998</v>
      </c>
      <c r="C21">
        <f>IF(B21&lt;$G$2, $F$2, IF(B21&lt;$G$3, $F$3, IF(B21&lt;$G$4, $F$4, IF(B21&lt;$G$5, $F$5, IF(B21&lt;$G$6, $F$6, IF(B21&lt;$G$7, $F$7, IF(B21&lt;$G$8, $F$8, IF(B21&lt;$G$9, $F$9, IF(B21&lt;$G$10, $F$10, $F$11)))))))))</f>
        <v>0.6</v>
      </c>
      <c r="D21">
        <f t="shared" si="0"/>
        <v>6</v>
      </c>
    </row>
    <row r="22" spans="1:4" x14ac:dyDescent="0.55000000000000004">
      <c r="A22">
        <v>21</v>
      </c>
      <c r="B22">
        <v>31.815892034699999</v>
      </c>
      <c r="C22">
        <f>IF(B22&lt;$G$2, $F$2, IF(B22&lt;$G$3, $F$3, IF(B22&lt;$G$4, $F$4, IF(B22&lt;$G$5, $F$5, IF(B22&lt;$G$6, $F$6, IF(B22&lt;$G$7, $F$7, IF(B22&lt;$G$8, $F$8, IF(B22&lt;$G$9, $F$9, IF(B22&lt;$G$10, $F$10, $F$11)))))))))</f>
        <v>0.6</v>
      </c>
      <c r="D22">
        <f t="shared" si="0"/>
        <v>6</v>
      </c>
    </row>
    <row r="23" spans="1:4" x14ac:dyDescent="0.55000000000000004">
      <c r="A23">
        <v>22</v>
      </c>
      <c r="B23">
        <v>294.34733440100001</v>
      </c>
      <c r="C23">
        <f>IF(B23&lt;$G$2, $F$2, IF(B23&lt;$G$3, $F$3, IF(B23&lt;$G$4, $F$4, IF(B23&lt;$G$5, $F$5, IF(B23&lt;$G$6, $F$6, IF(B23&lt;$G$7, $F$7, IF(B23&lt;$G$8, $F$8, IF(B23&lt;$G$9, $F$9, IF(B23&lt;$G$10, $F$10, $F$11)))))))))</f>
        <v>0.9</v>
      </c>
      <c r="D23">
        <f t="shared" si="0"/>
        <v>9</v>
      </c>
    </row>
    <row r="24" spans="1:4" x14ac:dyDescent="0.55000000000000004">
      <c r="A24">
        <v>23</v>
      </c>
      <c r="B24">
        <v>81.966238031900005</v>
      </c>
      <c r="C24">
        <f>IF(B24&lt;$G$2, $F$2, IF(B24&lt;$G$3, $F$3, IF(B24&lt;$G$4, $F$4, IF(B24&lt;$G$5, $F$5, IF(B24&lt;$G$6, $F$6, IF(B24&lt;$G$7, $F$7, IF(B24&lt;$G$8, $F$8, IF(B24&lt;$G$9, $F$9, IF(B24&lt;$G$10, $F$10, $F$11)))))))))</f>
        <v>0.8</v>
      </c>
      <c r="D24">
        <f t="shared" si="0"/>
        <v>8</v>
      </c>
    </row>
    <row r="25" spans="1:4" x14ac:dyDescent="0.55000000000000004">
      <c r="A25">
        <v>24</v>
      </c>
      <c r="B25">
        <v>219.707030624</v>
      </c>
      <c r="C25">
        <f>IF(B25&lt;$G$2, $F$2, IF(B25&lt;$G$3, $F$3, IF(B25&lt;$G$4, $F$4, IF(B25&lt;$G$5, $F$5, IF(B25&lt;$G$6, $F$6, IF(B25&lt;$G$7, $F$7, IF(B25&lt;$G$8, $F$8, IF(B25&lt;$G$9, $F$9, IF(B25&lt;$G$10, $F$10, $F$11)))))))))</f>
        <v>0.9</v>
      </c>
      <c r="D25">
        <f t="shared" si="0"/>
        <v>9</v>
      </c>
    </row>
    <row r="26" spans="1:4" x14ac:dyDescent="0.55000000000000004">
      <c r="A26">
        <v>25</v>
      </c>
      <c r="B26">
        <v>868.92184513100005</v>
      </c>
      <c r="C26">
        <f>IF(B26&lt;$G$2, $F$2, IF(B26&lt;$G$3, $F$3, IF(B26&lt;$G$4, $F$4, IF(B26&lt;$G$5, $F$5, IF(B26&lt;$G$6, $F$6, IF(B26&lt;$G$7, $F$7, IF(B26&lt;$G$8, $F$8, IF(B26&lt;$G$9, $F$9, IF(B26&lt;$G$10, $F$10, $F$11)))))))))</f>
        <v>1</v>
      </c>
      <c r="D26">
        <f t="shared" si="0"/>
        <v>10</v>
      </c>
    </row>
    <row r="27" spans="1:4" x14ac:dyDescent="0.55000000000000004">
      <c r="A27">
        <v>26</v>
      </c>
      <c r="B27">
        <v>18.518564032699999</v>
      </c>
      <c r="C27">
        <f>IF(B27&lt;$G$2, $F$2, IF(B27&lt;$G$3, $F$3, IF(B27&lt;$G$4, $F$4, IF(B27&lt;$G$5, $F$5, IF(B27&lt;$G$6, $F$6, IF(B27&lt;$G$7, $F$7, IF(B27&lt;$G$8, $F$8, IF(B27&lt;$G$9, $F$9, IF(B27&lt;$G$10, $F$10, $F$11)))))))))</f>
        <v>0.5</v>
      </c>
      <c r="D27">
        <f t="shared" si="0"/>
        <v>5</v>
      </c>
    </row>
    <row r="28" spans="1:4" x14ac:dyDescent="0.55000000000000004">
      <c r="A28">
        <v>27</v>
      </c>
      <c r="B28">
        <v>8.9218758058700001</v>
      </c>
      <c r="C28">
        <f>IF(B28&lt;$G$2, $F$2, IF(B28&lt;$G$3, $F$3, IF(B28&lt;$G$4, $F$4, IF(B28&lt;$G$5, $F$5, IF(B28&lt;$G$6, $F$6, IF(B28&lt;$G$7, $F$7, IF(B28&lt;$G$8, $F$8, IF(B28&lt;$G$9, $F$9, IF(B28&lt;$G$10, $F$10, $F$11)))))))))</f>
        <v>0.3</v>
      </c>
      <c r="D28">
        <f t="shared" si="0"/>
        <v>3</v>
      </c>
    </row>
    <row r="29" spans="1:4" x14ac:dyDescent="0.55000000000000004">
      <c r="A29">
        <v>28</v>
      </c>
      <c r="B29">
        <v>98.849055115599995</v>
      </c>
      <c r="C29">
        <f>IF(B29&lt;$G$2, $F$2, IF(B29&lt;$G$3, $F$3, IF(B29&lt;$G$4, $F$4, IF(B29&lt;$G$5, $F$5, IF(B29&lt;$G$6, $F$6, IF(B29&lt;$G$7, $F$7, IF(B29&lt;$G$8, $F$8, IF(B29&lt;$G$9, $F$9, IF(B29&lt;$G$10, $F$10, $F$11)))))))))</f>
        <v>0.8</v>
      </c>
      <c r="D29">
        <f t="shared" si="0"/>
        <v>8</v>
      </c>
    </row>
    <row r="30" spans="1:4" x14ac:dyDescent="0.55000000000000004">
      <c r="A30">
        <v>29</v>
      </c>
      <c r="B30">
        <v>42.255730422699997</v>
      </c>
      <c r="C30">
        <f>IF(B30&lt;$G$2, $F$2, IF(B30&lt;$G$3, $F$3, IF(B30&lt;$G$4, $F$4, IF(B30&lt;$G$5, $F$5, IF(B30&lt;$G$6, $F$6, IF(B30&lt;$G$7, $F$7, IF(B30&lt;$G$8, $F$8, IF(B30&lt;$G$9, $F$9, IF(B30&lt;$G$10, $F$10, $F$11)))))))))</f>
        <v>0.7</v>
      </c>
      <c r="D30">
        <f t="shared" si="0"/>
        <v>7</v>
      </c>
    </row>
    <row r="31" spans="1:4" x14ac:dyDescent="0.55000000000000004">
      <c r="A31">
        <v>30</v>
      </c>
      <c r="B31">
        <v>54.2922318834</v>
      </c>
      <c r="C31">
        <f>IF(B31&lt;$G$2, $F$2, IF(B31&lt;$G$3, $F$3, IF(B31&lt;$G$4, $F$4, IF(B31&lt;$G$5, $F$5, IF(B31&lt;$G$6, $F$6, IF(B31&lt;$G$7, $F$7, IF(B31&lt;$G$8, $F$8, IF(B31&lt;$G$9, $F$9, IF(B31&lt;$G$10, $F$10, $F$11)))))))))</f>
        <v>0.7</v>
      </c>
      <c r="D31">
        <f t="shared" si="0"/>
        <v>7</v>
      </c>
    </row>
    <row r="32" spans="1:4" x14ac:dyDescent="0.55000000000000004">
      <c r="A32">
        <v>31</v>
      </c>
      <c r="B32">
        <v>83.502962350900006</v>
      </c>
      <c r="C32">
        <f>IF(B32&lt;$G$2, $F$2, IF(B32&lt;$G$3, $F$3, IF(B32&lt;$G$4, $F$4, IF(B32&lt;$G$5, $F$5, IF(B32&lt;$G$6, $F$6, IF(B32&lt;$G$7, $F$7, IF(B32&lt;$G$8, $F$8, IF(B32&lt;$G$9, $F$9, IF(B32&lt;$G$10, $F$10, $F$11)))))))))</f>
        <v>0.8</v>
      </c>
      <c r="D32">
        <f t="shared" si="0"/>
        <v>8</v>
      </c>
    </row>
    <row r="33" spans="1:4" x14ac:dyDescent="0.55000000000000004">
      <c r="A33">
        <v>32</v>
      </c>
      <c r="B33">
        <v>5.9599045978299996</v>
      </c>
      <c r="C33">
        <f>IF(B33&lt;$G$2, $F$2, IF(B33&lt;$G$3, $F$3, IF(B33&lt;$G$4, $F$4, IF(B33&lt;$G$5, $F$5, IF(B33&lt;$G$6, $F$6, IF(B33&lt;$G$7, $F$7, IF(B33&lt;$G$8, $F$8, IF(B33&lt;$G$9, $F$9, IF(B33&lt;$G$10, $F$10, $F$11)))))))))</f>
        <v>0.3</v>
      </c>
      <c r="D33">
        <f t="shared" si="0"/>
        <v>3</v>
      </c>
    </row>
    <row r="34" spans="1:4" x14ac:dyDescent="0.55000000000000004">
      <c r="A34">
        <v>33</v>
      </c>
      <c r="B34">
        <v>292.20454171400002</v>
      </c>
      <c r="C34">
        <f>IF(B34&lt;$G$2, $F$2, IF(B34&lt;$G$3, $F$3, IF(B34&lt;$G$4, $F$4, IF(B34&lt;$G$5, $F$5, IF(B34&lt;$G$6, $F$6, IF(B34&lt;$G$7, $F$7, IF(B34&lt;$G$8, $F$8, IF(B34&lt;$G$9, $F$9, IF(B34&lt;$G$10, $F$10, $F$11)))))))))</f>
        <v>0.9</v>
      </c>
      <c r="D34">
        <f t="shared" si="0"/>
        <v>9</v>
      </c>
    </row>
    <row r="35" spans="1:4" x14ac:dyDescent="0.55000000000000004">
      <c r="A35">
        <v>34</v>
      </c>
      <c r="B35">
        <v>109.60327150800001</v>
      </c>
      <c r="C35">
        <f>IF(B35&lt;$G$2, $F$2, IF(B35&lt;$G$3, $F$3, IF(B35&lt;$G$4, $F$4, IF(B35&lt;$G$5, $F$5, IF(B35&lt;$G$6, $F$6, IF(B35&lt;$G$7, $F$7, IF(B35&lt;$G$8, $F$8, IF(B35&lt;$G$9, $F$9, IF(B35&lt;$G$10, $F$10, $F$11)))))))))</f>
        <v>0.8</v>
      </c>
      <c r="D35">
        <f t="shared" si="0"/>
        <v>8</v>
      </c>
    </row>
    <row r="36" spans="1:4" x14ac:dyDescent="0.55000000000000004">
      <c r="A36">
        <v>35</v>
      </c>
      <c r="B36">
        <v>19540.077242700001</v>
      </c>
      <c r="C36">
        <f>IF(B36&lt;$G$2, $F$2, IF(B36&lt;$G$3, $F$3, IF(B36&lt;$G$4, $F$4, IF(B36&lt;$G$5, $F$5, IF(B36&lt;$G$6, $F$6, IF(B36&lt;$G$7, $F$7, IF(B36&lt;$G$8, $F$8, IF(B36&lt;$G$9, $F$9, IF(B36&lt;$G$10, $F$10, $F$11)))))))))</f>
        <v>1</v>
      </c>
      <c r="D36">
        <f t="shared" si="0"/>
        <v>10</v>
      </c>
    </row>
    <row r="37" spans="1:4" x14ac:dyDescent="0.55000000000000004">
      <c r="A37">
        <v>36</v>
      </c>
      <c r="B37">
        <v>162.54542768499999</v>
      </c>
      <c r="C37">
        <f>IF(B37&lt;$G$2, $F$2, IF(B37&lt;$G$3, $F$3, IF(B37&lt;$G$4, $F$4, IF(B37&lt;$G$5, $F$5, IF(B37&lt;$G$6, $F$6, IF(B37&lt;$G$7, $F$7, IF(B37&lt;$G$8, $F$8, IF(B37&lt;$G$9, $F$9, IF(B37&lt;$G$10, $F$10, $F$11)))))))))</f>
        <v>0.9</v>
      </c>
      <c r="D37">
        <f t="shared" si="0"/>
        <v>9</v>
      </c>
    </row>
    <row r="38" spans="1:4" x14ac:dyDescent="0.55000000000000004">
      <c r="A38">
        <v>37</v>
      </c>
      <c r="B38">
        <v>33.329543006900003</v>
      </c>
      <c r="C38">
        <f>IF(B38&lt;$G$2, $F$2, IF(B38&lt;$G$3, $F$3, IF(B38&lt;$G$4, $F$4, IF(B38&lt;$G$5, $F$5, IF(B38&lt;$G$6, $F$6, IF(B38&lt;$G$7, $F$7, IF(B38&lt;$G$8, $F$8, IF(B38&lt;$G$9, $F$9, IF(B38&lt;$G$10, $F$10, $F$11)))))))))</f>
        <v>0.6</v>
      </c>
      <c r="D38">
        <f t="shared" si="0"/>
        <v>6</v>
      </c>
    </row>
    <row r="39" spans="1:4" x14ac:dyDescent="0.55000000000000004">
      <c r="A39">
        <v>38</v>
      </c>
      <c r="B39">
        <v>17.045491037800002</v>
      </c>
      <c r="C39">
        <f>IF(B39&lt;$G$2, $F$2, IF(B39&lt;$G$3, $F$3, IF(B39&lt;$G$4, $F$4, IF(B39&lt;$G$5, $F$5, IF(B39&lt;$G$6, $F$6, IF(B39&lt;$G$7, $F$7, IF(B39&lt;$G$8, $F$8, IF(B39&lt;$G$9, $F$9, IF(B39&lt;$G$10, $F$10, $F$11)))))))))</f>
        <v>0.4</v>
      </c>
      <c r="D39">
        <f t="shared" si="0"/>
        <v>4</v>
      </c>
    </row>
    <row r="40" spans="1:4" x14ac:dyDescent="0.55000000000000004">
      <c r="A40">
        <v>39</v>
      </c>
      <c r="B40">
        <v>7.9299348254600002</v>
      </c>
      <c r="C40">
        <f>IF(B40&lt;$G$2, $F$2, IF(B40&lt;$G$3, $F$3, IF(B40&lt;$G$4, $F$4, IF(B40&lt;$G$5, $F$5, IF(B40&lt;$G$6, $F$6, IF(B40&lt;$G$7, $F$7, IF(B40&lt;$G$8, $F$8, IF(B40&lt;$G$9, $F$9, IF(B40&lt;$G$10, $F$10, $F$11)))))))))</f>
        <v>0.3</v>
      </c>
      <c r="D40">
        <f t="shared" si="0"/>
        <v>3</v>
      </c>
    </row>
    <row r="41" spans="1:4" x14ac:dyDescent="0.55000000000000004">
      <c r="A41">
        <v>40</v>
      </c>
      <c r="B41">
        <v>15.613317647600001</v>
      </c>
      <c r="C41">
        <f>IF(B41&lt;$G$2, $F$2, IF(B41&lt;$G$3, $F$3, IF(B41&lt;$G$4, $F$4, IF(B41&lt;$G$5, $F$5, IF(B41&lt;$G$6, $F$6, IF(B41&lt;$G$7, $F$7, IF(B41&lt;$G$8, $F$8, IF(B41&lt;$G$9, $F$9, IF(B41&lt;$G$10, $F$10, $F$11)))))))))</f>
        <v>0.4</v>
      </c>
      <c r="D41">
        <f t="shared" si="0"/>
        <v>4</v>
      </c>
    </row>
    <row r="42" spans="1:4" x14ac:dyDescent="0.55000000000000004">
      <c r="A42">
        <v>41</v>
      </c>
      <c r="B42">
        <v>15.6627962751</v>
      </c>
      <c r="C42">
        <f>IF(B42&lt;$G$2, $F$2, IF(B42&lt;$G$3, $F$3, IF(B42&lt;$G$4, $F$4, IF(B42&lt;$G$5, $F$5, IF(B42&lt;$G$6, $F$6, IF(B42&lt;$G$7, $F$7, IF(B42&lt;$G$8, $F$8, IF(B42&lt;$G$9, $F$9, IF(B42&lt;$G$10, $F$10, $F$11)))))))))</f>
        <v>0.4</v>
      </c>
      <c r="D42">
        <f t="shared" si="0"/>
        <v>4</v>
      </c>
    </row>
    <row r="43" spans="1:4" x14ac:dyDescent="0.55000000000000004">
      <c r="A43">
        <v>42</v>
      </c>
      <c r="B43">
        <v>15.9739320922</v>
      </c>
      <c r="C43">
        <f>IF(B43&lt;$G$2, $F$2, IF(B43&lt;$G$3, $F$3, IF(B43&lt;$G$4, $F$4, IF(B43&lt;$G$5, $F$5, IF(B43&lt;$G$6, $F$6, IF(B43&lt;$G$7, $F$7, IF(B43&lt;$G$8, $F$8, IF(B43&lt;$G$9, $F$9, IF(B43&lt;$G$10, $F$10, $F$11)))))))))</f>
        <v>0.4</v>
      </c>
      <c r="D43">
        <f t="shared" si="0"/>
        <v>4</v>
      </c>
    </row>
    <row r="44" spans="1:4" x14ac:dyDescent="0.55000000000000004">
      <c r="A44">
        <v>43</v>
      </c>
      <c r="B44">
        <v>23.891098130900001</v>
      </c>
      <c r="C44">
        <f>IF(B44&lt;$G$2, $F$2, IF(B44&lt;$G$3, $F$3, IF(B44&lt;$G$4, $F$4, IF(B44&lt;$G$5, $F$5, IF(B44&lt;$G$6, $F$6, IF(B44&lt;$G$7, $F$7, IF(B44&lt;$G$8, $F$8, IF(B44&lt;$G$9, $F$9, IF(B44&lt;$G$10, $F$10, $F$11)))))))))</f>
        <v>0.5</v>
      </c>
      <c r="D44">
        <f t="shared" si="0"/>
        <v>5</v>
      </c>
    </row>
    <row r="45" spans="1:4" x14ac:dyDescent="0.55000000000000004">
      <c r="A45">
        <v>44</v>
      </c>
      <c r="B45">
        <v>103.846660481</v>
      </c>
      <c r="C45">
        <f>IF(B45&lt;$G$2, $F$2, IF(B45&lt;$G$3, $F$3, IF(B45&lt;$G$4, $F$4, IF(B45&lt;$G$5, $F$5, IF(B45&lt;$G$6, $F$6, IF(B45&lt;$G$7, $F$7, IF(B45&lt;$G$8, $F$8, IF(B45&lt;$G$9, $F$9, IF(B45&lt;$G$10, $F$10, $F$11)))))))))</f>
        <v>0.8</v>
      </c>
      <c r="D45">
        <f t="shared" si="0"/>
        <v>8</v>
      </c>
    </row>
    <row r="46" spans="1:4" x14ac:dyDescent="0.55000000000000004">
      <c r="A46">
        <v>45</v>
      </c>
      <c r="B46">
        <v>335.24244837200001</v>
      </c>
      <c r="C46">
        <f>IF(B46&lt;$G$2, $F$2, IF(B46&lt;$G$3, $F$3, IF(B46&lt;$G$4, $F$4, IF(B46&lt;$G$5, $F$5, IF(B46&lt;$G$6, $F$6, IF(B46&lt;$G$7, $F$7, IF(B46&lt;$G$8, $F$8, IF(B46&lt;$G$9, $F$9, IF(B46&lt;$G$10, $F$10, $F$11)))))))))</f>
        <v>0.9</v>
      </c>
      <c r="D46">
        <f t="shared" si="0"/>
        <v>9</v>
      </c>
    </row>
    <row r="47" spans="1:4" x14ac:dyDescent="0.55000000000000004">
      <c r="A47">
        <v>46</v>
      </c>
      <c r="B47">
        <v>36.367585314599999</v>
      </c>
      <c r="C47">
        <f>IF(B47&lt;$G$2, $F$2, IF(B47&lt;$G$3, $F$3, IF(B47&lt;$G$4, $F$4, IF(B47&lt;$G$5, $F$5, IF(B47&lt;$G$6, $F$6, IF(B47&lt;$G$7, $F$7, IF(B47&lt;$G$8, $F$8, IF(B47&lt;$G$9, $F$9, IF(B47&lt;$G$10, $F$10, $F$11)))))))))</f>
        <v>0.6</v>
      </c>
      <c r="D47">
        <f t="shared" si="0"/>
        <v>6</v>
      </c>
    </row>
    <row r="48" spans="1:4" x14ac:dyDescent="0.55000000000000004">
      <c r="A48">
        <v>47</v>
      </c>
      <c r="B48">
        <v>21.851601288600001</v>
      </c>
      <c r="C48">
        <f>IF(B48&lt;$G$2, $F$2, IF(B48&lt;$G$3, $F$3, IF(B48&lt;$G$4, $F$4, IF(B48&lt;$G$5, $F$5, IF(B48&lt;$G$6, $F$6, IF(B48&lt;$G$7, $F$7, IF(B48&lt;$G$8, $F$8, IF(B48&lt;$G$9, $F$9, IF(B48&lt;$G$10, $F$10, $F$11)))))))))</f>
        <v>0.5</v>
      </c>
      <c r="D48">
        <f t="shared" si="0"/>
        <v>5</v>
      </c>
    </row>
    <row r="49" spans="1:4" x14ac:dyDescent="0.55000000000000004">
      <c r="A49">
        <v>48</v>
      </c>
      <c r="B49">
        <v>25.275532629899999</v>
      </c>
      <c r="C49">
        <f>IF(B49&lt;$G$2, $F$2, IF(B49&lt;$G$3, $F$3, IF(B49&lt;$G$4, $F$4, IF(B49&lt;$G$5, $F$5, IF(B49&lt;$G$6, $F$6, IF(B49&lt;$G$7, $F$7, IF(B49&lt;$G$8, $F$8, IF(B49&lt;$G$9, $F$9, IF(B49&lt;$G$10, $F$10, $F$11)))))))))</f>
        <v>0.5</v>
      </c>
      <c r="D49">
        <f t="shared" si="0"/>
        <v>5</v>
      </c>
    </row>
    <row r="50" spans="1:4" x14ac:dyDescent="0.55000000000000004">
      <c r="A50">
        <v>49</v>
      </c>
      <c r="B50">
        <v>18.7464247566</v>
      </c>
      <c r="C50">
        <f>IF(B50&lt;$G$2, $F$2, IF(B50&lt;$G$3, $F$3, IF(B50&lt;$G$4, $F$4, IF(B50&lt;$G$5, $F$5, IF(B50&lt;$G$6, $F$6, IF(B50&lt;$G$7, $F$7, IF(B50&lt;$G$8, $F$8, IF(B50&lt;$G$9, $F$9, IF(B50&lt;$G$10, $F$10, $F$11)))))))))</f>
        <v>0.5</v>
      </c>
      <c r="D50">
        <f t="shared" si="0"/>
        <v>5</v>
      </c>
    </row>
    <row r="51" spans="1:4" x14ac:dyDescent="0.55000000000000004">
      <c r="A51">
        <v>50</v>
      </c>
      <c r="B51">
        <v>84.769910062799994</v>
      </c>
      <c r="C51">
        <f>IF(B51&lt;$G$2, $F$2, IF(B51&lt;$G$3, $F$3, IF(B51&lt;$G$4, $F$4, IF(B51&lt;$G$5, $F$5, IF(B51&lt;$G$6, $F$6, IF(B51&lt;$G$7, $F$7, IF(B51&lt;$G$8, $F$8, IF(B51&lt;$G$9, $F$9, IF(B51&lt;$G$10, $F$10, $F$11)))))))))</f>
        <v>0.8</v>
      </c>
      <c r="D51">
        <f t="shared" si="0"/>
        <v>8</v>
      </c>
    </row>
    <row r="52" spans="1:4" x14ac:dyDescent="0.55000000000000004">
      <c r="A52">
        <v>51</v>
      </c>
      <c r="B52">
        <v>61.226576153099998</v>
      </c>
      <c r="C52">
        <f>IF(B52&lt;$G$2, $F$2, IF(B52&lt;$G$3, $F$3, IF(B52&lt;$G$4, $F$4, IF(B52&lt;$G$5, $F$5, IF(B52&lt;$G$6, $F$6, IF(B52&lt;$G$7, $F$7, IF(B52&lt;$G$8, $F$8, IF(B52&lt;$G$9, $F$9, IF(B52&lt;$G$10, $F$10, $F$11)))))))))</f>
        <v>0.7</v>
      </c>
      <c r="D52">
        <f t="shared" si="0"/>
        <v>7</v>
      </c>
    </row>
    <row r="53" spans="1:4" x14ac:dyDescent="0.55000000000000004">
      <c r="A53">
        <v>52</v>
      </c>
      <c r="B53">
        <v>23.864227598999999</v>
      </c>
      <c r="C53">
        <f>IF(B53&lt;$G$2, $F$2, IF(B53&lt;$G$3, $F$3, IF(B53&lt;$G$4, $F$4, IF(B53&lt;$G$5, $F$5, IF(B53&lt;$G$6, $F$6, IF(B53&lt;$G$7, $F$7, IF(B53&lt;$G$8, $F$8, IF(B53&lt;$G$9, $F$9, IF(B53&lt;$G$10, $F$10, $F$11)))))))))</f>
        <v>0.5</v>
      </c>
      <c r="D53">
        <f t="shared" si="0"/>
        <v>5</v>
      </c>
    </row>
    <row r="54" spans="1:4" x14ac:dyDescent="0.55000000000000004">
      <c r="A54">
        <v>53</v>
      </c>
      <c r="B54">
        <v>59.390693506200002</v>
      </c>
      <c r="C54">
        <f>IF(B54&lt;$G$2, $F$2, IF(B54&lt;$G$3, $F$3, IF(B54&lt;$G$4, $F$4, IF(B54&lt;$G$5, $F$5, IF(B54&lt;$G$6, $F$6, IF(B54&lt;$G$7, $F$7, IF(B54&lt;$G$8, $F$8, IF(B54&lt;$G$9, $F$9, IF(B54&lt;$G$10, $F$10, $F$11)))))))))</f>
        <v>0.7</v>
      </c>
      <c r="D54">
        <f t="shared" si="0"/>
        <v>7</v>
      </c>
    </row>
    <row r="55" spans="1:4" x14ac:dyDescent="0.55000000000000004">
      <c r="A55">
        <v>54</v>
      </c>
      <c r="B55">
        <v>36.448606997200002</v>
      </c>
      <c r="C55">
        <f>IF(B55&lt;$G$2, $F$2, IF(B55&lt;$G$3, $F$3, IF(B55&lt;$G$4, $F$4, IF(B55&lt;$G$5, $F$5, IF(B55&lt;$G$6, $F$6, IF(B55&lt;$G$7, $F$7, IF(B55&lt;$G$8, $F$8, IF(B55&lt;$G$9, $F$9, IF(B55&lt;$G$10, $F$10, $F$11)))))))))</f>
        <v>0.6</v>
      </c>
      <c r="D55">
        <f t="shared" si="0"/>
        <v>6</v>
      </c>
    </row>
    <row r="56" spans="1:4" x14ac:dyDescent="0.55000000000000004">
      <c r="A56">
        <v>55</v>
      </c>
      <c r="B56">
        <v>61.313220858699999</v>
      </c>
      <c r="C56">
        <f>IF(B56&lt;$G$2, $F$2, IF(B56&lt;$G$3, $F$3, IF(B56&lt;$G$4, $F$4, IF(B56&lt;$G$5, $F$5, IF(B56&lt;$G$6, $F$6, IF(B56&lt;$G$7, $F$7, IF(B56&lt;$G$8, $F$8, IF(B56&lt;$G$9, $F$9, IF(B56&lt;$G$10, $F$10, $F$11)))))))))</f>
        <v>0.7</v>
      </c>
      <c r="D56">
        <f t="shared" si="0"/>
        <v>7</v>
      </c>
    </row>
    <row r="57" spans="1:4" x14ac:dyDescent="0.55000000000000004">
      <c r="A57">
        <v>56</v>
      </c>
      <c r="B57">
        <v>106.011768889</v>
      </c>
      <c r="C57">
        <f>IF(B57&lt;$G$2, $F$2, IF(B57&lt;$G$3, $F$3, IF(B57&lt;$G$4, $F$4, IF(B57&lt;$G$5, $F$5, IF(B57&lt;$G$6, $F$6, IF(B57&lt;$G$7, $F$7, IF(B57&lt;$G$8, $F$8, IF(B57&lt;$G$9, $F$9, IF(B57&lt;$G$10, $F$10, $F$11)))))))))</f>
        <v>0.8</v>
      </c>
      <c r="D57">
        <f t="shared" si="0"/>
        <v>8</v>
      </c>
    </row>
    <row r="58" spans="1:4" x14ac:dyDescent="0.55000000000000004">
      <c r="A58">
        <v>57</v>
      </c>
      <c r="B58">
        <v>19.365479071700001</v>
      </c>
      <c r="C58">
        <f>IF(B58&lt;$G$2, $F$2, IF(B58&lt;$G$3, $F$3, IF(B58&lt;$G$4, $F$4, IF(B58&lt;$G$5, $F$5, IF(B58&lt;$G$6, $F$6, IF(B58&lt;$G$7, $F$7, IF(B58&lt;$G$8, $F$8, IF(B58&lt;$G$9, $F$9, IF(B58&lt;$G$10, $F$10, $F$11)))))))))</f>
        <v>0.5</v>
      </c>
      <c r="D58">
        <f t="shared" si="0"/>
        <v>5</v>
      </c>
    </row>
    <row r="59" spans="1:4" x14ac:dyDescent="0.55000000000000004">
      <c r="A59">
        <v>58</v>
      </c>
      <c r="B59">
        <v>11.0051519857</v>
      </c>
      <c r="C59">
        <f>IF(B59&lt;$G$2, $F$2, IF(B59&lt;$G$3, $F$3, IF(B59&lt;$G$4, $F$4, IF(B59&lt;$G$5, $F$5, IF(B59&lt;$G$6, $F$6, IF(B59&lt;$G$7, $F$7, IF(B59&lt;$G$8, $F$8, IF(B59&lt;$G$9, $F$9, IF(B59&lt;$G$10, $F$10, $F$11)))))))))</f>
        <v>0.4</v>
      </c>
      <c r="D59">
        <f t="shared" si="0"/>
        <v>4</v>
      </c>
    </row>
    <row r="60" spans="1:4" x14ac:dyDescent="0.55000000000000004">
      <c r="A60">
        <v>59</v>
      </c>
      <c r="B60">
        <v>42.289000770500003</v>
      </c>
      <c r="C60">
        <f>IF(B60&lt;$G$2, $F$2, IF(B60&lt;$G$3, $F$3, IF(B60&lt;$G$4, $F$4, IF(B60&lt;$G$5, $F$5, IF(B60&lt;$G$6, $F$6, IF(B60&lt;$G$7, $F$7, IF(B60&lt;$G$8, $F$8, IF(B60&lt;$G$9, $F$9, IF(B60&lt;$G$10, $F$10, $F$11)))))))))</f>
        <v>0.7</v>
      </c>
      <c r="D60">
        <f t="shared" si="0"/>
        <v>7</v>
      </c>
    </row>
    <row r="61" spans="1:4" x14ac:dyDescent="0.55000000000000004">
      <c r="A61">
        <v>60</v>
      </c>
      <c r="B61">
        <v>119.05271714600001</v>
      </c>
      <c r="C61">
        <f>IF(B61&lt;$G$2, $F$2, IF(B61&lt;$G$3, $F$3, IF(B61&lt;$G$4, $F$4, IF(B61&lt;$G$5, $F$5, IF(B61&lt;$G$6, $F$6, IF(B61&lt;$G$7, $F$7, IF(B61&lt;$G$8, $F$8, IF(B61&lt;$G$9, $F$9, IF(B61&lt;$G$10, $F$10, $F$11)))))))))</f>
        <v>0.9</v>
      </c>
      <c r="D61">
        <f t="shared" si="0"/>
        <v>9</v>
      </c>
    </row>
    <row r="62" spans="1:4" x14ac:dyDescent="0.55000000000000004">
      <c r="A62">
        <v>61</v>
      </c>
      <c r="B62">
        <v>9.3694386710599993</v>
      </c>
      <c r="C62">
        <f>IF(B62&lt;$G$2, $F$2, IF(B62&lt;$G$3, $F$3, IF(B62&lt;$G$4, $F$4, IF(B62&lt;$G$5, $F$5, IF(B62&lt;$G$6, $F$6, IF(B62&lt;$G$7, $F$7, IF(B62&lt;$G$8, $F$8, IF(B62&lt;$G$9, $F$9, IF(B62&lt;$G$10, $F$10, $F$11)))))))))</f>
        <v>0.3</v>
      </c>
      <c r="D62">
        <f t="shared" si="0"/>
        <v>3</v>
      </c>
    </row>
    <row r="63" spans="1:4" x14ac:dyDescent="0.55000000000000004">
      <c r="A63">
        <v>62</v>
      </c>
      <c r="B63">
        <v>34.609660859900004</v>
      </c>
      <c r="C63">
        <f>IF(B63&lt;$G$2, $F$2, IF(B63&lt;$G$3, $F$3, IF(B63&lt;$G$4, $F$4, IF(B63&lt;$G$5, $F$5, IF(B63&lt;$G$6, $F$6, IF(B63&lt;$G$7, $F$7, IF(B63&lt;$G$8, $F$8, IF(B63&lt;$G$9, $F$9, IF(B63&lt;$G$10, $F$10, $F$11)))))))))</f>
        <v>0.6</v>
      </c>
      <c r="D63">
        <f t="shared" si="0"/>
        <v>6</v>
      </c>
    </row>
    <row r="64" spans="1:4" x14ac:dyDescent="0.55000000000000004">
      <c r="A64">
        <v>63</v>
      </c>
      <c r="B64">
        <v>13.159087557499999</v>
      </c>
      <c r="C64">
        <f>IF(B64&lt;$G$2, $F$2, IF(B64&lt;$G$3, $F$3, IF(B64&lt;$G$4, $F$4, IF(B64&lt;$G$5, $F$5, IF(B64&lt;$G$6, $F$6, IF(B64&lt;$G$7, $F$7, IF(B64&lt;$G$8, $F$8, IF(B64&lt;$G$9, $F$9, IF(B64&lt;$G$10, $F$10, $F$11)))))))))</f>
        <v>0.4</v>
      </c>
      <c r="D64">
        <f t="shared" si="0"/>
        <v>4</v>
      </c>
    </row>
    <row r="65" spans="1:4" x14ac:dyDescent="0.55000000000000004">
      <c r="A65">
        <v>64</v>
      </c>
      <c r="B65">
        <v>8.8013176746799999</v>
      </c>
      <c r="C65">
        <f>IF(B65&lt;$G$2, $F$2, IF(B65&lt;$G$3, $F$3, IF(B65&lt;$G$4, $F$4, IF(B65&lt;$G$5, $F$5, IF(B65&lt;$G$6, $F$6, IF(B65&lt;$G$7, $F$7, IF(B65&lt;$G$8, $F$8, IF(B65&lt;$G$9, $F$9, IF(B65&lt;$G$10, $F$10, $F$11)))))))))</f>
        <v>0.3</v>
      </c>
      <c r="D65">
        <f t="shared" si="0"/>
        <v>3</v>
      </c>
    </row>
    <row r="66" spans="1:4" x14ac:dyDescent="0.55000000000000004">
      <c r="A66">
        <v>65</v>
      </c>
      <c r="B66">
        <v>18.422132103399999</v>
      </c>
      <c r="C66">
        <f>IF(B66&lt;$G$2, $F$2, IF(B66&lt;$G$3, $F$3, IF(B66&lt;$G$4, $F$4, IF(B66&lt;$G$5, $F$5, IF(B66&lt;$G$6, $F$6, IF(B66&lt;$G$7, $F$7, IF(B66&lt;$G$8, $F$8, IF(B66&lt;$G$9, $F$9, IF(B66&lt;$G$10, $F$10, $F$11)))))))))</f>
        <v>0.5</v>
      </c>
      <c r="D66">
        <f t="shared" si="0"/>
        <v>5</v>
      </c>
    </row>
    <row r="67" spans="1:4" x14ac:dyDescent="0.55000000000000004">
      <c r="A67">
        <v>66</v>
      </c>
      <c r="B67">
        <v>36.755459900399998</v>
      </c>
      <c r="C67">
        <f>IF(B67&lt;$G$2, $F$2, IF(B67&lt;$G$3, $F$3, IF(B67&lt;$G$4, $F$4, IF(B67&lt;$G$5, $F$5, IF(B67&lt;$G$6, $F$6, IF(B67&lt;$G$7, $F$7, IF(B67&lt;$G$8, $F$8, IF(B67&lt;$G$9, $F$9, IF(B67&lt;$G$10, $F$10, $F$11)))))))))</f>
        <v>0.6</v>
      </c>
      <c r="D67">
        <f t="shared" ref="D67:D130" si="1">C67*10</f>
        <v>6</v>
      </c>
    </row>
    <row r="68" spans="1:4" x14ac:dyDescent="0.55000000000000004">
      <c r="A68">
        <v>67</v>
      </c>
      <c r="B68">
        <v>9.8985231489899999</v>
      </c>
      <c r="C68">
        <f>IF(B68&lt;$G$2, $F$2, IF(B68&lt;$G$3, $F$3, IF(B68&lt;$G$4, $F$4, IF(B68&lt;$G$5, $F$5, IF(B68&lt;$G$6, $F$6, IF(B68&lt;$G$7, $F$7, IF(B68&lt;$G$8, $F$8, IF(B68&lt;$G$9, $F$9, IF(B68&lt;$G$10, $F$10, $F$11)))))))))</f>
        <v>0.3</v>
      </c>
      <c r="D68">
        <f t="shared" si="1"/>
        <v>3</v>
      </c>
    </row>
    <row r="69" spans="1:4" x14ac:dyDescent="0.55000000000000004">
      <c r="A69">
        <v>68</v>
      </c>
      <c r="B69">
        <v>4.0947663404599997</v>
      </c>
      <c r="C69">
        <f>IF(B69&lt;$G$2, $F$2, IF(B69&lt;$G$3, $F$3, IF(B69&lt;$G$4, $F$4, IF(B69&lt;$G$5, $F$5, IF(B69&lt;$G$6, $F$6, IF(B69&lt;$G$7, $F$7, IF(B69&lt;$G$8, $F$8, IF(B69&lt;$G$9, $F$9, IF(B69&lt;$G$10, $F$10, $F$11)))))))))</f>
        <v>0.2</v>
      </c>
      <c r="D69">
        <f t="shared" si="1"/>
        <v>2</v>
      </c>
    </row>
    <row r="70" spans="1:4" x14ac:dyDescent="0.55000000000000004">
      <c r="A70">
        <v>69</v>
      </c>
      <c r="B70">
        <v>21.904377688099999</v>
      </c>
      <c r="C70">
        <f>IF(B70&lt;$G$2, $F$2, IF(B70&lt;$G$3, $F$3, IF(B70&lt;$G$4, $F$4, IF(B70&lt;$G$5, $F$5, IF(B70&lt;$G$6, $F$6, IF(B70&lt;$G$7, $F$7, IF(B70&lt;$G$8, $F$8, IF(B70&lt;$G$9, $F$9, IF(B70&lt;$G$10, $F$10, $F$11)))))))))</f>
        <v>0.5</v>
      </c>
      <c r="D70">
        <f t="shared" si="1"/>
        <v>5</v>
      </c>
    </row>
    <row r="71" spans="1:4" x14ac:dyDescent="0.55000000000000004">
      <c r="A71">
        <v>70</v>
      </c>
      <c r="B71">
        <v>3.65544529203</v>
      </c>
      <c r="C71">
        <f>IF(B71&lt;$G$2, $F$2, IF(B71&lt;$G$3, $F$3, IF(B71&lt;$G$4, $F$4, IF(B71&lt;$G$5, $F$5, IF(B71&lt;$G$6, $F$6, IF(B71&lt;$G$7, $F$7, IF(B71&lt;$G$8, $F$8, IF(B71&lt;$G$9, $F$9, IF(B71&lt;$G$10, $F$10, $F$11)))))))))</f>
        <v>0.2</v>
      </c>
      <c r="D71">
        <f t="shared" si="1"/>
        <v>2</v>
      </c>
    </row>
    <row r="72" spans="1:4" x14ac:dyDescent="0.55000000000000004">
      <c r="A72">
        <v>71</v>
      </c>
      <c r="B72">
        <v>265.10674068200001</v>
      </c>
      <c r="C72">
        <f>IF(B72&lt;$G$2, $F$2, IF(B72&lt;$G$3, $F$3, IF(B72&lt;$G$4, $F$4, IF(B72&lt;$G$5, $F$5, IF(B72&lt;$G$6, $F$6, IF(B72&lt;$G$7, $F$7, IF(B72&lt;$G$8, $F$8, IF(B72&lt;$G$9, $F$9, IF(B72&lt;$G$10, $F$10, $F$11)))))))))</f>
        <v>0.9</v>
      </c>
      <c r="D72">
        <f t="shared" si="1"/>
        <v>9</v>
      </c>
    </row>
    <row r="73" spans="1:4" x14ac:dyDescent="0.55000000000000004">
      <c r="A73">
        <v>72</v>
      </c>
      <c r="B73">
        <v>41.381451390400002</v>
      </c>
      <c r="C73">
        <f>IF(B73&lt;$G$2, $F$2, IF(B73&lt;$G$3, $F$3, IF(B73&lt;$G$4, $F$4, IF(B73&lt;$G$5, $F$5, IF(B73&lt;$G$6, $F$6, IF(B73&lt;$G$7, $F$7, IF(B73&lt;$G$8, $F$8, IF(B73&lt;$G$9, $F$9, IF(B73&lt;$G$10, $F$10, $F$11)))))))))</f>
        <v>0.7</v>
      </c>
      <c r="D73">
        <f t="shared" si="1"/>
        <v>7</v>
      </c>
    </row>
    <row r="74" spans="1:4" x14ac:dyDescent="0.55000000000000004">
      <c r="A74">
        <v>73</v>
      </c>
      <c r="B74">
        <v>30.120098795600001</v>
      </c>
      <c r="C74">
        <f>IF(B74&lt;$G$2, $F$2, IF(B74&lt;$G$3, $F$3, IF(B74&lt;$G$4, $F$4, IF(B74&lt;$G$5, $F$5, IF(B74&lt;$G$6, $F$6, IF(B74&lt;$G$7, $F$7, IF(B74&lt;$G$8, $F$8, IF(B74&lt;$G$9, $F$9, IF(B74&lt;$G$10, $F$10, $F$11)))))))))</f>
        <v>0.6</v>
      </c>
      <c r="D74">
        <f t="shared" si="1"/>
        <v>6</v>
      </c>
    </row>
    <row r="75" spans="1:4" x14ac:dyDescent="0.55000000000000004">
      <c r="A75">
        <v>74</v>
      </c>
      <c r="B75">
        <v>92.109347309699999</v>
      </c>
      <c r="C75">
        <f>IF(B75&lt;$G$2, $F$2, IF(B75&lt;$G$3, $F$3, IF(B75&lt;$G$4, $F$4, IF(B75&lt;$G$5, $F$5, IF(B75&lt;$G$6, $F$6, IF(B75&lt;$G$7, $F$7, IF(B75&lt;$G$8, $F$8, IF(B75&lt;$G$9, $F$9, IF(B75&lt;$G$10, $F$10, $F$11)))))))))</f>
        <v>0.8</v>
      </c>
      <c r="D75">
        <f t="shared" si="1"/>
        <v>8</v>
      </c>
    </row>
    <row r="76" spans="1:4" x14ac:dyDescent="0.55000000000000004">
      <c r="A76">
        <v>75</v>
      </c>
      <c r="B76">
        <v>78.1273307604</v>
      </c>
      <c r="C76">
        <f>IF(B76&lt;$G$2, $F$2, IF(B76&lt;$G$3, $F$3, IF(B76&lt;$G$4, $F$4, IF(B76&lt;$G$5, $F$5, IF(B76&lt;$G$6, $F$6, IF(B76&lt;$G$7, $F$7, IF(B76&lt;$G$8, $F$8, IF(B76&lt;$G$9, $F$9, IF(B76&lt;$G$10, $F$10, $F$11)))))))))</f>
        <v>0.8</v>
      </c>
      <c r="D76">
        <f t="shared" si="1"/>
        <v>8</v>
      </c>
    </row>
    <row r="77" spans="1:4" x14ac:dyDescent="0.55000000000000004">
      <c r="A77">
        <v>76</v>
      </c>
      <c r="B77">
        <v>9.0200726259100001</v>
      </c>
      <c r="C77">
        <f>IF(B77&lt;$G$2, $F$2, IF(B77&lt;$G$3, $F$3, IF(B77&lt;$G$4, $F$4, IF(B77&lt;$G$5, $F$5, IF(B77&lt;$G$6, $F$6, IF(B77&lt;$G$7, $F$7, IF(B77&lt;$G$8, $F$8, IF(B77&lt;$G$9, $F$9, IF(B77&lt;$G$10, $F$10, $F$11)))))))))</f>
        <v>0.3</v>
      </c>
      <c r="D77">
        <f t="shared" si="1"/>
        <v>3</v>
      </c>
    </row>
    <row r="78" spans="1:4" x14ac:dyDescent="0.55000000000000004">
      <c r="A78">
        <v>77</v>
      </c>
      <c r="B78">
        <v>3.0693223177000002</v>
      </c>
      <c r="C78">
        <f>IF(B78&lt;$G$2, $F$2, IF(B78&lt;$G$3, $F$3, IF(B78&lt;$G$4, $F$4, IF(B78&lt;$G$5, $F$5, IF(B78&lt;$G$6, $F$6, IF(B78&lt;$G$7, $F$7, IF(B78&lt;$G$8, $F$8, IF(B78&lt;$G$9, $F$9, IF(B78&lt;$G$10, $F$10, $F$11)))))))))</f>
        <v>0.2</v>
      </c>
      <c r="D78">
        <f t="shared" si="1"/>
        <v>2</v>
      </c>
    </row>
    <row r="79" spans="1:4" x14ac:dyDescent="0.55000000000000004">
      <c r="A79">
        <v>78</v>
      </c>
      <c r="B79">
        <v>92.276376430599996</v>
      </c>
      <c r="C79">
        <f>IF(B79&lt;$G$2, $F$2, IF(B79&lt;$G$3, $F$3, IF(B79&lt;$G$4, $F$4, IF(B79&lt;$G$5, $F$5, IF(B79&lt;$G$6, $F$6, IF(B79&lt;$G$7, $F$7, IF(B79&lt;$G$8, $F$8, IF(B79&lt;$G$9, $F$9, IF(B79&lt;$G$10, $F$10, $F$11)))))))))</f>
        <v>0.8</v>
      </c>
      <c r="D79">
        <f t="shared" si="1"/>
        <v>8</v>
      </c>
    </row>
    <row r="80" spans="1:4" x14ac:dyDescent="0.55000000000000004">
      <c r="A80">
        <v>79</v>
      </c>
      <c r="B80">
        <v>101.630315095</v>
      </c>
      <c r="C80">
        <f>IF(B80&lt;$G$2, $F$2, IF(B80&lt;$G$3, $F$3, IF(B80&lt;$G$4, $F$4, IF(B80&lt;$G$5, $F$5, IF(B80&lt;$G$6, $F$6, IF(B80&lt;$G$7, $F$7, IF(B80&lt;$G$8, $F$8, IF(B80&lt;$G$9, $F$9, IF(B80&lt;$G$10, $F$10, $F$11)))))))))</f>
        <v>0.8</v>
      </c>
      <c r="D80">
        <f t="shared" si="1"/>
        <v>8</v>
      </c>
    </row>
    <row r="81" spans="1:4" x14ac:dyDescent="0.55000000000000004">
      <c r="A81">
        <v>80</v>
      </c>
      <c r="B81">
        <v>14.992647735</v>
      </c>
      <c r="C81">
        <f>IF(B81&lt;$G$2, $F$2, IF(B81&lt;$G$3, $F$3, IF(B81&lt;$G$4, $F$4, IF(B81&lt;$G$5, $F$5, IF(B81&lt;$G$6, $F$6, IF(B81&lt;$G$7, $F$7, IF(B81&lt;$G$8, $F$8, IF(B81&lt;$G$9, $F$9, IF(B81&lt;$G$10, $F$10, $F$11)))))))))</f>
        <v>0.4</v>
      </c>
      <c r="D81">
        <f t="shared" si="1"/>
        <v>4</v>
      </c>
    </row>
    <row r="82" spans="1:4" x14ac:dyDescent="0.55000000000000004">
      <c r="A82">
        <v>81</v>
      </c>
      <c r="B82">
        <v>59.572143997200001</v>
      </c>
      <c r="C82">
        <f>IF(B82&lt;$G$2, $F$2, IF(B82&lt;$G$3, $F$3, IF(B82&lt;$G$4, $F$4, IF(B82&lt;$G$5, $F$5, IF(B82&lt;$G$6, $F$6, IF(B82&lt;$G$7, $F$7, IF(B82&lt;$G$8, $F$8, IF(B82&lt;$G$9, $F$9, IF(B82&lt;$G$10, $F$10, $F$11)))))))))</f>
        <v>0.7</v>
      </c>
      <c r="D82">
        <f t="shared" si="1"/>
        <v>7</v>
      </c>
    </row>
    <row r="83" spans="1:4" x14ac:dyDescent="0.55000000000000004">
      <c r="A83">
        <v>82</v>
      </c>
      <c r="B83">
        <v>6.4004251243499999</v>
      </c>
      <c r="C83">
        <f>IF(B83&lt;$G$2, $F$2, IF(B83&lt;$G$3, $F$3, IF(B83&lt;$G$4, $F$4, IF(B83&lt;$G$5, $F$5, IF(B83&lt;$G$6, $F$6, IF(B83&lt;$G$7, $F$7, IF(B83&lt;$G$8, $F$8, IF(B83&lt;$G$9, $F$9, IF(B83&lt;$G$10, $F$10, $F$11)))))))))</f>
        <v>0.3</v>
      </c>
      <c r="D83">
        <f t="shared" si="1"/>
        <v>3</v>
      </c>
    </row>
    <row r="84" spans="1:4" x14ac:dyDescent="0.55000000000000004">
      <c r="A84">
        <v>83</v>
      </c>
      <c r="B84">
        <v>11.0208650748</v>
      </c>
      <c r="C84">
        <f>IF(B84&lt;$G$2, $F$2, IF(B84&lt;$G$3, $F$3, IF(B84&lt;$G$4, $F$4, IF(B84&lt;$G$5, $F$5, IF(B84&lt;$G$6, $F$6, IF(B84&lt;$G$7, $F$7, IF(B84&lt;$G$8, $F$8, IF(B84&lt;$G$9, $F$9, IF(B84&lt;$G$10, $F$10, $F$11)))))))))</f>
        <v>0.4</v>
      </c>
      <c r="D84">
        <f t="shared" si="1"/>
        <v>4</v>
      </c>
    </row>
    <row r="85" spans="1:4" x14ac:dyDescent="0.55000000000000004">
      <c r="A85">
        <v>84</v>
      </c>
      <c r="B85">
        <v>23.189202990799998</v>
      </c>
      <c r="C85">
        <f>IF(B85&lt;$G$2, $F$2, IF(B85&lt;$G$3, $F$3, IF(B85&lt;$G$4, $F$4, IF(B85&lt;$G$5, $F$5, IF(B85&lt;$G$6, $F$6, IF(B85&lt;$G$7, $F$7, IF(B85&lt;$G$8, $F$8, IF(B85&lt;$G$9, $F$9, IF(B85&lt;$G$10, $F$10, $F$11)))))))))</f>
        <v>0.5</v>
      </c>
      <c r="D85">
        <f t="shared" si="1"/>
        <v>5</v>
      </c>
    </row>
    <row r="86" spans="1:4" x14ac:dyDescent="0.55000000000000004">
      <c r="A86">
        <v>85</v>
      </c>
      <c r="B86">
        <v>47.3078472913</v>
      </c>
      <c r="C86">
        <f>IF(B86&lt;$G$2, $F$2, IF(B86&lt;$G$3, $F$3, IF(B86&lt;$G$4, $F$4, IF(B86&lt;$G$5, $F$5, IF(B86&lt;$G$6, $F$6, IF(B86&lt;$G$7, $F$7, IF(B86&lt;$G$8, $F$8, IF(B86&lt;$G$9, $F$9, IF(B86&lt;$G$10, $F$10, $F$11)))))))))</f>
        <v>0.7</v>
      </c>
      <c r="D86">
        <f t="shared" si="1"/>
        <v>7</v>
      </c>
    </row>
    <row r="87" spans="1:4" x14ac:dyDescent="0.55000000000000004">
      <c r="A87">
        <v>86</v>
      </c>
      <c r="B87">
        <v>16.959822258100001</v>
      </c>
      <c r="C87">
        <f>IF(B87&lt;$G$2, $F$2, IF(B87&lt;$G$3, $F$3, IF(B87&lt;$G$4, $F$4, IF(B87&lt;$G$5, $F$5, IF(B87&lt;$G$6, $F$6, IF(B87&lt;$G$7, $F$7, IF(B87&lt;$G$8, $F$8, IF(B87&lt;$G$9, $F$9, IF(B87&lt;$G$10, $F$10, $F$11)))))))))</f>
        <v>0.4</v>
      </c>
      <c r="D87">
        <f t="shared" si="1"/>
        <v>4</v>
      </c>
    </row>
    <row r="88" spans="1:4" x14ac:dyDescent="0.55000000000000004">
      <c r="A88">
        <v>87</v>
      </c>
      <c r="B88">
        <v>53.385642010799998</v>
      </c>
      <c r="C88">
        <f>IF(B88&lt;$G$2, $F$2, IF(B88&lt;$G$3, $F$3, IF(B88&lt;$G$4, $F$4, IF(B88&lt;$G$5, $F$5, IF(B88&lt;$G$6, $F$6, IF(B88&lt;$G$7, $F$7, IF(B88&lt;$G$8, $F$8, IF(B88&lt;$G$9, $F$9, IF(B88&lt;$G$10, $F$10, $F$11)))))))))</f>
        <v>0.7</v>
      </c>
      <c r="D88">
        <f t="shared" si="1"/>
        <v>7</v>
      </c>
    </row>
    <row r="89" spans="1:4" x14ac:dyDescent="0.55000000000000004">
      <c r="A89">
        <v>88</v>
      </c>
      <c r="B89">
        <v>31.405114659599999</v>
      </c>
      <c r="C89">
        <f>IF(B89&lt;$G$2, $F$2, IF(B89&lt;$G$3, $F$3, IF(B89&lt;$G$4, $F$4, IF(B89&lt;$G$5, $F$5, IF(B89&lt;$G$6, $F$6, IF(B89&lt;$G$7, $F$7, IF(B89&lt;$G$8, $F$8, IF(B89&lt;$G$9, $F$9, IF(B89&lt;$G$10, $F$10, $F$11)))))))))</f>
        <v>0.6</v>
      </c>
      <c r="D89">
        <f t="shared" si="1"/>
        <v>6</v>
      </c>
    </row>
    <row r="90" spans="1:4" x14ac:dyDescent="0.55000000000000004">
      <c r="A90">
        <v>89</v>
      </c>
      <c r="B90">
        <v>55.729653726400002</v>
      </c>
      <c r="C90">
        <f>IF(B90&lt;$G$2, $F$2, IF(B90&lt;$G$3, $F$3, IF(B90&lt;$G$4, $F$4, IF(B90&lt;$G$5, $F$5, IF(B90&lt;$G$6, $F$6, IF(B90&lt;$G$7, $F$7, IF(B90&lt;$G$8, $F$8, IF(B90&lt;$G$9, $F$9, IF(B90&lt;$G$10, $F$10, $F$11)))))))))</f>
        <v>0.7</v>
      </c>
      <c r="D90">
        <f t="shared" si="1"/>
        <v>7</v>
      </c>
    </row>
    <row r="91" spans="1:4" x14ac:dyDescent="0.55000000000000004">
      <c r="A91">
        <v>90</v>
      </c>
      <c r="B91">
        <v>22.554594231599999</v>
      </c>
      <c r="C91">
        <f>IF(B91&lt;$G$2, $F$2, IF(B91&lt;$G$3, $F$3, IF(B91&lt;$G$4, $F$4, IF(B91&lt;$G$5, $F$5, IF(B91&lt;$G$6, $F$6, IF(B91&lt;$G$7, $F$7, IF(B91&lt;$G$8, $F$8, IF(B91&lt;$G$9, $F$9, IF(B91&lt;$G$10, $F$10, $F$11)))))))))</f>
        <v>0.5</v>
      </c>
      <c r="D91">
        <f t="shared" si="1"/>
        <v>5</v>
      </c>
    </row>
    <row r="92" spans="1:4" x14ac:dyDescent="0.55000000000000004">
      <c r="A92">
        <v>91</v>
      </c>
      <c r="B92">
        <v>47.0762909659</v>
      </c>
      <c r="C92">
        <f>IF(B92&lt;$G$2, $F$2, IF(B92&lt;$G$3, $F$3, IF(B92&lt;$G$4, $F$4, IF(B92&lt;$G$5, $F$5, IF(B92&lt;$G$6, $F$6, IF(B92&lt;$G$7, $F$7, IF(B92&lt;$G$8, $F$8, IF(B92&lt;$G$9, $F$9, IF(B92&lt;$G$10, $F$10, $F$11)))))))))</f>
        <v>0.7</v>
      </c>
      <c r="D92">
        <f t="shared" si="1"/>
        <v>7</v>
      </c>
    </row>
    <row r="93" spans="1:4" x14ac:dyDescent="0.55000000000000004">
      <c r="A93">
        <v>92</v>
      </c>
      <c r="B93">
        <v>17.212530341499999</v>
      </c>
      <c r="C93">
        <f>IF(B93&lt;$G$2, $F$2, IF(B93&lt;$G$3, $F$3, IF(B93&lt;$G$4, $F$4, IF(B93&lt;$G$5, $F$5, IF(B93&lt;$G$6, $F$6, IF(B93&lt;$G$7, $F$7, IF(B93&lt;$G$8, $F$8, IF(B93&lt;$G$9, $F$9, IF(B93&lt;$G$10, $F$10, $F$11)))))))))</f>
        <v>0.4</v>
      </c>
      <c r="D93">
        <f t="shared" si="1"/>
        <v>4</v>
      </c>
    </row>
    <row r="94" spans="1:4" x14ac:dyDescent="0.55000000000000004">
      <c r="A94">
        <v>93</v>
      </c>
      <c r="B94">
        <v>19.849776995900001</v>
      </c>
      <c r="C94">
        <f>IF(B94&lt;$G$2, $F$2, IF(B94&lt;$G$3, $F$3, IF(B94&lt;$G$4, $F$4, IF(B94&lt;$G$5, $F$5, IF(B94&lt;$G$6, $F$6, IF(B94&lt;$G$7, $F$7, IF(B94&lt;$G$8, $F$8, IF(B94&lt;$G$9, $F$9, IF(B94&lt;$G$10, $F$10, $F$11)))))))))</f>
        <v>0.5</v>
      </c>
      <c r="D94">
        <f t="shared" si="1"/>
        <v>5</v>
      </c>
    </row>
    <row r="95" spans="1:4" x14ac:dyDescent="0.55000000000000004">
      <c r="A95">
        <v>94</v>
      </c>
      <c r="B95">
        <v>5.3016108726700004</v>
      </c>
      <c r="C95">
        <f>IF(B95&lt;$G$2, $F$2, IF(B95&lt;$G$3, $F$3, IF(B95&lt;$G$4, $F$4, IF(B95&lt;$G$5, $F$5, IF(B95&lt;$G$6, $F$6, IF(B95&lt;$G$7, $F$7, IF(B95&lt;$G$8, $F$8, IF(B95&lt;$G$9, $F$9, IF(B95&lt;$G$10, $F$10, $F$11)))))))))</f>
        <v>0.2</v>
      </c>
      <c r="D95">
        <f t="shared" si="1"/>
        <v>2</v>
      </c>
    </row>
    <row r="96" spans="1:4" x14ac:dyDescent="0.55000000000000004">
      <c r="A96">
        <v>95</v>
      </c>
      <c r="B96">
        <v>50.939378514200001</v>
      </c>
      <c r="C96">
        <f>IF(B96&lt;$G$2, $F$2, IF(B96&lt;$G$3, $F$3, IF(B96&lt;$G$4, $F$4, IF(B96&lt;$G$5, $F$5, IF(B96&lt;$G$6, $F$6, IF(B96&lt;$G$7, $F$7, IF(B96&lt;$G$8, $F$8, IF(B96&lt;$G$9, $F$9, IF(B96&lt;$G$10, $F$10, $F$11)))))))))</f>
        <v>0.7</v>
      </c>
      <c r="D96">
        <f t="shared" si="1"/>
        <v>7</v>
      </c>
    </row>
    <row r="97" spans="1:4" x14ac:dyDescent="0.55000000000000004">
      <c r="A97">
        <v>96</v>
      </c>
      <c r="B97">
        <v>10.252571160700001</v>
      </c>
      <c r="C97">
        <f>IF(B97&lt;$G$2, $F$2, IF(B97&lt;$G$3, $F$3, IF(B97&lt;$G$4, $F$4, IF(B97&lt;$G$5, $F$5, IF(B97&lt;$G$6, $F$6, IF(B97&lt;$G$7, $F$7, IF(B97&lt;$G$8, $F$8, IF(B97&lt;$G$9, $F$9, IF(B97&lt;$G$10, $F$10, $F$11)))))))))</f>
        <v>0.3</v>
      </c>
      <c r="D97">
        <f t="shared" si="1"/>
        <v>3</v>
      </c>
    </row>
    <row r="98" spans="1:4" x14ac:dyDescent="0.55000000000000004">
      <c r="A98">
        <v>97</v>
      </c>
      <c r="B98">
        <v>5.8531499976000001</v>
      </c>
      <c r="C98">
        <f>IF(B98&lt;$G$2, $F$2, IF(B98&lt;$G$3, $F$3, IF(B98&lt;$G$4, $F$4, IF(B98&lt;$G$5, $F$5, IF(B98&lt;$G$6, $F$6, IF(B98&lt;$G$7, $F$7, IF(B98&lt;$G$8, $F$8, IF(B98&lt;$G$9, $F$9, IF(B98&lt;$G$10, $F$10, $F$11)))))))))</f>
        <v>0.3</v>
      </c>
      <c r="D98">
        <f t="shared" si="1"/>
        <v>3</v>
      </c>
    </row>
    <row r="99" spans="1:4" x14ac:dyDescent="0.55000000000000004">
      <c r="A99">
        <v>98</v>
      </c>
      <c r="B99">
        <v>26.199595383199998</v>
      </c>
      <c r="C99">
        <f>IF(B99&lt;$G$2, $F$2, IF(B99&lt;$G$3, $F$3, IF(B99&lt;$G$4, $F$4, IF(B99&lt;$G$5, $F$5, IF(B99&lt;$G$6, $F$6, IF(B99&lt;$G$7, $F$7, IF(B99&lt;$G$8, $F$8, IF(B99&lt;$G$9, $F$9, IF(B99&lt;$G$10, $F$10, $F$11)))))))))</f>
        <v>0.6</v>
      </c>
      <c r="D99">
        <f t="shared" si="1"/>
        <v>6</v>
      </c>
    </row>
    <row r="100" spans="1:4" x14ac:dyDescent="0.55000000000000004">
      <c r="A100">
        <v>99</v>
      </c>
      <c r="B100">
        <v>29.210541552999999</v>
      </c>
      <c r="C100">
        <f>IF(B100&lt;$G$2, $F$2, IF(B100&lt;$G$3, $F$3, IF(B100&lt;$G$4, $F$4, IF(B100&lt;$G$5, $F$5, IF(B100&lt;$G$6, $F$6, IF(B100&lt;$G$7, $F$7, IF(B100&lt;$G$8, $F$8, IF(B100&lt;$G$9, $F$9, IF(B100&lt;$G$10, $F$10, $F$11)))))))))</f>
        <v>0.6</v>
      </c>
      <c r="D100">
        <f t="shared" si="1"/>
        <v>6</v>
      </c>
    </row>
    <row r="101" spans="1:4" x14ac:dyDescent="0.55000000000000004">
      <c r="A101">
        <v>100</v>
      </c>
      <c r="B101">
        <v>2.6310029215099999</v>
      </c>
      <c r="C101">
        <f>IF(B101&lt;$G$2, $F$2, IF(B101&lt;$G$3, $F$3, IF(B101&lt;$G$4, $F$4, IF(B101&lt;$G$5, $F$5, IF(B101&lt;$G$6, $F$6, IF(B101&lt;$G$7, $F$7, IF(B101&lt;$G$8, $F$8, IF(B101&lt;$G$9, $F$9, IF(B101&lt;$G$10, $F$10, $F$11)))))))))</f>
        <v>0.2</v>
      </c>
      <c r="D101">
        <f t="shared" si="1"/>
        <v>2</v>
      </c>
    </row>
    <row r="102" spans="1:4" x14ac:dyDescent="0.55000000000000004">
      <c r="A102">
        <v>101</v>
      </c>
      <c r="B102">
        <v>5.2897784212800003</v>
      </c>
      <c r="C102">
        <f>IF(B102&lt;$G$2, $F$2, IF(B102&lt;$G$3, $F$3, IF(B102&lt;$G$4, $F$4, IF(B102&lt;$G$5, $F$5, IF(B102&lt;$G$6, $F$6, IF(B102&lt;$G$7, $F$7, IF(B102&lt;$G$8, $F$8, IF(B102&lt;$G$9, $F$9, IF(B102&lt;$G$10, $F$10, $F$11)))))))))</f>
        <v>0.2</v>
      </c>
      <c r="D102">
        <f t="shared" si="1"/>
        <v>2</v>
      </c>
    </row>
    <row r="103" spans="1:4" x14ac:dyDescent="0.55000000000000004">
      <c r="A103">
        <v>102</v>
      </c>
      <c r="B103">
        <v>7.0459902397700001</v>
      </c>
      <c r="C103">
        <f>IF(B103&lt;$G$2, $F$2, IF(B103&lt;$G$3, $F$3, IF(B103&lt;$G$4, $F$4, IF(B103&lt;$G$5, $F$5, IF(B103&lt;$G$6, $F$6, IF(B103&lt;$G$7, $F$7, IF(B103&lt;$G$8, $F$8, IF(B103&lt;$G$9, $F$9, IF(B103&lt;$G$10, $F$10, $F$11)))))))))</f>
        <v>0.3</v>
      </c>
      <c r="D103">
        <f t="shared" si="1"/>
        <v>3</v>
      </c>
    </row>
    <row r="104" spans="1:4" x14ac:dyDescent="0.55000000000000004">
      <c r="A104">
        <v>103</v>
      </c>
      <c r="B104">
        <v>52.246010939400001</v>
      </c>
      <c r="C104">
        <f>IF(B104&lt;$G$2, $F$2, IF(B104&lt;$G$3, $F$3, IF(B104&lt;$G$4, $F$4, IF(B104&lt;$G$5, $F$5, IF(B104&lt;$G$6, $F$6, IF(B104&lt;$G$7, $F$7, IF(B104&lt;$G$8, $F$8, IF(B104&lt;$G$9, $F$9, IF(B104&lt;$G$10, $F$10, $F$11)))))))))</f>
        <v>0.7</v>
      </c>
      <c r="D104">
        <f t="shared" si="1"/>
        <v>7</v>
      </c>
    </row>
    <row r="105" spans="1:4" x14ac:dyDescent="0.55000000000000004">
      <c r="A105">
        <v>104</v>
      </c>
      <c r="B105">
        <v>67.489447876400007</v>
      </c>
      <c r="C105">
        <f>IF(B105&lt;$G$2, $F$2, IF(B105&lt;$G$3, $F$3, IF(B105&lt;$G$4, $F$4, IF(B105&lt;$G$5, $F$5, IF(B105&lt;$G$6, $F$6, IF(B105&lt;$G$7, $F$7, IF(B105&lt;$G$8, $F$8, IF(B105&lt;$G$9, $F$9, IF(B105&lt;$G$10, $F$10, $F$11)))))))))</f>
        <v>0.8</v>
      </c>
      <c r="D105">
        <f t="shared" si="1"/>
        <v>8</v>
      </c>
    </row>
    <row r="106" spans="1:4" x14ac:dyDescent="0.55000000000000004">
      <c r="A106">
        <v>105</v>
      </c>
      <c r="B106">
        <v>12.1058644273</v>
      </c>
      <c r="C106">
        <f>IF(B106&lt;$G$2, $F$2, IF(B106&lt;$G$3, $F$3, IF(B106&lt;$G$4, $F$4, IF(B106&lt;$G$5, $F$5, IF(B106&lt;$G$6, $F$6, IF(B106&lt;$G$7, $F$7, IF(B106&lt;$G$8, $F$8, IF(B106&lt;$G$9, $F$9, IF(B106&lt;$G$10, $F$10, $F$11)))))))))</f>
        <v>0.4</v>
      </c>
      <c r="D106">
        <f t="shared" si="1"/>
        <v>4</v>
      </c>
    </row>
    <row r="107" spans="1:4" x14ac:dyDescent="0.55000000000000004">
      <c r="A107">
        <v>106</v>
      </c>
      <c r="B107">
        <v>52.546231557500001</v>
      </c>
      <c r="C107">
        <f>IF(B107&lt;$G$2, $F$2, IF(B107&lt;$G$3, $F$3, IF(B107&lt;$G$4, $F$4, IF(B107&lt;$G$5, $F$5, IF(B107&lt;$G$6, $F$6, IF(B107&lt;$G$7, $F$7, IF(B107&lt;$G$8, $F$8, IF(B107&lt;$G$9, $F$9, IF(B107&lt;$G$10, $F$10, $F$11)))))))))</f>
        <v>0.7</v>
      </c>
      <c r="D107">
        <f t="shared" si="1"/>
        <v>7</v>
      </c>
    </row>
    <row r="108" spans="1:4" x14ac:dyDescent="0.55000000000000004">
      <c r="A108">
        <v>107</v>
      </c>
      <c r="B108">
        <v>57.040926124099997</v>
      </c>
      <c r="C108">
        <f>IF(B108&lt;$G$2, $F$2, IF(B108&lt;$G$3, $F$3, IF(B108&lt;$G$4, $F$4, IF(B108&lt;$G$5, $F$5, IF(B108&lt;$G$6, $F$6, IF(B108&lt;$G$7, $F$7, IF(B108&lt;$G$8, $F$8, IF(B108&lt;$G$9, $F$9, IF(B108&lt;$G$10, $F$10, $F$11)))))))))</f>
        <v>0.7</v>
      </c>
      <c r="D108">
        <f t="shared" si="1"/>
        <v>7</v>
      </c>
    </row>
    <row r="109" spans="1:4" x14ac:dyDescent="0.55000000000000004">
      <c r="A109">
        <v>108</v>
      </c>
      <c r="B109">
        <v>32.127270886799998</v>
      </c>
      <c r="C109">
        <f>IF(B109&lt;$G$2, $F$2, IF(B109&lt;$G$3, $F$3, IF(B109&lt;$G$4, $F$4, IF(B109&lt;$G$5, $F$5, IF(B109&lt;$G$6, $F$6, IF(B109&lt;$G$7, $F$7, IF(B109&lt;$G$8, $F$8, IF(B109&lt;$G$9, $F$9, IF(B109&lt;$G$10, $F$10, $F$11)))))))))</f>
        <v>0.6</v>
      </c>
      <c r="D109">
        <f t="shared" si="1"/>
        <v>6</v>
      </c>
    </row>
    <row r="110" spans="1:4" x14ac:dyDescent="0.55000000000000004">
      <c r="A110">
        <v>109</v>
      </c>
      <c r="B110">
        <v>21.273265584899999</v>
      </c>
      <c r="C110">
        <f>IF(B110&lt;$G$2, $F$2, IF(B110&lt;$G$3, $F$3, IF(B110&lt;$G$4, $F$4, IF(B110&lt;$G$5, $F$5, IF(B110&lt;$G$6, $F$6, IF(B110&lt;$G$7, $F$7, IF(B110&lt;$G$8, $F$8, IF(B110&lt;$G$9, $F$9, IF(B110&lt;$G$10, $F$10, $F$11)))))))))</f>
        <v>0.5</v>
      </c>
      <c r="D110">
        <f t="shared" si="1"/>
        <v>5</v>
      </c>
    </row>
    <row r="111" spans="1:4" x14ac:dyDescent="0.55000000000000004">
      <c r="A111">
        <v>110</v>
      </c>
      <c r="B111">
        <v>28.692728727199999</v>
      </c>
      <c r="C111">
        <f>IF(B111&lt;$G$2, $F$2, IF(B111&lt;$G$3, $F$3, IF(B111&lt;$G$4, $F$4, IF(B111&lt;$G$5, $F$5, IF(B111&lt;$G$6, $F$6, IF(B111&lt;$G$7, $F$7, IF(B111&lt;$G$8, $F$8, IF(B111&lt;$G$9, $F$9, IF(B111&lt;$G$10, $F$10, $F$11)))))))))</f>
        <v>0.6</v>
      </c>
      <c r="D111">
        <f t="shared" si="1"/>
        <v>6</v>
      </c>
    </row>
    <row r="112" spans="1:4" x14ac:dyDescent="0.55000000000000004">
      <c r="A112">
        <v>111</v>
      </c>
      <c r="B112">
        <v>26.536129217599999</v>
      </c>
      <c r="C112">
        <f>IF(B112&lt;$G$2, $F$2, IF(B112&lt;$G$3, $F$3, IF(B112&lt;$G$4, $F$4, IF(B112&lt;$G$5, $F$5, IF(B112&lt;$G$6, $F$6, IF(B112&lt;$G$7, $F$7, IF(B112&lt;$G$8, $F$8, IF(B112&lt;$G$9, $F$9, IF(B112&lt;$G$10, $F$10, $F$11)))))))))</f>
        <v>0.6</v>
      </c>
      <c r="D112">
        <f t="shared" si="1"/>
        <v>6</v>
      </c>
    </row>
    <row r="113" spans="1:4" x14ac:dyDescent="0.55000000000000004">
      <c r="A113">
        <v>112</v>
      </c>
      <c r="B113">
        <v>2.3152362947</v>
      </c>
      <c r="C113">
        <f>IF(B113&lt;$G$2, $F$2, IF(B113&lt;$G$3, $F$3, IF(B113&lt;$G$4, $F$4, IF(B113&lt;$G$5, $F$5, IF(B113&lt;$G$6, $F$6, IF(B113&lt;$G$7, $F$7, IF(B113&lt;$G$8, $F$8, IF(B113&lt;$G$9, $F$9, IF(B113&lt;$G$10, $F$10, $F$11)))))))))</f>
        <v>0.1</v>
      </c>
      <c r="D113">
        <f t="shared" si="1"/>
        <v>1</v>
      </c>
    </row>
    <row r="114" spans="1:4" x14ac:dyDescent="0.55000000000000004">
      <c r="A114">
        <v>113</v>
      </c>
      <c r="B114">
        <v>13.526772248</v>
      </c>
      <c r="C114">
        <f>IF(B114&lt;$G$2, $F$2, IF(B114&lt;$G$3, $F$3, IF(B114&lt;$G$4, $F$4, IF(B114&lt;$G$5, $F$5, IF(B114&lt;$G$6, $F$6, IF(B114&lt;$G$7, $F$7, IF(B114&lt;$G$8, $F$8, IF(B114&lt;$G$9, $F$9, IF(B114&lt;$G$10, $F$10, $F$11)))))))))</f>
        <v>0.4</v>
      </c>
      <c r="D114">
        <f t="shared" si="1"/>
        <v>4</v>
      </c>
    </row>
    <row r="115" spans="1:4" x14ac:dyDescent="0.55000000000000004">
      <c r="A115">
        <v>114</v>
      </c>
      <c r="B115">
        <v>4.2723973766299999</v>
      </c>
      <c r="C115">
        <f>IF(B115&lt;$G$2, $F$2, IF(B115&lt;$G$3, $F$3, IF(B115&lt;$G$4, $F$4, IF(B115&lt;$G$5, $F$5, IF(B115&lt;$G$6, $F$6, IF(B115&lt;$G$7, $F$7, IF(B115&lt;$G$8, $F$8, IF(B115&lt;$G$9, $F$9, IF(B115&lt;$G$10, $F$10, $F$11)))))))))</f>
        <v>0.2</v>
      </c>
      <c r="D115">
        <f t="shared" si="1"/>
        <v>2</v>
      </c>
    </row>
    <row r="116" spans="1:4" x14ac:dyDescent="0.55000000000000004">
      <c r="A116">
        <v>115</v>
      </c>
      <c r="B116">
        <v>12.060257716700001</v>
      </c>
      <c r="C116">
        <f>IF(B116&lt;$G$2, $F$2, IF(B116&lt;$G$3, $F$3, IF(B116&lt;$G$4, $F$4, IF(B116&lt;$G$5, $F$5, IF(B116&lt;$G$6, $F$6, IF(B116&lt;$G$7, $F$7, IF(B116&lt;$G$8, $F$8, IF(B116&lt;$G$9, $F$9, IF(B116&lt;$G$10, $F$10, $F$11)))))))))</f>
        <v>0.4</v>
      </c>
      <c r="D116">
        <f t="shared" si="1"/>
        <v>4</v>
      </c>
    </row>
    <row r="117" spans="1:4" x14ac:dyDescent="0.55000000000000004">
      <c r="A117">
        <v>116</v>
      </c>
      <c r="B117">
        <v>1.3950066736</v>
      </c>
      <c r="C117">
        <f>IF(B117&lt;$G$2, $F$2, IF(B117&lt;$G$3, $F$3, IF(B117&lt;$G$4, $F$4, IF(B117&lt;$G$5, $F$5, IF(B117&lt;$G$6, $F$6, IF(B117&lt;$G$7, $F$7, IF(B117&lt;$G$8, $F$8, IF(B117&lt;$G$9, $F$9, IF(B117&lt;$G$10, $F$10, $F$11)))))))))</f>
        <v>0.1</v>
      </c>
      <c r="D117">
        <f t="shared" si="1"/>
        <v>1</v>
      </c>
    </row>
    <row r="118" spans="1:4" x14ac:dyDescent="0.55000000000000004">
      <c r="A118">
        <v>117</v>
      </c>
      <c r="B118">
        <v>63.749035897200002</v>
      </c>
      <c r="C118">
        <f>IF(B118&lt;$G$2, $F$2, IF(B118&lt;$G$3, $F$3, IF(B118&lt;$G$4, $F$4, IF(B118&lt;$G$5, $F$5, IF(B118&lt;$G$6, $F$6, IF(B118&lt;$G$7, $F$7, IF(B118&lt;$G$8, $F$8, IF(B118&lt;$G$9, $F$9, IF(B118&lt;$G$10, $F$10, $F$11)))))))))</f>
        <v>0.7</v>
      </c>
      <c r="D118">
        <f t="shared" si="1"/>
        <v>7</v>
      </c>
    </row>
    <row r="119" spans="1:4" x14ac:dyDescent="0.55000000000000004">
      <c r="A119">
        <v>118</v>
      </c>
      <c r="B119">
        <v>33.069944676699997</v>
      </c>
      <c r="C119">
        <f>IF(B119&lt;$G$2, $F$2, IF(B119&lt;$G$3, $F$3, IF(B119&lt;$G$4, $F$4, IF(B119&lt;$G$5, $F$5, IF(B119&lt;$G$6, $F$6, IF(B119&lt;$G$7, $F$7, IF(B119&lt;$G$8, $F$8, IF(B119&lt;$G$9, $F$9, IF(B119&lt;$G$10, $F$10, $F$11)))))))))</f>
        <v>0.6</v>
      </c>
      <c r="D119">
        <f t="shared" si="1"/>
        <v>6</v>
      </c>
    </row>
    <row r="120" spans="1:4" x14ac:dyDescent="0.55000000000000004">
      <c r="A120">
        <v>119</v>
      </c>
      <c r="B120">
        <v>10.373871793599999</v>
      </c>
      <c r="C120">
        <f>IF(B120&lt;$G$2, $F$2, IF(B120&lt;$G$3, $F$3, IF(B120&lt;$G$4, $F$4, IF(B120&lt;$G$5, $F$5, IF(B120&lt;$G$6, $F$6, IF(B120&lt;$G$7, $F$7, IF(B120&lt;$G$8, $F$8, IF(B120&lt;$G$9, $F$9, IF(B120&lt;$G$10, $F$10, $F$11)))))))))</f>
        <v>0.3</v>
      </c>
      <c r="D120">
        <f t="shared" si="1"/>
        <v>3</v>
      </c>
    </row>
    <row r="121" spans="1:4" x14ac:dyDescent="0.55000000000000004">
      <c r="A121">
        <v>120</v>
      </c>
      <c r="B121">
        <v>38.219868061</v>
      </c>
      <c r="C121">
        <f>IF(B121&lt;$G$2, $F$2, IF(B121&lt;$G$3, $F$3, IF(B121&lt;$G$4, $F$4, IF(B121&lt;$G$5, $F$5, IF(B121&lt;$G$6, $F$6, IF(B121&lt;$G$7, $F$7, IF(B121&lt;$G$8, $F$8, IF(B121&lt;$G$9, $F$9, IF(B121&lt;$G$10, $F$10, $F$11)))))))))</f>
        <v>0.6</v>
      </c>
      <c r="D121">
        <f t="shared" si="1"/>
        <v>6</v>
      </c>
    </row>
    <row r="122" spans="1:4" x14ac:dyDescent="0.55000000000000004">
      <c r="A122">
        <v>121</v>
      </c>
      <c r="B122">
        <v>48.644088746400001</v>
      </c>
      <c r="C122">
        <f>IF(B122&lt;$G$2, $F$2, IF(B122&lt;$G$3, $F$3, IF(B122&lt;$G$4, $F$4, IF(B122&lt;$G$5, $F$5, IF(B122&lt;$G$6, $F$6, IF(B122&lt;$G$7, $F$7, IF(B122&lt;$G$8, $F$8, IF(B122&lt;$G$9, $F$9, IF(B122&lt;$G$10, $F$10, $F$11)))))))))</f>
        <v>0.7</v>
      </c>
      <c r="D122">
        <f t="shared" si="1"/>
        <v>7</v>
      </c>
    </row>
    <row r="123" spans="1:4" x14ac:dyDescent="0.55000000000000004">
      <c r="A123">
        <v>122</v>
      </c>
      <c r="B123">
        <v>10.7592309151</v>
      </c>
      <c r="C123">
        <f>IF(B123&lt;$G$2, $F$2, IF(B123&lt;$G$3, $F$3, IF(B123&lt;$G$4, $F$4, IF(B123&lt;$G$5, $F$5, IF(B123&lt;$G$6, $F$6, IF(B123&lt;$G$7, $F$7, IF(B123&lt;$G$8, $F$8, IF(B123&lt;$G$9, $F$9, IF(B123&lt;$G$10, $F$10, $F$11)))))))))</f>
        <v>0.4</v>
      </c>
      <c r="D123">
        <f t="shared" si="1"/>
        <v>4</v>
      </c>
    </row>
    <row r="124" spans="1:4" x14ac:dyDescent="0.55000000000000004">
      <c r="A124">
        <v>123</v>
      </c>
      <c r="B124">
        <v>11.763096195099999</v>
      </c>
      <c r="C124">
        <f>IF(B124&lt;$G$2, $F$2, IF(B124&lt;$G$3, $F$3, IF(B124&lt;$G$4, $F$4, IF(B124&lt;$G$5, $F$5, IF(B124&lt;$G$6, $F$6, IF(B124&lt;$G$7, $F$7, IF(B124&lt;$G$8, $F$8, IF(B124&lt;$G$9, $F$9, IF(B124&lt;$G$10, $F$10, $F$11)))))))))</f>
        <v>0.4</v>
      </c>
      <c r="D124">
        <f t="shared" si="1"/>
        <v>4</v>
      </c>
    </row>
    <row r="125" spans="1:4" x14ac:dyDescent="0.55000000000000004">
      <c r="A125">
        <v>124</v>
      </c>
      <c r="B125">
        <v>41.413165172600003</v>
      </c>
      <c r="C125">
        <f>IF(B125&lt;$G$2, $F$2, IF(B125&lt;$G$3, $F$3, IF(B125&lt;$G$4, $F$4, IF(B125&lt;$G$5, $F$5, IF(B125&lt;$G$6, $F$6, IF(B125&lt;$G$7, $F$7, IF(B125&lt;$G$8, $F$8, IF(B125&lt;$G$9, $F$9, IF(B125&lt;$G$10, $F$10, $F$11)))))))))</f>
        <v>0.7</v>
      </c>
      <c r="D125">
        <f t="shared" si="1"/>
        <v>7</v>
      </c>
    </row>
    <row r="126" spans="1:4" x14ac:dyDescent="0.55000000000000004">
      <c r="A126">
        <v>125</v>
      </c>
      <c r="B126">
        <v>13.409649022</v>
      </c>
      <c r="C126">
        <f>IF(B126&lt;$G$2, $F$2, IF(B126&lt;$G$3, $F$3, IF(B126&lt;$G$4, $F$4, IF(B126&lt;$G$5, $F$5, IF(B126&lt;$G$6, $F$6, IF(B126&lt;$G$7, $F$7, IF(B126&lt;$G$8, $F$8, IF(B126&lt;$G$9, $F$9, IF(B126&lt;$G$10, $F$10, $F$11)))))))))</f>
        <v>0.4</v>
      </c>
      <c r="D126">
        <f t="shared" si="1"/>
        <v>4</v>
      </c>
    </row>
    <row r="127" spans="1:4" x14ac:dyDescent="0.55000000000000004">
      <c r="A127">
        <v>126</v>
      </c>
      <c r="B127">
        <v>100.572485153</v>
      </c>
      <c r="C127">
        <f>IF(B127&lt;$G$2, $F$2, IF(B127&lt;$G$3, $F$3, IF(B127&lt;$G$4, $F$4, IF(B127&lt;$G$5, $F$5, IF(B127&lt;$G$6, $F$6, IF(B127&lt;$G$7, $F$7, IF(B127&lt;$G$8, $F$8, IF(B127&lt;$G$9, $F$9, IF(B127&lt;$G$10, $F$10, $F$11)))))))))</f>
        <v>0.8</v>
      </c>
      <c r="D127">
        <f t="shared" si="1"/>
        <v>8</v>
      </c>
    </row>
    <row r="128" spans="1:4" x14ac:dyDescent="0.55000000000000004">
      <c r="A128">
        <v>127</v>
      </c>
      <c r="B128">
        <v>85.6397982039</v>
      </c>
      <c r="C128">
        <f>IF(B128&lt;$G$2, $F$2, IF(B128&lt;$G$3, $F$3, IF(B128&lt;$G$4, $F$4, IF(B128&lt;$G$5, $F$5, IF(B128&lt;$G$6, $F$6, IF(B128&lt;$G$7, $F$7, IF(B128&lt;$G$8, $F$8, IF(B128&lt;$G$9, $F$9, IF(B128&lt;$G$10, $F$10, $F$11)))))))))</f>
        <v>0.8</v>
      </c>
      <c r="D128">
        <f t="shared" si="1"/>
        <v>8</v>
      </c>
    </row>
    <row r="129" spans="1:4" x14ac:dyDescent="0.55000000000000004">
      <c r="A129">
        <v>128</v>
      </c>
      <c r="B129">
        <v>69.050956121300004</v>
      </c>
      <c r="C129">
        <f>IF(B129&lt;$G$2, $F$2, IF(B129&lt;$G$3, $F$3, IF(B129&lt;$G$4, $F$4, IF(B129&lt;$G$5, $F$5, IF(B129&lt;$G$6, $F$6, IF(B129&lt;$G$7, $F$7, IF(B129&lt;$G$8, $F$8, IF(B129&lt;$G$9, $F$9, IF(B129&lt;$G$10, $F$10, $F$11)))))))))</f>
        <v>0.8</v>
      </c>
      <c r="D129">
        <f t="shared" si="1"/>
        <v>8</v>
      </c>
    </row>
    <row r="130" spans="1:4" x14ac:dyDescent="0.55000000000000004">
      <c r="A130">
        <v>129</v>
      </c>
      <c r="B130">
        <v>24.223360344</v>
      </c>
      <c r="C130">
        <f>IF(B130&lt;$G$2, $F$2, IF(B130&lt;$G$3, $F$3, IF(B130&lt;$G$4, $F$4, IF(B130&lt;$G$5, $F$5, IF(B130&lt;$G$6, $F$6, IF(B130&lt;$G$7, $F$7, IF(B130&lt;$G$8, $F$8, IF(B130&lt;$G$9, $F$9, IF(B130&lt;$G$10, $F$10, $F$11)))))))))</f>
        <v>0.5</v>
      </c>
      <c r="D130">
        <f t="shared" si="1"/>
        <v>5</v>
      </c>
    </row>
    <row r="131" spans="1:4" x14ac:dyDescent="0.55000000000000004">
      <c r="A131">
        <v>130</v>
      </c>
      <c r="B131">
        <v>56.190758874899998</v>
      </c>
      <c r="C131">
        <f>IF(B131&lt;$G$2, $F$2, IF(B131&lt;$G$3, $F$3, IF(B131&lt;$G$4, $F$4, IF(B131&lt;$G$5, $F$5, IF(B131&lt;$G$6, $F$6, IF(B131&lt;$G$7, $F$7, IF(B131&lt;$G$8, $F$8, IF(B131&lt;$G$9, $F$9, IF(B131&lt;$G$10, $F$10, $F$11)))))))))</f>
        <v>0.7</v>
      </c>
      <c r="D131">
        <f t="shared" ref="D131:D194" si="2">C131*10</f>
        <v>7</v>
      </c>
    </row>
    <row r="132" spans="1:4" x14ac:dyDescent="0.55000000000000004">
      <c r="A132">
        <v>131</v>
      </c>
      <c r="B132">
        <v>11.8293532651</v>
      </c>
      <c r="C132">
        <f>IF(B132&lt;$G$2, $F$2, IF(B132&lt;$G$3, $F$3, IF(B132&lt;$G$4, $F$4, IF(B132&lt;$G$5, $F$5, IF(B132&lt;$G$6, $F$6, IF(B132&lt;$G$7, $F$7, IF(B132&lt;$G$8, $F$8, IF(B132&lt;$G$9, $F$9, IF(B132&lt;$G$10, $F$10, $F$11)))))))))</f>
        <v>0.4</v>
      </c>
      <c r="D132">
        <f t="shared" si="2"/>
        <v>4</v>
      </c>
    </row>
    <row r="133" spans="1:4" x14ac:dyDescent="0.55000000000000004">
      <c r="A133">
        <v>132</v>
      </c>
      <c r="B133">
        <v>47.154975499400003</v>
      </c>
      <c r="C133">
        <f>IF(B133&lt;$G$2, $F$2, IF(B133&lt;$G$3, $F$3, IF(B133&lt;$G$4, $F$4, IF(B133&lt;$G$5, $F$5, IF(B133&lt;$G$6, $F$6, IF(B133&lt;$G$7, $F$7, IF(B133&lt;$G$8, $F$8, IF(B133&lt;$G$9, $F$9, IF(B133&lt;$G$10, $F$10, $F$11)))))))))</f>
        <v>0.7</v>
      </c>
      <c r="D133">
        <f t="shared" si="2"/>
        <v>7</v>
      </c>
    </row>
    <row r="134" spans="1:4" x14ac:dyDescent="0.55000000000000004">
      <c r="A134">
        <v>133</v>
      </c>
      <c r="B134">
        <v>6.7177183888299998</v>
      </c>
      <c r="C134">
        <f>IF(B134&lt;$G$2, $F$2, IF(B134&lt;$G$3, $F$3, IF(B134&lt;$G$4, $F$4, IF(B134&lt;$G$5, $F$5, IF(B134&lt;$G$6, $F$6, IF(B134&lt;$G$7, $F$7, IF(B134&lt;$G$8, $F$8, IF(B134&lt;$G$9, $F$9, IF(B134&lt;$G$10, $F$10, $F$11)))))))))</f>
        <v>0.3</v>
      </c>
      <c r="D134">
        <f t="shared" si="2"/>
        <v>3</v>
      </c>
    </row>
    <row r="135" spans="1:4" x14ac:dyDescent="0.55000000000000004">
      <c r="A135">
        <v>134</v>
      </c>
      <c r="B135">
        <v>2.6473859129499999</v>
      </c>
      <c r="C135">
        <f>IF(B135&lt;$G$2, $F$2, IF(B135&lt;$G$3, $F$3, IF(B135&lt;$G$4, $F$4, IF(B135&lt;$G$5, $F$5, IF(B135&lt;$G$6, $F$6, IF(B135&lt;$G$7, $F$7, IF(B135&lt;$G$8, $F$8, IF(B135&lt;$G$9, $F$9, IF(B135&lt;$G$10, $F$10, $F$11)))))))))</f>
        <v>0.2</v>
      </c>
      <c r="D135">
        <f t="shared" si="2"/>
        <v>2</v>
      </c>
    </row>
    <row r="136" spans="1:4" x14ac:dyDescent="0.55000000000000004">
      <c r="A136">
        <v>135</v>
      </c>
      <c r="B136">
        <v>5.8731906125200002</v>
      </c>
      <c r="C136">
        <f>IF(B136&lt;$G$2, $F$2, IF(B136&lt;$G$3, $F$3, IF(B136&lt;$G$4, $F$4, IF(B136&lt;$G$5, $F$5, IF(B136&lt;$G$6, $F$6, IF(B136&lt;$G$7, $F$7, IF(B136&lt;$G$8, $F$8, IF(B136&lt;$G$9, $F$9, IF(B136&lt;$G$10, $F$10, $F$11)))))))))</f>
        <v>0.3</v>
      </c>
      <c r="D136">
        <f t="shared" si="2"/>
        <v>3</v>
      </c>
    </row>
    <row r="137" spans="1:4" x14ac:dyDescent="0.55000000000000004">
      <c r="A137">
        <v>136</v>
      </c>
      <c r="B137">
        <v>88.3738255839</v>
      </c>
      <c r="C137">
        <f>IF(B137&lt;$G$2, $F$2, IF(B137&lt;$G$3, $F$3, IF(B137&lt;$G$4, $F$4, IF(B137&lt;$G$5, $F$5, IF(B137&lt;$G$6, $F$6, IF(B137&lt;$G$7, $F$7, IF(B137&lt;$G$8, $F$8, IF(B137&lt;$G$9, $F$9, IF(B137&lt;$G$10, $F$10, $F$11)))))))))</f>
        <v>0.8</v>
      </c>
      <c r="D137">
        <f t="shared" si="2"/>
        <v>8</v>
      </c>
    </row>
    <row r="138" spans="1:4" x14ac:dyDescent="0.55000000000000004">
      <c r="A138">
        <v>137</v>
      </c>
      <c r="B138">
        <v>48.987414455600003</v>
      </c>
      <c r="C138">
        <f>IF(B138&lt;$G$2, $F$2, IF(B138&lt;$G$3, $F$3, IF(B138&lt;$G$4, $F$4, IF(B138&lt;$G$5, $F$5, IF(B138&lt;$G$6, $F$6, IF(B138&lt;$G$7, $F$7, IF(B138&lt;$G$8, $F$8, IF(B138&lt;$G$9, $F$9, IF(B138&lt;$G$10, $F$10, $F$11)))))))))</f>
        <v>0.7</v>
      </c>
      <c r="D138">
        <f t="shared" si="2"/>
        <v>7</v>
      </c>
    </row>
    <row r="139" spans="1:4" x14ac:dyDescent="0.55000000000000004">
      <c r="A139">
        <v>138</v>
      </c>
      <c r="B139">
        <v>6.3189424213100001</v>
      </c>
      <c r="C139">
        <f>IF(B139&lt;$G$2, $F$2, IF(B139&lt;$G$3, $F$3, IF(B139&lt;$G$4, $F$4, IF(B139&lt;$G$5, $F$5, IF(B139&lt;$G$6, $F$6, IF(B139&lt;$G$7, $F$7, IF(B139&lt;$G$8, $F$8, IF(B139&lt;$G$9, $F$9, IF(B139&lt;$G$10, $F$10, $F$11)))))))))</f>
        <v>0.3</v>
      </c>
      <c r="D139">
        <f t="shared" si="2"/>
        <v>3</v>
      </c>
    </row>
    <row r="140" spans="1:4" x14ac:dyDescent="0.55000000000000004">
      <c r="A140">
        <v>139</v>
      </c>
      <c r="B140">
        <v>10.3263454709</v>
      </c>
      <c r="C140">
        <f>IF(B140&lt;$G$2, $F$2, IF(B140&lt;$G$3, $F$3, IF(B140&lt;$G$4, $F$4, IF(B140&lt;$G$5, $F$5, IF(B140&lt;$G$6, $F$6, IF(B140&lt;$G$7, $F$7, IF(B140&lt;$G$8, $F$8, IF(B140&lt;$G$9, $F$9, IF(B140&lt;$G$10, $F$10, $F$11)))))))))</f>
        <v>0.3</v>
      </c>
      <c r="D140">
        <f t="shared" si="2"/>
        <v>3</v>
      </c>
    </row>
    <row r="141" spans="1:4" x14ac:dyDescent="0.55000000000000004">
      <c r="A141">
        <v>140</v>
      </c>
      <c r="B141">
        <v>3.5432400413399998</v>
      </c>
      <c r="C141">
        <f>IF(B141&lt;$G$2, $F$2, IF(B141&lt;$G$3, $F$3, IF(B141&lt;$G$4, $F$4, IF(B141&lt;$G$5, $F$5, IF(B141&lt;$G$6, $F$6, IF(B141&lt;$G$7, $F$7, IF(B141&lt;$G$8, $F$8, IF(B141&lt;$G$9, $F$9, IF(B141&lt;$G$10, $F$10, $F$11)))))))))</f>
        <v>0.2</v>
      </c>
      <c r="D141">
        <f t="shared" si="2"/>
        <v>2</v>
      </c>
    </row>
    <row r="142" spans="1:4" x14ac:dyDescent="0.55000000000000004">
      <c r="A142">
        <v>141</v>
      </c>
      <c r="B142">
        <v>7.5849660478900001</v>
      </c>
      <c r="C142">
        <f>IF(B142&lt;$G$2, $F$2, IF(B142&lt;$G$3, $F$3, IF(B142&lt;$G$4, $F$4, IF(B142&lt;$G$5, $F$5, IF(B142&lt;$G$6, $F$6, IF(B142&lt;$G$7, $F$7, IF(B142&lt;$G$8, $F$8, IF(B142&lt;$G$9, $F$9, IF(B142&lt;$G$10, $F$10, $F$11)))))))))</f>
        <v>0.3</v>
      </c>
      <c r="D142">
        <f t="shared" si="2"/>
        <v>3</v>
      </c>
    </row>
    <row r="143" spans="1:4" x14ac:dyDescent="0.55000000000000004">
      <c r="A143">
        <v>142</v>
      </c>
      <c r="B143">
        <v>11.213539684100001</v>
      </c>
      <c r="C143">
        <f>IF(B143&lt;$G$2, $F$2, IF(B143&lt;$G$3, $F$3, IF(B143&lt;$G$4, $F$4, IF(B143&lt;$G$5, $F$5, IF(B143&lt;$G$6, $F$6, IF(B143&lt;$G$7, $F$7, IF(B143&lt;$G$8, $F$8, IF(B143&lt;$G$9, $F$9, IF(B143&lt;$G$10, $F$10, $F$11)))))))))</f>
        <v>0.4</v>
      </c>
      <c r="D143">
        <f t="shared" si="2"/>
        <v>4</v>
      </c>
    </row>
    <row r="144" spans="1:4" x14ac:dyDescent="0.55000000000000004">
      <c r="A144">
        <v>143</v>
      </c>
      <c r="B144">
        <v>13.2757616042</v>
      </c>
      <c r="C144">
        <f>IF(B144&lt;$G$2, $F$2, IF(B144&lt;$G$3, $F$3, IF(B144&lt;$G$4, $F$4, IF(B144&lt;$G$5, $F$5, IF(B144&lt;$G$6, $F$6, IF(B144&lt;$G$7, $F$7, IF(B144&lt;$G$8, $F$8, IF(B144&lt;$G$9, $F$9, IF(B144&lt;$G$10, $F$10, $F$11)))))))))</f>
        <v>0.4</v>
      </c>
      <c r="D144">
        <f t="shared" si="2"/>
        <v>4</v>
      </c>
    </row>
    <row r="145" spans="1:4" x14ac:dyDescent="0.55000000000000004">
      <c r="A145">
        <v>144</v>
      </c>
      <c r="B145">
        <v>10.914095574299999</v>
      </c>
      <c r="C145">
        <f>IF(B145&lt;$G$2, $F$2, IF(B145&lt;$G$3, $F$3, IF(B145&lt;$G$4, $F$4, IF(B145&lt;$G$5, $F$5, IF(B145&lt;$G$6, $F$6, IF(B145&lt;$G$7, $F$7, IF(B145&lt;$G$8, $F$8, IF(B145&lt;$G$9, $F$9, IF(B145&lt;$G$10, $F$10, $F$11)))))))))</f>
        <v>0.4</v>
      </c>
      <c r="D145">
        <f t="shared" si="2"/>
        <v>4</v>
      </c>
    </row>
    <row r="146" spans="1:4" x14ac:dyDescent="0.55000000000000004">
      <c r="A146">
        <v>145</v>
      </c>
      <c r="B146">
        <v>31.8140128651</v>
      </c>
      <c r="C146">
        <f>IF(B146&lt;$G$2, $F$2, IF(B146&lt;$G$3, $F$3, IF(B146&lt;$G$4, $F$4, IF(B146&lt;$G$5, $F$5, IF(B146&lt;$G$6, $F$6, IF(B146&lt;$G$7, $F$7, IF(B146&lt;$G$8, $F$8, IF(B146&lt;$G$9, $F$9, IF(B146&lt;$G$10, $F$10, $F$11)))))))))</f>
        <v>0.6</v>
      </c>
      <c r="D146">
        <f t="shared" si="2"/>
        <v>6</v>
      </c>
    </row>
    <row r="147" spans="1:4" x14ac:dyDescent="0.55000000000000004">
      <c r="A147">
        <v>146</v>
      </c>
      <c r="B147">
        <v>4.4657797190700004</v>
      </c>
      <c r="C147">
        <f>IF(B147&lt;$G$2, $F$2, IF(B147&lt;$G$3, $F$3, IF(B147&lt;$G$4, $F$4, IF(B147&lt;$G$5, $F$5, IF(B147&lt;$G$6, $F$6, IF(B147&lt;$G$7, $F$7, IF(B147&lt;$G$8, $F$8, IF(B147&lt;$G$9, $F$9, IF(B147&lt;$G$10, $F$10, $F$11)))))))))</f>
        <v>0.2</v>
      </c>
      <c r="D147">
        <f t="shared" si="2"/>
        <v>2</v>
      </c>
    </row>
    <row r="148" spans="1:4" x14ac:dyDescent="0.55000000000000004">
      <c r="A148">
        <v>147</v>
      </c>
      <c r="B148">
        <v>50.584194262399997</v>
      </c>
      <c r="C148">
        <f>IF(B148&lt;$G$2, $F$2, IF(B148&lt;$G$3, $F$3, IF(B148&lt;$G$4, $F$4, IF(B148&lt;$G$5, $F$5, IF(B148&lt;$G$6, $F$6, IF(B148&lt;$G$7, $F$7, IF(B148&lt;$G$8, $F$8, IF(B148&lt;$G$9, $F$9, IF(B148&lt;$G$10, $F$10, $F$11)))))))))</f>
        <v>0.7</v>
      </c>
      <c r="D148">
        <f t="shared" si="2"/>
        <v>7</v>
      </c>
    </row>
    <row r="149" spans="1:4" x14ac:dyDescent="0.55000000000000004">
      <c r="A149">
        <v>148</v>
      </c>
      <c r="B149">
        <v>6.3185791303199998</v>
      </c>
      <c r="C149">
        <f>IF(B149&lt;$G$2, $F$2, IF(B149&lt;$G$3, $F$3, IF(B149&lt;$G$4, $F$4, IF(B149&lt;$G$5, $F$5, IF(B149&lt;$G$6, $F$6, IF(B149&lt;$G$7, $F$7, IF(B149&lt;$G$8, $F$8, IF(B149&lt;$G$9, $F$9, IF(B149&lt;$G$10, $F$10, $F$11)))))))))</f>
        <v>0.3</v>
      </c>
      <c r="D149">
        <f t="shared" si="2"/>
        <v>3</v>
      </c>
    </row>
    <row r="150" spans="1:4" x14ac:dyDescent="0.55000000000000004">
      <c r="A150">
        <v>149</v>
      </c>
      <c r="B150">
        <v>16.428733532599999</v>
      </c>
      <c r="C150">
        <f>IF(B150&lt;$G$2, $F$2, IF(B150&lt;$G$3, $F$3, IF(B150&lt;$G$4, $F$4, IF(B150&lt;$G$5, $F$5, IF(B150&lt;$G$6, $F$6, IF(B150&lt;$G$7, $F$7, IF(B150&lt;$G$8, $F$8, IF(B150&lt;$G$9, $F$9, IF(B150&lt;$G$10, $F$10, $F$11)))))))))</f>
        <v>0.4</v>
      </c>
      <c r="D150">
        <f t="shared" si="2"/>
        <v>4</v>
      </c>
    </row>
    <row r="151" spans="1:4" x14ac:dyDescent="0.55000000000000004">
      <c r="A151">
        <v>150</v>
      </c>
      <c r="B151">
        <v>80.574508427599994</v>
      </c>
      <c r="C151">
        <f>IF(B151&lt;$G$2, $F$2, IF(B151&lt;$G$3, $F$3, IF(B151&lt;$G$4, $F$4, IF(B151&lt;$G$5, $F$5, IF(B151&lt;$G$6, $F$6, IF(B151&lt;$G$7, $F$7, IF(B151&lt;$G$8, $F$8, IF(B151&lt;$G$9, $F$9, IF(B151&lt;$G$10, $F$10, $F$11)))))))))</f>
        <v>0.8</v>
      </c>
      <c r="D151">
        <f t="shared" si="2"/>
        <v>8</v>
      </c>
    </row>
    <row r="152" spans="1:4" x14ac:dyDescent="0.55000000000000004">
      <c r="A152">
        <v>151</v>
      </c>
      <c r="B152">
        <v>11.2986178365</v>
      </c>
      <c r="C152">
        <f>IF(B152&lt;$G$2, $F$2, IF(B152&lt;$G$3, $F$3, IF(B152&lt;$G$4, $F$4, IF(B152&lt;$G$5, $F$5, IF(B152&lt;$G$6, $F$6, IF(B152&lt;$G$7, $F$7, IF(B152&lt;$G$8, $F$8, IF(B152&lt;$G$9, $F$9, IF(B152&lt;$G$10, $F$10, $F$11)))))))))</f>
        <v>0.4</v>
      </c>
      <c r="D152">
        <f t="shared" si="2"/>
        <v>4</v>
      </c>
    </row>
    <row r="153" spans="1:4" x14ac:dyDescent="0.55000000000000004">
      <c r="A153">
        <v>152</v>
      </c>
      <c r="B153">
        <v>5.2639244636300004</v>
      </c>
      <c r="C153">
        <f>IF(B153&lt;$G$2, $F$2, IF(B153&lt;$G$3, $F$3, IF(B153&lt;$G$4, $F$4, IF(B153&lt;$G$5, $F$5, IF(B153&lt;$G$6, $F$6, IF(B153&lt;$G$7, $F$7, IF(B153&lt;$G$8, $F$8, IF(B153&lt;$G$9, $F$9, IF(B153&lt;$G$10, $F$10, $F$11)))))))))</f>
        <v>0.2</v>
      </c>
      <c r="D153">
        <f t="shared" si="2"/>
        <v>2</v>
      </c>
    </row>
    <row r="154" spans="1:4" x14ac:dyDescent="0.55000000000000004">
      <c r="A154">
        <v>153</v>
      </c>
      <c r="B154">
        <v>126.617409501</v>
      </c>
      <c r="C154">
        <f>IF(B154&lt;$G$2, $F$2, IF(B154&lt;$G$3, $F$3, IF(B154&lt;$G$4, $F$4, IF(B154&lt;$G$5, $F$5, IF(B154&lt;$G$6, $F$6, IF(B154&lt;$G$7, $F$7, IF(B154&lt;$G$8, $F$8, IF(B154&lt;$G$9, $F$9, IF(B154&lt;$G$10, $F$10, $F$11)))))))))</f>
        <v>0.9</v>
      </c>
      <c r="D154">
        <f t="shared" si="2"/>
        <v>9</v>
      </c>
    </row>
    <row r="155" spans="1:4" x14ac:dyDescent="0.55000000000000004">
      <c r="A155">
        <v>154</v>
      </c>
      <c r="B155">
        <v>68.981480055600002</v>
      </c>
      <c r="C155">
        <f>IF(B155&lt;$G$2, $F$2, IF(B155&lt;$G$3, $F$3, IF(B155&lt;$G$4, $F$4, IF(B155&lt;$G$5, $F$5, IF(B155&lt;$G$6, $F$6, IF(B155&lt;$G$7, $F$7, IF(B155&lt;$G$8, $F$8, IF(B155&lt;$G$9, $F$9, IF(B155&lt;$G$10, $F$10, $F$11)))))))))</f>
        <v>0.8</v>
      </c>
      <c r="D155">
        <f t="shared" si="2"/>
        <v>8</v>
      </c>
    </row>
    <row r="156" spans="1:4" x14ac:dyDescent="0.55000000000000004">
      <c r="A156">
        <v>155</v>
      </c>
      <c r="B156">
        <v>43.5773259403</v>
      </c>
      <c r="C156">
        <f>IF(B156&lt;$G$2, $F$2, IF(B156&lt;$G$3, $F$3, IF(B156&lt;$G$4, $F$4, IF(B156&lt;$G$5, $F$5, IF(B156&lt;$G$6, $F$6, IF(B156&lt;$G$7, $F$7, IF(B156&lt;$G$8, $F$8, IF(B156&lt;$G$9, $F$9, IF(B156&lt;$G$10, $F$10, $F$11)))))))))</f>
        <v>0.7</v>
      </c>
      <c r="D156">
        <f t="shared" si="2"/>
        <v>7</v>
      </c>
    </row>
    <row r="157" spans="1:4" x14ac:dyDescent="0.55000000000000004">
      <c r="A157">
        <v>156</v>
      </c>
      <c r="B157">
        <v>62.177679156000004</v>
      </c>
      <c r="C157">
        <f>IF(B157&lt;$G$2, $F$2, IF(B157&lt;$G$3, $F$3, IF(B157&lt;$G$4, $F$4, IF(B157&lt;$G$5, $F$5, IF(B157&lt;$G$6, $F$6, IF(B157&lt;$G$7, $F$7, IF(B157&lt;$G$8, $F$8, IF(B157&lt;$G$9, $F$9, IF(B157&lt;$G$10, $F$10, $F$11)))))))))</f>
        <v>0.7</v>
      </c>
      <c r="D157">
        <f t="shared" si="2"/>
        <v>7</v>
      </c>
    </row>
    <row r="158" spans="1:4" x14ac:dyDescent="0.55000000000000004">
      <c r="A158">
        <v>157</v>
      </c>
      <c r="B158">
        <v>26.859157353699999</v>
      </c>
      <c r="C158">
        <f>IF(B158&lt;$G$2, $F$2, IF(B158&lt;$G$3, $F$3, IF(B158&lt;$G$4, $F$4, IF(B158&lt;$G$5, $F$5, IF(B158&lt;$G$6, $F$6, IF(B158&lt;$G$7, $F$7, IF(B158&lt;$G$8, $F$8, IF(B158&lt;$G$9, $F$9, IF(B158&lt;$G$10, $F$10, $F$11)))))))))</f>
        <v>0.6</v>
      </c>
      <c r="D158">
        <f t="shared" si="2"/>
        <v>6</v>
      </c>
    </row>
    <row r="159" spans="1:4" x14ac:dyDescent="0.55000000000000004">
      <c r="A159">
        <v>158</v>
      </c>
      <c r="B159">
        <v>6.6142937713199998</v>
      </c>
      <c r="C159">
        <f>IF(B159&lt;$G$2, $F$2, IF(B159&lt;$G$3, $F$3, IF(B159&lt;$G$4, $F$4, IF(B159&lt;$G$5, $F$5, IF(B159&lt;$G$6, $F$6, IF(B159&lt;$G$7, $F$7, IF(B159&lt;$G$8, $F$8, IF(B159&lt;$G$9, $F$9, IF(B159&lt;$G$10, $F$10, $F$11)))))))))</f>
        <v>0.3</v>
      </c>
      <c r="D159">
        <f t="shared" si="2"/>
        <v>3</v>
      </c>
    </row>
    <row r="160" spans="1:4" x14ac:dyDescent="0.55000000000000004">
      <c r="A160">
        <v>159</v>
      </c>
      <c r="B160">
        <v>19.482700837500001</v>
      </c>
      <c r="C160">
        <f>IF(B160&lt;$G$2, $F$2, IF(B160&lt;$G$3, $F$3, IF(B160&lt;$G$4, $F$4, IF(B160&lt;$G$5, $F$5, IF(B160&lt;$G$6, $F$6, IF(B160&lt;$G$7, $F$7, IF(B160&lt;$G$8, $F$8, IF(B160&lt;$G$9, $F$9, IF(B160&lt;$G$10, $F$10, $F$11)))))))))</f>
        <v>0.5</v>
      </c>
      <c r="D160">
        <f t="shared" si="2"/>
        <v>5</v>
      </c>
    </row>
    <row r="161" spans="1:4" x14ac:dyDescent="0.55000000000000004">
      <c r="A161">
        <v>160</v>
      </c>
      <c r="B161">
        <v>25.757041331500002</v>
      </c>
      <c r="C161">
        <f>IF(B161&lt;$G$2, $F$2, IF(B161&lt;$G$3, $F$3, IF(B161&lt;$G$4, $F$4, IF(B161&lt;$G$5, $F$5, IF(B161&lt;$G$6, $F$6, IF(B161&lt;$G$7, $F$7, IF(B161&lt;$G$8, $F$8, IF(B161&lt;$G$9, $F$9, IF(B161&lt;$G$10, $F$10, $F$11)))))))))</f>
        <v>0.5</v>
      </c>
      <c r="D161">
        <f t="shared" si="2"/>
        <v>5</v>
      </c>
    </row>
    <row r="162" spans="1:4" x14ac:dyDescent="0.55000000000000004">
      <c r="A162">
        <v>161</v>
      </c>
      <c r="B162">
        <v>4.8488063254</v>
      </c>
      <c r="C162">
        <f>IF(B162&lt;$G$2, $F$2, IF(B162&lt;$G$3, $F$3, IF(B162&lt;$G$4, $F$4, IF(B162&lt;$G$5, $F$5, IF(B162&lt;$G$6, $F$6, IF(B162&lt;$G$7, $F$7, IF(B162&lt;$G$8, $F$8, IF(B162&lt;$G$9, $F$9, IF(B162&lt;$G$10, $F$10, $F$11)))))))))</f>
        <v>0.2</v>
      </c>
      <c r="D162">
        <f t="shared" si="2"/>
        <v>2</v>
      </c>
    </row>
    <row r="163" spans="1:4" x14ac:dyDescent="0.55000000000000004">
      <c r="A163">
        <v>162</v>
      </c>
      <c r="B163">
        <v>1.2904587865899999</v>
      </c>
      <c r="C163">
        <f>IF(B163&lt;$G$2, $F$2, IF(B163&lt;$G$3, $F$3, IF(B163&lt;$G$4, $F$4, IF(B163&lt;$G$5, $F$5, IF(B163&lt;$G$6, $F$6, IF(B163&lt;$G$7, $F$7, IF(B163&lt;$G$8, $F$8, IF(B163&lt;$G$9, $F$9, IF(B163&lt;$G$10, $F$10, $F$11)))))))))</f>
        <v>0.1</v>
      </c>
      <c r="D163">
        <f t="shared" si="2"/>
        <v>1</v>
      </c>
    </row>
    <row r="164" spans="1:4" x14ac:dyDescent="0.55000000000000004">
      <c r="A164">
        <v>163</v>
      </c>
      <c r="B164">
        <v>18.447143497500001</v>
      </c>
      <c r="C164">
        <f>IF(B164&lt;$G$2, $F$2, IF(B164&lt;$G$3, $F$3, IF(B164&lt;$G$4, $F$4, IF(B164&lt;$G$5, $F$5, IF(B164&lt;$G$6, $F$6, IF(B164&lt;$G$7, $F$7, IF(B164&lt;$G$8, $F$8, IF(B164&lt;$G$9, $F$9, IF(B164&lt;$G$10, $F$10, $F$11)))))))))</f>
        <v>0.5</v>
      </c>
      <c r="D164">
        <f t="shared" si="2"/>
        <v>5</v>
      </c>
    </row>
    <row r="165" spans="1:4" x14ac:dyDescent="0.55000000000000004">
      <c r="A165">
        <v>164</v>
      </c>
      <c r="B165">
        <v>7.08947929187</v>
      </c>
      <c r="C165">
        <f>IF(B165&lt;$G$2, $F$2, IF(B165&lt;$G$3, $F$3, IF(B165&lt;$G$4, $F$4, IF(B165&lt;$G$5, $F$5, IF(B165&lt;$G$6, $F$6, IF(B165&lt;$G$7, $F$7, IF(B165&lt;$G$8, $F$8, IF(B165&lt;$G$9, $F$9, IF(B165&lt;$G$10, $F$10, $F$11)))))))))</f>
        <v>0.3</v>
      </c>
      <c r="D165">
        <f t="shared" si="2"/>
        <v>3</v>
      </c>
    </row>
    <row r="166" spans="1:4" x14ac:dyDescent="0.55000000000000004">
      <c r="A166">
        <v>165</v>
      </c>
      <c r="B166">
        <v>37.660458767400002</v>
      </c>
      <c r="C166">
        <f>IF(B166&lt;$G$2, $F$2, IF(B166&lt;$G$3, $F$3, IF(B166&lt;$G$4, $F$4, IF(B166&lt;$G$5, $F$5, IF(B166&lt;$G$6, $F$6, IF(B166&lt;$G$7, $F$7, IF(B166&lt;$G$8, $F$8, IF(B166&lt;$G$9, $F$9, IF(B166&lt;$G$10, $F$10, $F$11)))))))))</f>
        <v>0.6</v>
      </c>
      <c r="D166">
        <f t="shared" si="2"/>
        <v>6</v>
      </c>
    </row>
    <row r="167" spans="1:4" x14ac:dyDescent="0.55000000000000004">
      <c r="A167">
        <v>166</v>
      </c>
      <c r="B167">
        <v>25.360673904199999</v>
      </c>
      <c r="C167">
        <f>IF(B167&lt;$G$2, $F$2, IF(B167&lt;$G$3, $F$3, IF(B167&lt;$G$4, $F$4, IF(B167&lt;$G$5, $F$5, IF(B167&lt;$G$6, $F$6, IF(B167&lt;$G$7, $F$7, IF(B167&lt;$G$8, $F$8, IF(B167&lt;$G$9, $F$9, IF(B167&lt;$G$10, $F$10, $F$11)))))))))</f>
        <v>0.5</v>
      </c>
      <c r="D167">
        <f t="shared" si="2"/>
        <v>5</v>
      </c>
    </row>
    <row r="168" spans="1:4" x14ac:dyDescent="0.55000000000000004">
      <c r="A168">
        <v>167</v>
      </c>
      <c r="B168">
        <v>4.35013757789</v>
      </c>
      <c r="C168">
        <f>IF(B168&lt;$G$2, $F$2, IF(B168&lt;$G$3, $F$3, IF(B168&lt;$G$4, $F$4, IF(B168&lt;$G$5, $F$5, IF(B168&lt;$G$6, $F$6, IF(B168&lt;$G$7, $F$7, IF(B168&lt;$G$8, $F$8, IF(B168&lt;$G$9, $F$9, IF(B168&lt;$G$10, $F$10, $F$11)))))))))</f>
        <v>0.2</v>
      </c>
      <c r="D168">
        <f t="shared" si="2"/>
        <v>2</v>
      </c>
    </row>
    <row r="169" spans="1:4" x14ac:dyDescent="0.55000000000000004">
      <c r="A169">
        <v>168</v>
      </c>
      <c r="B169">
        <v>6.3634720265400002</v>
      </c>
      <c r="C169">
        <f>IF(B169&lt;$G$2, $F$2, IF(B169&lt;$G$3, $F$3, IF(B169&lt;$G$4, $F$4, IF(B169&lt;$G$5, $F$5, IF(B169&lt;$G$6, $F$6, IF(B169&lt;$G$7, $F$7, IF(B169&lt;$G$8, $F$8, IF(B169&lt;$G$9, $F$9, IF(B169&lt;$G$10, $F$10, $F$11)))))))))</f>
        <v>0.3</v>
      </c>
      <c r="D169">
        <f t="shared" si="2"/>
        <v>3</v>
      </c>
    </row>
    <row r="170" spans="1:4" x14ac:dyDescent="0.55000000000000004">
      <c r="A170">
        <v>169</v>
      </c>
      <c r="B170">
        <v>11.235758350399999</v>
      </c>
      <c r="C170">
        <f>IF(B170&lt;$G$2, $F$2, IF(B170&lt;$G$3, $F$3, IF(B170&lt;$G$4, $F$4, IF(B170&lt;$G$5, $F$5, IF(B170&lt;$G$6, $F$6, IF(B170&lt;$G$7, $F$7, IF(B170&lt;$G$8, $F$8, IF(B170&lt;$G$9, $F$9, IF(B170&lt;$G$10, $F$10, $F$11)))))))))</f>
        <v>0.4</v>
      </c>
      <c r="D170">
        <f t="shared" si="2"/>
        <v>4</v>
      </c>
    </row>
    <row r="171" spans="1:4" x14ac:dyDescent="0.55000000000000004">
      <c r="A171">
        <v>170</v>
      </c>
      <c r="B171">
        <v>16.883369356100001</v>
      </c>
      <c r="C171">
        <f>IF(B171&lt;$G$2, $F$2, IF(B171&lt;$G$3, $F$3, IF(B171&lt;$G$4, $F$4, IF(B171&lt;$G$5, $F$5, IF(B171&lt;$G$6, $F$6, IF(B171&lt;$G$7, $F$7, IF(B171&lt;$G$8, $F$8, IF(B171&lt;$G$9, $F$9, IF(B171&lt;$G$10, $F$10, $F$11)))))))))</f>
        <v>0.4</v>
      </c>
      <c r="D171">
        <f t="shared" si="2"/>
        <v>4</v>
      </c>
    </row>
    <row r="172" spans="1:4" x14ac:dyDescent="0.55000000000000004">
      <c r="A172">
        <v>171</v>
      </c>
      <c r="B172">
        <v>8.7933096566100009</v>
      </c>
      <c r="C172">
        <f>IF(B172&lt;$G$2, $F$2, IF(B172&lt;$G$3, $F$3, IF(B172&lt;$G$4, $F$4, IF(B172&lt;$G$5, $F$5, IF(B172&lt;$G$6, $F$6, IF(B172&lt;$G$7, $F$7, IF(B172&lt;$G$8, $F$8, IF(B172&lt;$G$9, $F$9, IF(B172&lt;$G$10, $F$10, $F$11)))))))))</f>
        <v>0.3</v>
      </c>
      <c r="D172">
        <f t="shared" si="2"/>
        <v>3</v>
      </c>
    </row>
    <row r="173" spans="1:4" x14ac:dyDescent="0.55000000000000004">
      <c r="A173">
        <v>172</v>
      </c>
      <c r="B173">
        <v>21.9281746162</v>
      </c>
      <c r="C173">
        <f>IF(B173&lt;$G$2, $F$2, IF(B173&lt;$G$3, $F$3, IF(B173&lt;$G$4, $F$4, IF(B173&lt;$G$5, $F$5, IF(B173&lt;$G$6, $F$6, IF(B173&lt;$G$7, $F$7, IF(B173&lt;$G$8, $F$8, IF(B173&lt;$G$9, $F$9, IF(B173&lt;$G$10, $F$10, $F$11)))))))))</f>
        <v>0.5</v>
      </c>
      <c r="D173">
        <f t="shared" si="2"/>
        <v>5</v>
      </c>
    </row>
    <row r="174" spans="1:4" x14ac:dyDescent="0.55000000000000004">
      <c r="A174">
        <v>173</v>
      </c>
      <c r="B174">
        <v>47.739989531799999</v>
      </c>
      <c r="C174">
        <f>IF(B174&lt;$G$2, $F$2, IF(B174&lt;$G$3, $F$3, IF(B174&lt;$G$4, $F$4, IF(B174&lt;$G$5, $F$5, IF(B174&lt;$G$6, $F$6, IF(B174&lt;$G$7, $F$7, IF(B174&lt;$G$8, $F$8, IF(B174&lt;$G$9, $F$9, IF(B174&lt;$G$10, $F$10, $F$11)))))))))</f>
        <v>0.7</v>
      </c>
      <c r="D174">
        <f t="shared" si="2"/>
        <v>7</v>
      </c>
    </row>
    <row r="175" spans="1:4" x14ac:dyDescent="0.55000000000000004">
      <c r="A175">
        <v>174</v>
      </c>
      <c r="B175">
        <v>107.163762711</v>
      </c>
      <c r="C175">
        <f>IF(B175&lt;$G$2, $F$2, IF(B175&lt;$G$3, $F$3, IF(B175&lt;$G$4, $F$4, IF(B175&lt;$G$5, $F$5, IF(B175&lt;$G$6, $F$6, IF(B175&lt;$G$7, $F$7, IF(B175&lt;$G$8, $F$8, IF(B175&lt;$G$9, $F$9, IF(B175&lt;$G$10, $F$10, $F$11)))))))))</f>
        <v>0.8</v>
      </c>
      <c r="D175">
        <f t="shared" si="2"/>
        <v>8</v>
      </c>
    </row>
    <row r="176" spans="1:4" x14ac:dyDescent="0.55000000000000004">
      <c r="A176">
        <v>175</v>
      </c>
      <c r="B176">
        <v>26.722876373799998</v>
      </c>
      <c r="C176">
        <f>IF(B176&lt;$G$2, $F$2, IF(B176&lt;$G$3, $F$3, IF(B176&lt;$G$4, $F$4, IF(B176&lt;$G$5, $F$5, IF(B176&lt;$G$6, $F$6, IF(B176&lt;$G$7, $F$7, IF(B176&lt;$G$8, $F$8, IF(B176&lt;$G$9, $F$9, IF(B176&lt;$G$10, $F$10, $F$11)))))))))</f>
        <v>0.6</v>
      </c>
      <c r="D176">
        <f t="shared" si="2"/>
        <v>6</v>
      </c>
    </row>
    <row r="177" spans="1:4" x14ac:dyDescent="0.55000000000000004">
      <c r="A177">
        <v>176</v>
      </c>
      <c r="B177">
        <v>135.82207025899999</v>
      </c>
      <c r="C177">
        <f>IF(B177&lt;$G$2, $F$2, IF(B177&lt;$G$3, $F$3, IF(B177&lt;$G$4, $F$4, IF(B177&lt;$G$5, $F$5, IF(B177&lt;$G$6, $F$6, IF(B177&lt;$G$7, $F$7, IF(B177&lt;$G$8, $F$8, IF(B177&lt;$G$9, $F$9, IF(B177&lt;$G$10, $F$10, $F$11)))))))))</f>
        <v>0.9</v>
      </c>
      <c r="D177">
        <f t="shared" si="2"/>
        <v>9</v>
      </c>
    </row>
    <row r="178" spans="1:4" x14ac:dyDescent="0.55000000000000004">
      <c r="A178">
        <v>177</v>
      </c>
      <c r="B178">
        <v>514.283439864</v>
      </c>
      <c r="C178">
        <f>IF(B178&lt;$G$2, $F$2, IF(B178&lt;$G$3, $F$3, IF(B178&lt;$G$4, $F$4, IF(B178&lt;$G$5, $F$5, IF(B178&lt;$G$6, $F$6, IF(B178&lt;$G$7, $F$7, IF(B178&lt;$G$8, $F$8, IF(B178&lt;$G$9, $F$9, IF(B178&lt;$G$10, $F$10, $F$11)))))))))</f>
        <v>1</v>
      </c>
      <c r="D178">
        <f t="shared" si="2"/>
        <v>10</v>
      </c>
    </row>
    <row r="179" spans="1:4" x14ac:dyDescent="0.55000000000000004">
      <c r="A179">
        <v>178</v>
      </c>
      <c r="B179">
        <v>228.575662532</v>
      </c>
      <c r="C179">
        <f>IF(B179&lt;$G$2, $F$2, IF(B179&lt;$G$3, $F$3, IF(B179&lt;$G$4, $F$4, IF(B179&lt;$G$5, $F$5, IF(B179&lt;$G$6, $F$6, IF(B179&lt;$G$7, $F$7, IF(B179&lt;$G$8, $F$8, IF(B179&lt;$G$9, $F$9, IF(B179&lt;$G$10, $F$10, $F$11)))))))))</f>
        <v>0.9</v>
      </c>
      <c r="D179">
        <f t="shared" si="2"/>
        <v>9</v>
      </c>
    </row>
    <row r="180" spans="1:4" x14ac:dyDescent="0.55000000000000004">
      <c r="A180">
        <v>179</v>
      </c>
      <c r="B180">
        <v>108.81671176899999</v>
      </c>
      <c r="C180">
        <f>IF(B180&lt;$G$2, $F$2, IF(B180&lt;$G$3, $F$3, IF(B180&lt;$G$4, $F$4, IF(B180&lt;$G$5, $F$5, IF(B180&lt;$G$6, $F$6, IF(B180&lt;$G$7, $F$7, IF(B180&lt;$G$8, $F$8, IF(B180&lt;$G$9, $F$9, IF(B180&lt;$G$10, $F$10, $F$11)))))))))</f>
        <v>0.8</v>
      </c>
      <c r="D180">
        <f t="shared" si="2"/>
        <v>8</v>
      </c>
    </row>
    <row r="181" spans="1:4" x14ac:dyDescent="0.55000000000000004">
      <c r="A181">
        <v>180</v>
      </c>
      <c r="B181">
        <v>58.194372765700003</v>
      </c>
      <c r="C181">
        <f>IF(B181&lt;$G$2, $F$2, IF(B181&lt;$G$3, $F$3, IF(B181&lt;$G$4, $F$4, IF(B181&lt;$G$5, $F$5, IF(B181&lt;$G$6, $F$6, IF(B181&lt;$G$7, $F$7, IF(B181&lt;$G$8, $F$8, IF(B181&lt;$G$9, $F$9, IF(B181&lt;$G$10, $F$10, $F$11)))))))))</f>
        <v>0.7</v>
      </c>
      <c r="D181">
        <f t="shared" si="2"/>
        <v>7</v>
      </c>
    </row>
    <row r="182" spans="1:4" x14ac:dyDescent="0.55000000000000004">
      <c r="A182">
        <v>181</v>
      </c>
      <c r="B182">
        <v>303.15396275000001</v>
      </c>
      <c r="C182">
        <f>IF(B182&lt;$G$2, $F$2, IF(B182&lt;$G$3, $F$3, IF(B182&lt;$G$4, $F$4, IF(B182&lt;$G$5, $F$5, IF(B182&lt;$G$6, $F$6, IF(B182&lt;$G$7, $F$7, IF(B182&lt;$G$8, $F$8, IF(B182&lt;$G$9, $F$9, IF(B182&lt;$G$10, $F$10, $F$11)))))))))</f>
        <v>0.9</v>
      </c>
      <c r="D182">
        <f t="shared" si="2"/>
        <v>9</v>
      </c>
    </row>
    <row r="183" spans="1:4" x14ac:dyDescent="0.55000000000000004">
      <c r="A183">
        <v>182</v>
      </c>
      <c r="B183">
        <v>27.8200870358</v>
      </c>
      <c r="C183">
        <f>IF(B183&lt;$G$2, $F$2, IF(B183&lt;$G$3, $F$3, IF(B183&lt;$G$4, $F$4, IF(B183&lt;$G$5, $F$5, IF(B183&lt;$G$6, $F$6, IF(B183&lt;$G$7, $F$7, IF(B183&lt;$G$8, $F$8, IF(B183&lt;$G$9, $F$9, IF(B183&lt;$G$10, $F$10, $F$11)))))))))</f>
        <v>0.6</v>
      </c>
      <c r="D183">
        <f t="shared" si="2"/>
        <v>6</v>
      </c>
    </row>
    <row r="184" spans="1:4" x14ac:dyDescent="0.55000000000000004">
      <c r="A184">
        <v>183</v>
      </c>
      <c r="B184">
        <v>9.8698277501499998</v>
      </c>
      <c r="C184">
        <f>IF(B184&lt;$G$2, $F$2, IF(B184&lt;$G$3, $F$3, IF(B184&lt;$G$4, $F$4, IF(B184&lt;$G$5, $F$5, IF(B184&lt;$G$6, $F$6, IF(B184&lt;$G$7, $F$7, IF(B184&lt;$G$8, $F$8, IF(B184&lt;$G$9, $F$9, IF(B184&lt;$G$10, $F$10, $F$11)))))))))</f>
        <v>0.3</v>
      </c>
      <c r="D184">
        <f t="shared" si="2"/>
        <v>3</v>
      </c>
    </row>
    <row r="185" spans="1:4" x14ac:dyDescent="0.55000000000000004">
      <c r="A185">
        <v>184</v>
      </c>
      <c r="B185">
        <v>30.0184009255</v>
      </c>
      <c r="C185">
        <f>IF(B185&lt;$G$2, $F$2, IF(B185&lt;$G$3, $F$3, IF(B185&lt;$G$4, $F$4, IF(B185&lt;$G$5, $F$5, IF(B185&lt;$G$6, $F$6, IF(B185&lt;$G$7, $F$7, IF(B185&lt;$G$8, $F$8, IF(B185&lt;$G$9, $F$9, IF(B185&lt;$G$10, $F$10, $F$11)))))))))</f>
        <v>0.6</v>
      </c>
      <c r="D185">
        <f t="shared" si="2"/>
        <v>6</v>
      </c>
    </row>
    <row r="186" spans="1:4" x14ac:dyDescent="0.55000000000000004">
      <c r="A186">
        <v>185</v>
      </c>
      <c r="B186">
        <v>1.0145006033699999</v>
      </c>
      <c r="C186">
        <f>IF(B186&lt;$G$2, $F$2, IF(B186&lt;$G$3, $F$3, IF(B186&lt;$G$4, $F$4, IF(B186&lt;$G$5, $F$5, IF(B186&lt;$G$6, $F$6, IF(B186&lt;$G$7, $F$7, IF(B186&lt;$G$8, $F$8, IF(B186&lt;$G$9, $F$9, IF(B186&lt;$G$10, $F$10, $F$11)))))))))</f>
        <v>0.1</v>
      </c>
      <c r="D186">
        <f t="shared" si="2"/>
        <v>1</v>
      </c>
    </row>
    <row r="187" spans="1:4" x14ac:dyDescent="0.55000000000000004">
      <c r="A187">
        <v>186</v>
      </c>
      <c r="B187">
        <v>17.226969506100001</v>
      </c>
      <c r="C187">
        <f>IF(B187&lt;$G$2, $F$2, IF(B187&lt;$G$3, $F$3, IF(B187&lt;$G$4, $F$4, IF(B187&lt;$G$5, $F$5, IF(B187&lt;$G$6, $F$6, IF(B187&lt;$G$7, $F$7, IF(B187&lt;$G$8, $F$8, IF(B187&lt;$G$9, $F$9, IF(B187&lt;$G$10, $F$10, $F$11)))))))))</f>
        <v>0.4</v>
      </c>
      <c r="D187">
        <f t="shared" si="2"/>
        <v>4</v>
      </c>
    </row>
    <row r="188" spans="1:4" x14ac:dyDescent="0.55000000000000004">
      <c r="A188">
        <v>187</v>
      </c>
      <c r="B188">
        <v>10.4035025475</v>
      </c>
      <c r="C188">
        <f>IF(B188&lt;$G$2, $F$2, IF(B188&lt;$G$3, $F$3, IF(B188&lt;$G$4, $F$4, IF(B188&lt;$G$5, $F$5, IF(B188&lt;$G$6, $F$6, IF(B188&lt;$G$7, $F$7, IF(B188&lt;$G$8, $F$8, IF(B188&lt;$G$9, $F$9, IF(B188&lt;$G$10, $F$10, $F$11)))))))))</f>
        <v>0.4</v>
      </c>
      <c r="D188">
        <f t="shared" si="2"/>
        <v>4</v>
      </c>
    </row>
    <row r="189" spans="1:4" x14ac:dyDescent="0.55000000000000004">
      <c r="A189">
        <v>188</v>
      </c>
      <c r="B189">
        <v>29.725858004300001</v>
      </c>
      <c r="C189">
        <f>IF(B189&lt;$G$2, $F$2, IF(B189&lt;$G$3, $F$3, IF(B189&lt;$G$4, $F$4, IF(B189&lt;$G$5, $F$5, IF(B189&lt;$G$6, $F$6, IF(B189&lt;$G$7, $F$7, IF(B189&lt;$G$8, $F$8, IF(B189&lt;$G$9, $F$9, IF(B189&lt;$G$10, $F$10, $F$11)))))))))</f>
        <v>0.6</v>
      </c>
      <c r="D189">
        <f t="shared" si="2"/>
        <v>6</v>
      </c>
    </row>
    <row r="190" spans="1:4" x14ac:dyDescent="0.55000000000000004">
      <c r="A190">
        <v>189</v>
      </c>
      <c r="B190">
        <v>13.906919885800001</v>
      </c>
      <c r="C190">
        <f>IF(B190&lt;$G$2, $F$2, IF(B190&lt;$G$3, $F$3, IF(B190&lt;$G$4, $F$4, IF(B190&lt;$G$5, $F$5, IF(B190&lt;$G$6, $F$6, IF(B190&lt;$G$7, $F$7, IF(B190&lt;$G$8, $F$8, IF(B190&lt;$G$9, $F$9, IF(B190&lt;$G$10, $F$10, $F$11)))))))))</f>
        <v>0.4</v>
      </c>
      <c r="D190">
        <f t="shared" si="2"/>
        <v>4</v>
      </c>
    </row>
    <row r="191" spans="1:4" x14ac:dyDescent="0.55000000000000004">
      <c r="A191">
        <v>190</v>
      </c>
      <c r="B191">
        <v>13.7006616428</v>
      </c>
      <c r="C191">
        <f>IF(B191&lt;$G$2, $F$2, IF(B191&lt;$G$3, $F$3, IF(B191&lt;$G$4, $F$4, IF(B191&lt;$G$5, $F$5, IF(B191&lt;$G$6, $F$6, IF(B191&lt;$G$7, $F$7, IF(B191&lt;$G$8, $F$8, IF(B191&lt;$G$9, $F$9, IF(B191&lt;$G$10, $F$10, $F$11)))))))))</f>
        <v>0.4</v>
      </c>
      <c r="D191">
        <f t="shared" si="2"/>
        <v>4</v>
      </c>
    </row>
    <row r="192" spans="1:4" x14ac:dyDescent="0.55000000000000004">
      <c r="A192">
        <v>191</v>
      </c>
      <c r="B192">
        <v>1.71791984008</v>
      </c>
      <c r="C192">
        <f>IF(B192&lt;$G$2, $F$2, IF(B192&lt;$G$3, $F$3, IF(B192&lt;$G$4, $F$4, IF(B192&lt;$G$5, $F$5, IF(B192&lt;$G$6, $F$6, IF(B192&lt;$G$7, $F$7, IF(B192&lt;$G$8, $F$8, IF(B192&lt;$G$9, $F$9, IF(B192&lt;$G$10, $F$10, $F$11)))))))))</f>
        <v>0.1</v>
      </c>
      <c r="D192">
        <f t="shared" si="2"/>
        <v>1</v>
      </c>
    </row>
    <row r="193" spans="1:4" x14ac:dyDescent="0.55000000000000004">
      <c r="A193">
        <v>192</v>
      </c>
      <c r="B193">
        <v>49.216067360799997</v>
      </c>
      <c r="C193">
        <f>IF(B193&lt;$G$2, $F$2, IF(B193&lt;$G$3, $F$3, IF(B193&lt;$G$4, $F$4, IF(B193&lt;$G$5, $F$5, IF(B193&lt;$G$6, $F$6, IF(B193&lt;$G$7, $F$7, IF(B193&lt;$G$8, $F$8, IF(B193&lt;$G$9, $F$9, IF(B193&lt;$G$10, $F$10, $F$11)))))))))</f>
        <v>0.7</v>
      </c>
      <c r="D193">
        <f t="shared" si="2"/>
        <v>7</v>
      </c>
    </row>
    <row r="194" spans="1:4" x14ac:dyDescent="0.55000000000000004">
      <c r="A194">
        <v>193</v>
      </c>
      <c r="B194">
        <v>202.00763945700001</v>
      </c>
      <c r="C194">
        <f>IF(B194&lt;$G$2, $F$2, IF(B194&lt;$G$3, $F$3, IF(B194&lt;$G$4, $F$4, IF(B194&lt;$G$5, $F$5, IF(B194&lt;$G$6, $F$6, IF(B194&lt;$G$7, $F$7, IF(B194&lt;$G$8, $F$8, IF(B194&lt;$G$9, $F$9, IF(B194&lt;$G$10, $F$10, $F$11)))))))))</f>
        <v>0.9</v>
      </c>
      <c r="D194">
        <f t="shared" si="2"/>
        <v>9</v>
      </c>
    </row>
    <row r="195" spans="1:4" x14ac:dyDescent="0.55000000000000004">
      <c r="A195">
        <v>194</v>
      </c>
      <c r="B195">
        <v>0.96866669817700002</v>
      </c>
      <c r="C195">
        <f>IF(B195&lt;$G$2, $F$2, IF(B195&lt;$G$3, $F$3, IF(B195&lt;$G$4, $F$4, IF(B195&lt;$G$5, $F$5, IF(B195&lt;$G$6, $F$6, IF(B195&lt;$G$7, $F$7, IF(B195&lt;$G$8, $F$8, IF(B195&lt;$G$9, $F$9, IF(B195&lt;$G$10, $F$10, $F$11)))))))))</f>
        <v>0.1</v>
      </c>
      <c r="D195">
        <f t="shared" ref="D195:D258" si="3">C195*10</f>
        <v>1</v>
      </c>
    </row>
    <row r="196" spans="1:4" x14ac:dyDescent="0.55000000000000004">
      <c r="A196">
        <v>195</v>
      </c>
      <c r="B196">
        <v>22.5843884425</v>
      </c>
      <c r="C196">
        <f>IF(B196&lt;$G$2, $F$2, IF(B196&lt;$G$3, $F$3, IF(B196&lt;$G$4, $F$4, IF(B196&lt;$G$5, $F$5, IF(B196&lt;$G$6, $F$6, IF(B196&lt;$G$7, $F$7, IF(B196&lt;$G$8, $F$8, IF(B196&lt;$G$9, $F$9, IF(B196&lt;$G$10, $F$10, $F$11)))))))))</f>
        <v>0.5</v>
      </c>
      <c r="D196">
        <f t="shared" si="3"/>
        <v>5</v>
      </c>
    </row>
    <row r="197" spans="1:4" x14ac:dyDescent="0.55000000000000004">
      <c r="A197">
        <v>196</v>
      </c>
      <c r="B197">
        <v>38.8605387502</v>
      </c>
      <c r="C197">
        <f>IF(B197&lt;$G$2, $F$2, IF(B197&lt;$G$3, $F$3, IF(B197&lt;$G$4, $F$4, IF(B197&lt;$G$5, $F$5, IF(B197&lt;$G$6, $F$6, IF(B197&lt;$G$7, $F$7, IF(B197&lt;$G$8, $F$8, IF(B197&lt;$G$9, $F$9, IF(B197&lt;$G$10, $F$10, $F$11)))))))))</f>
        <v>0.6</v>
      </c>
      <c r="D197">
        <f t="shared" si="3"/>
        <v>6</v>
      </c>
    </row>
    <row r="198" spans="1:4" x14ac:dyDescent="0.55000000000000004">
      <c r="A198">
        <v>197</v>
      </c>
      <c r="B198">
        <v>369.69575779799999</v>
      </c>
      <c r="C198">
        <f>IF(B198&lt;$G$2, $F$2, IF(B198&lt;$G$3, $F$3, IF(B198&lt;$G$4, $F$4, IF(B198&lt;$G$5, $F$5, IF(B198&lt;$G$6, $F$6, IF(B198&lt;$G$7, $F$7, IF(B198&lt;$G$8, $F$8, IF(B198&lt;$G$9, $F$9, IF(B198&lt;$G$10, $F$10, $F$11)))))))))</f>
        <v>1</v>
      </c>
      <c r="D198">
        <f t="shared" si="3"/>
        <v>10</v>
      </c>
    </row>
    <row r="199" spans="1:4" x14ac:dyDescent="0.55000000000000004">
      <c r="A199">
        <v>198</v>
      </c>
      <c r="B199">
        <v>111.511998042</v>
      </c>
      <c r="C199">
        <f>IF(B199&lt;$G$2, $F$2, IF(B199&lt;$G$3, $F$3, IF(B199&lt;$G$4, $F$4, IF(B199&lt;$G$5, $F$5, IF(B199&lt;$G$6, $F$6, IF(B199&lt;$G$7, $F$7, IF(B199&lt;$G$8, $F$8, IF(B199&lt;$G$9, $F$9, IF(B199&lt;$G$10, $F$10, $F$11)))))))))</f>
        <v>0.8</v>
      </c>
      <c r="D199">
        <f t="shared" si="3"/>
        <v>8</v>
      </c>
    </row>
    <row r="200" spans="1:4" x14ac:dyDescent="0.55000000000000004">
      <c r="A200">
        <v>199</v>
      </c>
      <c r="B200">
        <v>167.258401857</v>
      </c>
      <c r="C200">
        <f>IF(B200&lt;$G$2, $F$2, IF(B200&lt;$G$3, $F$3, IF(B200&lt;$G$4, $F$4, IF(B200&lt;$G$5, $F$5, IF(B200&lt;$G$6, $F$6, IF(B200&lt;$G$7, $F$7, IF(B200&lt;$G$8, $F$8, IF(B200&lt;$G$9, $F$9, IF(B200&lt;$G$10, $F$10, $F$11)))))))))</f>
        <v>0.9</v>
      </c>
      <c r="D200">
        <f t="shared" si="3"/>
        <v>9</v>
      </c>
    </row>
    <row r="201" spans="1:4" x14ac:dyDescent="0.55000000000000004">
      <c r="A201">
        <v>200</v>
      </c>
      <c r="B201">
        <v>19.3706591475</v>
      </c>
      <c r="C201">
        <f>IF(B201&lt;$G$2, $F$2, IF(B201&lt;$G$3, $F$3, IF(B201&lt;$G$4, $F$4, IF(B201&lt;$G$5, $F$5, IF(B201&lt;$G$6, $F$6, IF(B201&lt;$G$7, $F$7, IF(B201&lt;$G$8, $F$8, IF(B201&lt;$G$9, $F$9, IF(B201&lt;$G$10, $F$10, $F$11)))))))))</f>
        <v>0.5</v>
      </c>
      <c r="D201">
        <f t="shared" si="3"/>
        <v>5</v>
      </c>
    </row>
    <row r="202" spans="1:4" x14ac:dyDescent="0.55000000000000004">
      <c r="A202">
        <v>201</v>
      </c>
      <c r="B202">
        <v>62.445336918199999</v>
      </c>
      <c r="C202">
        <f>IF(B202&lt;$G$2, $F$2, IF(B202&lt;$G$3, $F$3, IF(B202&lt;$G$4, $F$4, IF(B202&lt;$G$5, $F$5, IF(B202&lt;$G$6, $F$6, IF(B202&lt;$G$7, $F$7, IF(B202&lt;$G$8, $F$8, IF(B202&lt;$G$9, $F$9, IF(B202&lt;$G$10, $F$10, $F$11)))))))))</f>
        <v>0.7</v>
      </c>
      <c r="D202">
        <f t="shared" si="3"/>
        <v>7</v>
      </c>
    </row>
    <row r="203" spans="1:4" x14ac:dyDescent="0.55000000000000004">
      <c r="A203">
        <v>202</v>
      </c>
      <c r="B203">
        <v>1.09486960518</v>
      </c>
      <c r="C203">
        <f>IF(B203&lt;$G$2, $F$2, IF(B203&lt;$G$3, $F$3, IF(B203&lt;$G$4, $F$4, IF(B203&lt;$G$5, $F$5, IF(B203&lt;$G$6, $F$6, IF(B203&lt;$G$7, $F$7, IF(B203&lt;$G$8, $F$8, IF(B203&lt;$G$9, $F$9, IF(B203&lt;$G$10, $F$10, $F$11)))))))))</f>
        <v>0.1</v>
      </c>
      <c r="D203">
        <f t="shared" si="3"/>
        <v>1</v>
      </c>
    </row>
    <row r="204" spans="1:4" x14ac:dyDescent="0.55000000000000004">
      <c r="A204">
        <v>203</v>
      </c>
      <c r="B204">
        <v>10.8296244221</v>
      </c>
      <c r="C204">
        <f>IF(B204&lt;$G$2, $F$2, IF(B204&lt;$G$3, $F$3, IF(B204&lt;$G$4, $F$4, IF(B204&lt;$G$5, $F$5, IF(B204&lt;$G$6, $F$6, IF(B204&lt;$G$7, $F$7, IF(B204&lt;$G$8, $F$8, IF(B204&lt;$G$9, $F$9, IF(B204&lt;$G$10, $F$10, $F$11)))))))))</f>
        <v>0.4</v>
      </c>
      <c r="D204">
        <f t="shared" si="3"/>
        <v>4</v>
      </c>
    </row>
    <row r="205" spans="1:4" x14ac:dyDescent="0.55000000000000004">
      <c r="A205">
        <v>204</v>
      </c>
      <c r="B205">
        <v>356.22763631499998</v>
      </c>
      <c r="C205">
        <f>IF(B205&lt;$G$2, $F$2, IF(B205&lt;$G$3, $F$3, IF(B205&lt;$G$4, $F$4, IF(B205&lt;$G$5, $F$5, IF(B205&lt;$G$6, $F$6, IF(B205&lt;$G$7, $F$7, IF(B205&lt;$G$8, $F$8, IF(B205&lt;$G$9, $F$9, IF(B205&lt;$G$10, $F$10, $F$11)))))))))</f>
        <v>0.9</v>
      </c>
      <c r="D205">
        <f t="shared" si="3"/>
        <v>9</v>
      </c>
    </row>
    <row r="206" spans="1:4" x14ac:dyDescent="0.55000000000000004">
      <c r="A206">
        <v>205</v>
      </c>
      <c r="B206">
        <v>252.19544879399999</v>
      </c>
      <c r="C206">
        <f>IF(B206&lt;$G$2, $F$2, IF(B206&lt;$G$3, $F$3, IF(B206&lt;$G$4, $F$4, IF(B206&lt;$G$5, $F$5, IF(B206&lt;$G$6, $F$6, IF(B206&lt;$G$7, $F$7, IF(B206&lt;$G$8, $F$8, IF(B206&lt;$G$9, $F$9, IF(B206&lt;$G$10, $F$10, $F$11)))))))))</f>
        <v>0.9</v>
      </c>
      <c r="D206">
        <f t="shared" si="3"/>
        <v>9</v>
      </c>
    </row>
    <row r="207" spans="1:4" x14ac:dyDescent="0.55000000000000004">
      <c r="A207">
        <v>206</v>
      </c>
      <c r="B207">
        <v>79.141910262400003</v>
      </c>
      <c r="C207">
        <f>IF(B207&lt;$G$2, $F$2, IF(B207&lt;$G$3, $F$3, IF(B207&lt;$G$4, $F$4, IF(B207&lt;$G$5, $F$5, IF(B207&lt;$G$6, $F$6, IF(B207&lt;$G$7, $F$7, IF(B207&lt;$G$8, $F$8, IF(B207&lt;$G$9, $F$9, IF(B207&lt;$G$10, $F$10, $F$11)))))))))</f>
        <v>0.8</v>
      </c>
      <c r="D207">
        <f t="shared" si="3"/>
        <v>8</v>
      </c>
    </row>
    <row r="208" spans="1:4" x14ac:dyDescent="0.55000000000000004">
      <c r="A208">
        <v>207</v>
      </c>
      <c r="B208">
        <v>3.6337329846999999</v>
      </c>
      <c r="C208">
        <f>IF(B208&lt;$G$2, $F$2, IF(B208&lt;$G$3, $F$3, IF(B208&lt;$G$4, $F$4, IF(B208&lt;$G$5, $F$5, IF(B208&lt;$G$6, $F$6, IF(B208&lt;$G$7, $F$7, IF(B208&lt;$G$8, $F$8, IF(B208&lt;$G$9, $F$9, IF(B208&lt;$G$10, $F$10, $F$11)))))))))</f>
        <v>0.2</v>
      </c>
      <c r="D208">
        <f t="shared" si="3"/>
        <v>2</v>
      </c>
    </row>
    <row r="209" spans="1:4" x14ac:dyDescent="0.55000000000000004">
      <c r="A209">
        <v>208</v>
      </c>
      <c r="B209">
        <v>3.1681558008100001</v>
      </c>
      <c r="C209">
        <f>IF(B209&lt;$G$2, $F$2, IF(B209&lt;$G$3, $F$3, IF(B209&lt;$G$4, $F$4, IF(B209&lt;$G$5, $F$5, IF(B209&lt;$G$6, $F$6, IF(B209&lt;$G$7, $F$7, IF(B209&lt;$G$8, $F$8, IF(B209&lt;$G$9, $F$9, IF(B209&lt;$G$10, $F$10, $F$11)))))))))</f>
        <v>0.2</v>
      </c>
      <c r="D209">
        <f t="shared" si="3"/>
        <v>2</v>
      </c>
    </row>
    <row r="210" spans="1:4" x14ac:dyDescent="0.55000000000000004">
      <c r="A210">
        <v>209</v>
      </c>
      <c r="B210">
        <v>138.12279664499999</v>
      </c>
      <c r="C210">
        <f>IF(B210&lt;$G$2, $F$2, IF(B210&lt;$G$3, $F$3, IF(B210&lt;$G$4, $F$4, IF(B210&lt;$G$5, $F$5, IF(B210&lt;$G$6, $F$6, IF(B210&lt;$G$7, $F$7, IF(B210&lt;$G$8, $F$8, IF(B210&lt;$G$9, $F$9, IF(B210&lt;$G$10, $F$10, $F$11)))))))))</f>
        <v>0.9</v>
      </c>
      <c r="D210">
        <f t="shared" si="3"/>
        <v>9</v>
      </c>
    </row>
    <row r="211" spans="1:4" x14ac:dyDescent="0.55000000000000004">
      <c r="A211">
        <v>210</v>
      </c>
      <c r="B211">
        <v>19.147077472700001</v>
      </c>
      <c r="C211">
        <f>IF(B211&lt;$G$2, $F$2, IF(B211&lt;$G$3, $F$3, IF(B211&lt;$G$4, $F$4, IF(B211&lt;$G$5, $F$5, IF(B211&lt;$G$6, $F$6, IF(B211&lt;$G$7, $F$7, IF(B211&lt;$G$8, $F$8, IF(B211&lt;$G$9, $F$9, IF(B211&lt;$G$10, $F$10, $F$11)))))))))</f>
        <v>0.5</v>
      </c>
      <c r="D211">
        <f t="shared" si="3"/>
        <v>5</v>
      </c>
    </row>
    <row r="212" spans="1:4" x14ac:dyDescent="0.55000000000000004">
      <c r="A212">
        <v>211</v>
      </c>
      <c r="B212">
        <v>8.2401146707099997</v>
      </c>
      <c r="C212">
        <f>IF(B212&lt;$G$2, $F$2, IF(B212&lt;$G$3, $F$3, IF(B212&lt;$G$4, $F$4, IF(B212&lt;$G$5, $F$5, IF(B212&lt;$G$6, $F$6, IF(B212&lt;$G$7, $F$7, IF(B212&lt;$G$8, $F$8, IF(B212&lt;$G$9, $F$9, IF(B212&lt;$G$10, $F$10, $F$11)))))))))</f>
        <v>0.3</v>
      </c>
      <c r="D212">
        <f t="shared" si="3"/>
        <v>3</v>
      </c>
    </row>
    <row r="213" spans="1:4" x14ac:dyDescent="0.55000000000000004">
      <c r="A213">
        <v>212</v>
      </c>
      <c r="B213">
        <v>24.416759023299999</v>
      </c>
      <c r="C213">
        <f>IF(B213&lt;$G$2, $F$2, IF(B213&lt;$G$3, $F$3, IF(B213&lt;$G$4, $F$4, IF(B213&lt;$G$5, $F$5, IF(B213&lt;$G$6, $F$6, IF(B213&lt;$G$7, $F$7, IF(B213&lt;$G$8, $F$8, IF(B213&lt;$G$9, $F$9, IF(B213&lt;$G$10, $F$10, $F$11)))))))))</f>
        <v>0.5</v>
      </c>
      <c r="D213">
        <f t="shared" si="3"/>
        <v>5</v>
      </c>
    </row>
    <row r="214" spans="1:4" x14ac:dyDescent="0.55000000000000004">
      <c r="A214">
        <v>213</v>
      </c>
      <c r="B214">
        <v>19.991725625400001</v>
      </c>
      <c r="C214">
        <f>IF(B214&lt;$G$2, $F$2, IF(B214&lt;$G$3, $F$3, IF(B214&lt;$G$4, $F$4, IF(B214&lt;$G$5, $F$5, IF(B214&lt;$G$6, $F$6, IF(B214&lt;$G$7, $F$7, IF(B214&lt;$G$8, $F$8, IF(B214&lt;$G$9, $F$9, IF(B214&lt;$G$10, $F$10, $F$11)))))))))</f>
        <v>0.5</v>
      </c>
      <c r="D214">
        <f t="shared" si="3"/>
        <v>5</v>
      </c>
    </row>
    <row r="215" spans="1:4" x14ac:dyDescent="0.55000000000000004">
      <c r="A215">
        <v>214</v>
      </c>
      <c r="B215">
        <v>53.133005797899997</v>
      </c>
      <c r="C215">
        <f>IF(B215&lt;$G$2, $F$2, IF(B215&lt;$G$3, $F$3, IF(B215&lt;$G$4, $F$4, IF(B215&lt;$G$5, $F$5, IF(B215&lt;$G$6, $F$6, IF(B215&lt;$G$7, $F$7, IF(B215&lt;$G$8, $F$8, IF(B215&lt;$G$9, $F$9, IF(B215&lt;$G$10, $F$10, $F$11)))))))))</f>
        <v>0.7</v>
      </c>
      <c r="D215">
        <f t="shared" si="3"/>
        <v>7</v>
      </c>
    </row>
    <row r="216" spans="1:4" x14ac:dyDescent="0.55000000000000004">
      <c r="A216">
        <v>215</v>
      </c>
      <c r="B216">
        <v>7.2073911099899997</v>
      </c>
      <c r="C216">
        <f>IF(B216&lt;$G$2, $F$2, IF(B216&lt;$G$3, $F$3, IF(B216&lt;$G$4, $F$4, IF(B216&lt;$G$5, $F$5, IF(B216&lt;$G$6, $F$6, IF(B216&lt;$G$7, $F$7, IF(B216&lt;$G$8, $F$8, IF(B216&lt;$G$9, $F$9, IF(B216&lt;$G$10, $F$10, $F$11)))))))))</f>
        <v>0.3</v>
      </c>
      <c r="D216">
        <f t="shared" si="3"/>
        <v>3</v>
      </c>
    </row>
    <row r="217" spans="1:4" x14ac:dyDescent="0.55000000000000004">
      <c r="A217">
        <v>216</v>
      </c>
      <c r="B217">
        <v>15.1216245329</v>
      </c>
      <c r="C217">
        <f>IF(B217&lt;$G$2, $F$2, IF(B217&lt;$G$3, $F$3, IF(B217&lt;$G$4, $F$4, IF(B217&lt;$G$5, $F$5, IF(B217&lt;$G$6, $F$6, IF(B217&lt;$G$7, $F$7, IF(B217&lt;$G$8, $F$8, IF(B217&lt;$G$9, $F$9, IF(B217&lt;$G$10, $F$10, $F$11)))))))))</f>
        <v>0.4</v>
      </c>
      <c r="D217">
        <f t="shared" si="3"/>
        <v>4</v>
      </c>
    </row>
    <row r="218" spans="1:4" x14ac:dyDescent="0.55000000000000004">
      <c r="A218">
        <v>217</v>
      </c>
      <c r="B218">
        <v>22.6460497598</v>
      </c>
      <c r="C218">
        <f>IF(B218&lt;$G$2, $F$2, IF(B218&lt;$G$3, $F$3, IF(B218&lt;$G$4, $F$4, IF(B218&lt;$G$5, $F$5, IF(B218&lt;$G$6, $F$6, IF(B218&lt;$G$7, $F$7, IF(B218&lt;$G$8, $F$8, IF(B218&lt;$G$9, $F$9, IF(B218&lt;$G$10, $F$10, $F$11)))))))))</f>
        <v>0.5</v>
      </c>
      <c r="D218">
        <f t="shared" si="3"/>
        <v>5</v>
      </c>
    </row>
    <row r="219" spans="1:4" x14ac:dyDescent="0.55000000000000004">
      <c r="A219">
        <v>218</v>
      </c>
      <c r="B219">
        <v>6775.5870694900004</v>
      </c>
      <c r="C219">
        <f>IF(B219&lt;$G$2, $F$2, IF(B219&lt;$G$3, $F$3, IF(B219&lt;$G$4, $F$4, IF(B219&lt;$G$5, $F$5, IF(B219&lt;$G$6, $F$6, IF(B219&lt;$G$7, $F$7, IF(B219&lt;$G$8, $F$8, IF(B219&lt;$G$9, $F$9, IF(B219&lt;$G$10, $F$10, $F$11)))))))))</f>
        <v>1</v>
      </c>
      <c r="D219">
        <f t="shared" si="3"/>
        <v>10</v>
      </c>
    </row>
    <row r="220" spans="1:4" x14ac:dyDescent="0.55000000000000004">
      <c r="A220">
        <v>219</v>
      </c>
      <c r="B220">
        <v>108.91697153600001</v>
      </c>
      <c r="C220">
        <f>IF(B220&lt;$G$2, $F$2, IF(B220&lt;$G$3, $F$3, IF(B220&lt;$G$4, $F$4, IF(B220&lt;$G$5, $F$5, IF(B220&lt;$G$6, $F$6, IF(B220&lt;$G$7, $F$7, IF(B220&lt;$G$8, $F$8, IF(B220&lt;$G$9, $F$9, IF(B220&lt;$G$10, $F$10, $F$11)))))))))</f>
        <v>0.8</v>
      </c>
      <c r="D220">
        <f t="shared" si="3"/>
        <v>8</v>
      </c>
    </row>
    <row r="221" spans="1:4" x14ac:dyDescent="0.55000000000000004">
      <c r="A221">
        <v>220</v>
      </c>
      <c r="B221">
        <v>85.682763120000004</v>
      </c>
      <c r="C221">
        <f>IF(B221&lt;$G$2, $F$2, IF(B221&lt;$G$3, $F$3, IF(B221&lt;$G$4, $F$4, IF(B221&lt;$G$5, $F$5, IF(B221&lt;$G$6, $F$6, IF(B221&lt;$G$7, $F$7, IF(B221&lt;$G$8, $F$8, IF(B221&lt;$G$9, $F$9, IF(B221&lt;$G$10, $F$10, $F$11)))))))))</f>
        <v>0.8</v>
      </c>
      <c r="D221">
        <f t="shared" si="3"/>
        <v>8</v>
      </c>
    </row>
    <row r="222" spans="1:4" x14ac:dyDescent="0.55000000000000004">
      <c r="A222">
        <v>221</v>
      </c>
      <c r="B222">
        <v>25.906067987499998</v>
      </c>
      <c r="C222">
        <f>IF(B222&lt;$G$2, $F$2, IF(B222&lt;$G$3, $F$3, IF(B222&lt;$G$4, $F$4, IF(B222&lt;$G$5, $F$5, IF(B222&lt;$G$6, $F$6, IF(B222&lt;$G$7, $F$7, IF(B222&lt;$G$8, $F$8, IF(B222&lt;$G$9, $F$9, IF(B222&lt;$G$10, $F$10, $F$11)))))))))</f>
        <v>0.6</v>
      </c>
      <c r="D222">
        <f t="shared" si="3"/>
        <v>6</v>
      </c>
    </row>
    <row r="223" spans="1:4" x14ac:dyDescent="0.55000000000000004">
      <c r="A223">
        <v>222</v>
      </c>
      <c r="B223">
        <v>7.4993756730500003</v>
      </c>
      <c r="C223">
        <f>IF(B223&lt;$G$2, $F$2, IF(B223&lt;$G$3, $F$3, IF(B223&lt;$G$4, $F$4, IF(B223&lt;$G$5, $F$5, IF(B223&lt;$G$6, $F$6, IF(B223&lt;$G$7, $F$7, IF(B223&lt;$G$8, $F$8, IF(B223&lt;$G$9, $F$9, IF(B223&lt;$G$10, $F$10, $F$11)))))))))</f>
        <v>0.3</v>
      </c>
      <c r="D223">
        <f t="shared" si="3"/>
        <v>3</v>
      </c>
    </row>
    <row r="224" spans="1:4" x14ac:dyDescent="0.55000000000000004">
      <c r="A224">
        <v>223</v>
      </c>
      <c r="B224">
        <v>4.0956556547999998</v>
      </c>
      <c r="C224">
        <f>IF(B224&lt;$G$2, $F$2, IF(B224&lt;$G$3, $F$3, IF(B224&lt;$G$4, $F$4, IF(B224&lt;$G$5, $F$5, IF(B224&lt;$G$6, $F$6, IF(B224&lt;$G$7, $F$7, IF(B224&lt;$G$8, $F$8, IF(B224&lt;$G$9, $F$9, IF(B224&lt;$G$10, $F$10, $F$11)))))))))</f>
        <v>0.2</v>
      </c>
      <c r="D224">
        <f t="shared" si="3"/>
        <v>2</v>
      </c>
    </row>
    <row r="225" spans="1:4" x14ac:dyDescent="0.55000000000000004">
      <c r="A225">
        <v>224</v>
      </c>
      <c r="B225">
        <v>7.3085938291200003</v>
      </c>
      <c r="C225">
        <f>IF(B225&lt;$G$2, $F$2, IF(B225&lt;$G$3, $F$3, IF(B225&lt;$G$4, $F$4, IF(B225&lt;$G$5, $F$5, IF(B225&lt;$G$6, $F$6, IF(B225&lt;$G$7, $F$7, IF(B225&lt;$G$8, $F$8, IF(B225&lt;$G$9, $F$9, IF(B225&lt;$G$10, $F$10, $F$11)))))))))</f>
        <v>0.3</v>
      </c>
      <c r="D225">
        <f t="shared" si="3"/>
        <v>3</v>
      </c>
    </row>
    <row r="226" spans="1:4" x14ac:dyDescent="0.55000000000000004">
      <c r="A226">
        <v>225</v>
      </c>
      <c r="B226">
        <v>7.9918479669</v>
      </c>
      <c r="C226">
        <f>IF(B226&lt;$G$2, $F$2, IF(B226&lt;$G$3, $F$3, IF(B226&lt;$G$4, $F$4, IF(B226&lt;$G$5, $F$5, IF(B226&lt;$G$6, $F$6, IF(B226&lt;$G$7, $F$7, IF(B226&lt;$G$8, $F$8, IF(B226&lt;$G$9, $F$9, IF(B226&lt;$G$10, $F$10, $F$11)))))))))</f>
        <v>0.3</v>
      </c>
      <c r="D226">
        <f t="shared" si="3"/>
        <v>3</v>
      </c>
    </row>
    <row r="227" spans="1:4" x14ac:dyDescent="0.55000000000000004">
      <c r="A227">
        <v>226</v>
      </c>
      <c r="B227">
        <v>36.368642644399998</v>
      </c>
      <c r="C227">
        <f>IF(B227&lt;$G$2, $F$2, IF(B227&lt;$G$3, $F$3, IF(B227&lt;$G$4, $F$4, IF(B227&lt;$G$5, $F$5, IF(B227&lt;$G$6, $F$6, IF(B227&lt;$G$7, $F$7, IF(B227&lt;$G$8, $F$8, IF(B227&lt;$G$9, $F$9, IF(B227&lt;$G$10, $F$10, $F$11)))))))))</f>
        <v>0.6</v>
      </c>
      <c r="D227">
        <f t="shared" si="3"/>
        <v>6</v>
      </c>
    </row>
    <row r="228" spans="1:4" x14ac:dyDescent="0.55000000000000004">
      <c r="A228">
        <v>227</v>
      </c>
      <c r="B228">
        <v>5.90878182334</v>
      </c>
      <c r="C228">
        <f>IF(B228&lt;$G$2, $F$2, IF(B228&lt;$G$3, $F$3, IF(B228&lt;$G$4, $F$4, IF(B228&lt;$G$5, $F$5, IF(B228&lt;$G$6, $F$6, IF(B228&lt;$G$7, $F$7, IF(B228&lt;$G$8, $F$8, IF(B228&lt;$G$9, $F$9, IF(B228&lt;$G$10, $F$10, $F$11)))))))))</f>
        <v>0.3</v>
      </c>
      <c r="D228">
        <f t="shared" si="3"/>
        <v>3</v>
      </c>
    </row>
    <row r="229" spans="1:4" x14ac:dyDescent="0.55000000000000004">
      <c r="A229">
        <v>228</v>
      </c>
      <c r="B229">
        <v>40.774635798799999</v>
      </c>
      <c r="C229">
        <f>IF(B229&lt;$G$2, $F$2, IF(B229&lt;$G$3, $F$3, IF(B229&lt;$G$4, $F$4, IF(B229&lt;$G$5, $F$5, IF(B229&lt;$G$6, $F$6, IF(B229&lt;$G$7, $F$7, IF(B229&lt;$G$8, $F$8, IF(B229&lt;$G$9, $F$9, IF(B229&lt;$G$10, $F$10, $F$11)))))))))</f>
        <v>0.6</v>
      </c>
      <c r="D229">
        <f t="shared" si="3"/>
        <v>6</v>
      </c>
    </row>
    <row r="230" spans="1:4" x14ac:dyDescent="0.55000000000000004">
      <c r="A230">
        <v>229</v>
      </c>
      <c r="B230">
        <v>27.488284193799998</v>
      </c>
      <c r="C230">
        <f>IF(B230&lt;$G$2, $F$2, IF(B230&lt;$G$3, $F$3, IF(B230&lt;$G$4, $F$4, IF(B230&lt;$G$5, $F$5, IF(B230&lt;$G$6, $F$6, IF(B230&lt;$G$7, $F$7, IF(B230&lt;$G$8, $F$8, IF(B230&lt;$G$9, $F$9, IF(B230&lt;$G$10, $F$10, $F$11)))))))))</f>
        <v>0.6</v>
      </c>
      <c r="D230">
        <f t="shared" si="3"/>
        <v>6</v>
      </c>
    </row>
    <row r="231" spans="1:4" x14ac:dyDescent="0.55000000000000004">
      <c r="A231">
        <v>230</v>
      </c>
      <c r="B231">
        <v>11.3936206837</v>
      </c>
      <c r="C231">
        <f>IF(B231&lt;$G$2, $F$2, IF(B231&lt;$G$3, $F$3, IF(B231&lt;$G$4, $F$4, IF(B231&lt;$G$5, $F$5, IF(B231&lt;$G$6, $F$6, IF(B231&lt;$G$7, $F$7, IF(B231&lt;$G$8, $F$8, IF(B231&lt;$G$9, $F$9, IF(B231&lt;$G$10, $F$10, $F$11)))))))))</f>
        <v>0.4</v>
      </c>
      <c r="D231">
        <f t="shared" si="3"/>
        <v>4</v>
      </c>
    </row>
    <row r="232" spans="1:4" x14ac:dyDescent="0.55000000000000004">
      <c r="A232">
        <v>231</v>
      </c>
      <c r="B232">
        <v>33.869374247899998</v>
      </c>
      <c r="C232">
        <f>IF(B232&lt;$G$2, $F$2, IF(B232&lt;$G$3, $F$3, IF(B232&lt;$G$4, $F$4, IF(B232&lt;$G$5, $F$5, IF(B232&lt;$G$6, $F$6, IF(B232&lt;$G$7, $F$7, IF(B232&lt;$G$8, $F$8, IF(B232&lt;$G$9, $F$9, IF(B232&lt;$G$10, $F$10, $F$11)))))))))</f>
        <v>0.6</v>
      </c>
      <c r="D232">
        <f t="shared" si="3"/>
        <v>6</v>
      </c>
    </row>
    <row r="233" spans="1:4" x14ac:dyDescent="0.55000000000000004">
      <c r="A233">
        <v>232</v>
      </c>
      <c r="B233">
        <v>40.356672663399998</v>
      </c>
      <c r="C233">
        <f>IF(B233&lt;$G$2, $F$2, IF(B233&lt;$G$3, $F$3, IF(B233&lt;$G$4, $F$4, IF(B233&lt;$G$5, $F$5, IF(B233&lt;$G$6, $F$6, IF(B233&lt;$G$7, $F$7, IF(B233&lt;$G$8, $F$8, IF(B233&lt;$G$9, $F$9, IF(B233&lt;$G$10, $F$10, $F$11)))))))))</f>
        <v>0.6</v>
      </c>
      <c r="D233">
        <f t="shared" si="3"/>
        <v>6</v>
      </c>
    </row>
    <row r="234" spans="1:4" x14ac:dyDescent="0.55000000000000004">
      <c r="A234">
        <v>233</v>
      </c>
      <c r="B234">
        <v>0.83393308268999999</v>
      </c>
      <c r="C234">
        <f>IF(B234&lt;$G$2, $F$2, IF(B234&lt;$G$3, $F$3, IF(B234&lt;$G$4, $F$4, IF(B234&lt;$G$5, $F$5, IF(B234&lt;$G$6, $F$6, IF(B234&lt;$G$7, $F$7, IF(B234&lt;$G$8, $F$8, IF(B234&lt;$G$9, $F$9, IF(B234&lt;$G$10, $F$10, $F$11)))))))))</f>
        <v>0.1</v>
      </c>
      <c r="D234">
        <f t="shared" si="3"/>
        <v>1</v>
      </c>
    </row>
    <row r="235" spans="1:4" x14ac:dyDescent="0.55000000000000004">
      <c r="A235">
        <v>234</v>
      </c>
      <c r="B235">
        <v>539.75823760200001</v>
      </c>
      <c r="C235">
        <f>IF(B235&lt;$G$2, $F$2, IF(B235&lt;$G$3, $F$3, IF(B235&lt;$G$4, $F$4, IF(B235&lt;$G$5, $F$5, IF(B235&lt;$G$6, $F$6, IF(B235&lt;$G$7, $F$7, IF(B235&lt;$G$8, $F$8, IF(B235&lt;$G$9, $F$9, IF(B235&lt;$G$10, $F$10, $F$11)))))))))</f>
        <v>1</v>
      </c>
      <c r="D235">
        <f t="shared" si="3"/>
        <v>10</v>
      </c>
    </row>
    <row r="236" spans="1:4" x14ac:dyDescent="0.55000000000000004">
      <c r="A236">
        <v>235</v>
      </c>
      <c r="B236">
        <v>24.6825192487</v>
      </c>
      <c r="C236">
        <f>IF(B236&lt;$G$2, $F$2, IF(B236&lt;$G$3, $F$3, IF(B236&lt;$G$4, $F$4, IF(B236&lt;$G$5, $F$5, IF(B236&lt;$G$6, $F$6, IF(B236&lt;$G$7, $F$7, IF(B236&lt;$G$8, $F$8, IF(B236&lt;$G$9, $F$9, IF(B236&lt;$G$10, $F$10, $F$11)))))))))</f>
        <v>0.5</v>
      </c>
      <c r="D236">
        <f t="shared" si="3"/>
        <v>5</v>
      </c>
    </row>
    <row r="237" spans="1:4" x14ac:dyDescent="0.55000000000000004">
      <c r="A237">
        <v>236</v>
      </c>
      <c r="B237">
        <v>1.1791801414300001</v>
      </c>
      <c r="C237">
        <f>IF(B237&lt;$G$2, $F$2, IF(B237&lt;$G$3, $F$3, IF(B237&lt;$G$4, $F$4, IF(B237&lt;$G$5, $F$5, IF(B237&lt;$G$6, $F$6, IF(B237&lt;$G$7, $F$7, IF(B237&lt;$G$8, $F$8, IF(B237&lt;$G$9, $F$9, IF(B237&lt;$G$10, $F$10, $F$11)))))))))</f>
        <v>0.1</v>
      </c>
      <c r="D237">
        <f t="shared" si="3"/>
        <v>1</v>
      </c>
    </row>
    <row r="238" spans="1:4" x14ac:dyDescent="0.55000000000000004">
      <c r="A238">
        <v>237</v>
      </c>
      <c r="B238">
        <v>2.5538485149799999</v>
      </c>
      <c r="C238">
        <f>IF(B238&lt;$G$2, $F$2, IF(B238&lt;$G$3, $F$3, IF(B238&lt;$G$4, $F$4, IF(B238&lt;$G$5, $F$5, IF(B238&lt;$G$6, $F$6, IF(B238&lt;$G$7, $F$7, IF(B238&lt;$G$8, $F$8, IF(B238&lt;$G$9, $F$9, IF(B238&lt;$G$10, $F$10, $F$11)))))))))</f>
        <v>0.1</v>
      </c>
      <c r="D238">
        <f t="shared" si="3"/>
        <v>1</v>
      </c>
    </row>
    <row r="239" spans="1:4" x14ac:dyDescent="0.55000000000000004">
      <c r="A239">
        <v>238</v>
      </c>
      <c r="B239">
        <v>3.0684235198700001</v>
      </c>
      <c r="C239">
        <f>IF(B239&lt;$G$2, $F$2, IF(B239&lt;$G$3, $F$3, IF(B239&lt;$G$4, $F$4, IF(B239&lt;$G$5, $F$5, IF(B239&lt;$G$6, $F$6, IF(B239&lt;$G$7, $F$7, IF(B239&lt;$G$8, $F$8, IF(B239&lt;$G$9, $F$9, IF(B239&lt;$G$10, $F$10, $F$11)))))))))</f>
        <v>0.2</v>
      </c>
      <c r="D239">
        <f t="shared" si="3"/>
        <v>2</v>
      </c>
    </row>
    <row r="240" spans="1:4" x14ac:dyDescent="0.55000000000000004">
      <c r="A240">
        <v>239</v>
      </c>
      <c r="B240">
        <v>16.069202800300001</v>
      </c>
      <c r="C240">
        <f>IF(B240&lt;$G$2, $F$2, IF(B240&lt;$G$3, $F$3, IF(B240&lt;$G$4, $F$4, IF(B240&lt;$G$5, $F$5, IF(B240&lt;$G$6, $F$6, IF(B240&lt;$G$7, $F$7, IF(B240&lt;$G$8, $F$8, IF(B240&lt;$G$9, $F$9, IF(B240&lt;$G$10, $F$10, $F$11)))))))))</f>
        <v>0.4</v>
      </c>
      <c r="D240">
        <f t="shared" si="3"/>
        <v>4</v>
      </c>
    </row>
    <row r="241" spans="1:4" x14ac:dyDescent="0.55000000000000004">
      <c r="A241">
        <v>240</v>
      </c>
      <c r="B241">
        <v>21.789406249999999</v>
      </c>
      <c r="C241">
        <f>IF(B241&lt;$G$2, $F$2, IF(B241&lt;$G$3, $F$3, IF(B241&lt;$G$4, $F$4, IF(B241&lt;$G$5, $F$5, IF(B241&lt;$G$6, $F$6, IF(B241&lt;$G$7, $F$7, IF(B241&lt;$G$8, $F$8, IF(B241&lt;$G$9, $F$9, IF(B241&lt;$G$10, $F$10, $F$11)))))))))</f>
        <v>0.5</v>
      </c>
      <c r="D241">
        <f t="shared" si="3"/>
        <v>5</v>
      </c>
    </row>
    <row r="242" spans="1:4" x14ac:dyDescent="0.55000000000000004">
      <c r="A242">
        <v>241</v>
      </c>
      <c r="B242">
        <v>17.2247968862</v>
      </c>
      <c r="C242">
        <f>IF(B242&lt;$G$2, $F$2, IF(B242&lt;$G$3, $F$3, IF(B242&lt;$G$4, $F$4, IF(B242&lt;$G$5, $F$5, IF(B242&lt;$G$6, $F$6, IF(B242&lt;$G$7, $F$7, IF(B242&lt;$G$8, $F$8, IF(B242&lt;$G$9, $F$9, IF(B242&lt;$G$10, $F$10, $F$11)))))))))</f>
        <v>0.4</v>
      </c>
      <c r="D242">
        <f t="shared" si="3"/>
        <v>4</v>
      </c>
    </row>
    <row r="243" spans="1:4" x14ac:dyDescent="0.55000000000000004">
      <c r="A243">
        <v>242</v>
      </c>
      <c r="B243">
        <v>1.4870507531399999</v>
      </c>
      <c r="C243">
        <f>IF(B243&lt;$G$2, $F$2, IF(B243&lt;$G$3, $F$3, IF(B243&lt;$G$4, $F$4, IF(B243&lt;$G$5, $F$5, IF(B243&lt;$G$6, $F$6, IF(B243&lt;$G$7, $F$7, IF(B243&lt;$G$8, $F$8, IF(B243&lt;$G$9, $F$9, IF(B243&lt;$G$10, $F$10, $F$11)))))))))</f>
        <v>0.1</v>
      </c>
      <c r="D243">
        <f t="shared" si="3"/>
        <v>1</v>
      </c>
    </row>
    <row r="244" spans="1:4" x14ac:dyDescent="0.55000000000000004">
      <c r="A244">
        <v>243</v>
      </c>
      <c r="B244">
        <v>6.2889372244199997</v>
      </c>
      <c r="C244">
        <f>IF(B244&lt;$G$2, $F$2, IF(B244&lt;$G$3, $F$3, IF(B244&lt;$G$4, $F$4, IF(B244&lt;$G$5, $F$5, IF(B244&lt;$G$6, $F$6, IF(B244&lt;$G$7, $F$7, IF(B244&lt;$G$8, $F$8, IF(B244&lt;$G$9, $F$9, IF(B244&lt;$G$10, $F$10, $F$11)))))))))</f>
        <v>0.3</v>
      </c>
      <c r="D244">
        <f t="shared" si="3"/>
        <v>3</v>
      </c>
    </row>
    <row r="245" spans="1:4" x14ac:dyDescent="0.55000000000000004">
      <c r="A245">
        <v>244</v>
      </c>
      <c r="B245">
        <v>2.9315981408399998</v>
      </c>
      <c r="C245">
        <f>IF(B245&lt;$G$2, $F$2, IF(B245&lt;$G$3, $F$3, IF(B245&lt;$G$4, $F$4, IF(B245&lt;$G$5, $F$5, IF(B245&lt;$G$6, $F$6, IF(B245&lt;$G$7, $F$7, IF(B245&lt;$G$8, $F$8, IF(B245&lt;$G$9, $F$9, IF(B245&lt;$G$10, $F$10, $F$11)))))))))</f>
        <v>0.2</v>
      </c>
      <c r="D245">
        <f t="shared" si="3"/>
        <v>2</v>
      </c>
    </row>
    <row r="246" spans="1:4" x14ac:dyDescent="0.55000000000000004">
      <c r="A246">
        <v>245</v>
      </c>
      <c r="B246">
        <v>11.8114009529</v>
      </c>
      <c r="C246">
        <f>IF(B246&lt;$G$2, $F$2, IF(B246&lt;$G$3, $F$3, IF(B246&lt;$G$4, $F$4, IF(B246&lt;$G$5, $F$5, IF(B246&lt;$G$6, $F$6, IF(B246&lt;$G$7, $F$7, IF(B246&lt;$G$8, $F$8, IF(B246&lt;$G$9, $F$9, IF(B246&lt;$G$10, $F$10, $F$11)))))))))</f>
        <v>0.4</v>
      </c>
      <c r="D246">
        <f t="shared" si="3"/>
        <v>4</v>
      </c>
    </row>
    <row r="247" spans="1:4" x14ac:dyDescent="0.55000000000000004">
      <c r="A247">
        <v>246</v>
      </c>
      <c r="B247">
        <v>5.8706122089299999</v>
      </c>
      <c r="C247">
        <f>IF(B247&lt;$G$2, $F$2, IF(B247&lt;$G$3, $F$3, IF(B247&lt;$G$4, $F$4, IF(B247&lt;$G$5, $F$5, IF(B247&lt;$G$6, $F$6, IF(B247&lt;$G$7, $F$7, IF(B247&lt;$G$8, $F$8, IF(B247&lt;$G$9, $F$9, IF(B247&lt;$G$10, $F$10, $F$11)))))))))</f>
        <v>0.3</v>
      </c>
      <c r="D247">
        <f t="shared" si="3"/>
        <v>3</v>
      </c>
    </row>
    <row r="248" spans="1:4" x14ac:dyDescent="0.55000000000000004">
      <c r="A248">
        <v>247</v>
      </c>
      <c r="B248">
        <v>7.9202639501799998</v>
      </c>
      <c r="C248">
        <f>IF(B248&lt;$G$2, $F$2, IF(B248&lt;$G$3, $F$3, IF(B248&lt;$G$4, $F$4, IF(B248&lt;$G$5, $F$5, IF(B248&lt;$G$6, $F$6, IF(B248&lt;$G$7, $F$7, IF(B248&lt;$G$8, $F$8, IF(B248&lt;$G$9, $F$9, IF(B248&lt;$G$10, $F$10, $F$11)))))))))</f>
        <v>0.3</v>
      </c>
      <c r="D248">
        <f t="shared" si="3"/>
        <v>3</v>
      </c>
    </row>
    <row r="249" spans="1:4" x14ac:dyDescent="0.55000000000000004">
      <c r="A249">
        <v>248</v>
      </c>
      <c r="B249">
        <v>20.439938629499999</v>
      </c>
      <c r="C249">
        <f>IF(B249&lt;$G$2, $F$2, IF(B249&lt;$G$3, $F$3, IF(B249&lt;$G$4, $F$4, IF(B249&lt;$G$5, $F$5, IF(B249&lt;$G$6, $F$6, IF(B249&lt;$G$7, $F$7, IF(B249&lt;$G$8, $F$8, IF(B249&lt;$G$9, $F$9, IF(B249&lt;$G$10, $F$10, $F$11)))))))))</f>
        <v>0.5</v>
      </c>
      <c r="D249">
        <f t="shared" si="3"/>
        <v>5</v>
      </c>
    </row>
    <row r="250" spans="1:4" x14ac:dyDescent="0.55000000000000004">
      <c r="A250">
        <v>249</v>
      </c>
      <c r="B250">
        <v>19.824913370899999</v>
      </c>
      <c r="C250">
        <f>IF(B250&lt;$G$2, $F$2, IF(B250&lt;$G$3, $F$3, IF(B250&lt;$G$4, $F$4, IF(B250&lt;$G$5, $F$5, IF(B250&lt;$G$6, $F$6, IF(B250&lt;$G$7, $F$7, IF(B250&lt;$G$8, $F$8, IF(B250&lt;$G$9, $F$9, IF(B250&lt;$G$10, $F$10, $F$11)))))))))</f>
        <v>0.5</v>
      </c>
      <c r="D250">
        <f t="shared" si="3"/>
        <v>5</v>
      </c>
    </row>
    <row r="251" spans="1:4" x14ac:dyDescent="0.55000000000000004">
      <c r="A251">
        <v>250</v>
      </c>
      <c r="B251">
        <v>1.6148131765</v>
      </c>
      <c r="C251">
        <f>IF(B251&lt;$G$2, $F$2, IF(B251&lt;$G$3, $F$3, IF(B251&lt;$G$4, $F$4, IF(B251&lt;$G$5, $F$5, IF(B251&lt;$G$6, $F$6, IF(B251&lt;$G$7, $F$7, IF(B251&lt;$G$8, $F$8, IF(B251&lt;$G$9, $F$9, IF(B251&lt;$G$10, $F$10, $F$11)))))))))</f>
        <v>0.1</v>
      </c>
      <c r="D251">
        <f t="shared" si="3"/>
        <v>1</v>
      </c>
    </row>
    <row r="252" spans="1:4" x14ac:dyDescent="0.55000000000000004">
      <c r="A252">
        <v>251</v>
      </c>
      <c r="B252">
        <v>84.765686200600001</v>
      </c>
      <c r="C252">
        <f>IF(B252&lt;$G$2, $F$2, IF(B252&lt;$G$3, $F$3, IF(B252&lt;$G$4, $F$4, IF(B252&lt;$G$5, $F$5, IF(B252&lt;$G$6, $F$6, IF(B252&lt;$G$7, $F$7, IF(B252&lt;$G$8, $F$8, IF(B252&lt;$G$9, $F$9, IF(B252&lt;$G$10, $F$10, $F$11)))))))))</f>
        <v>0.8</v>
      </c>
      <c r="D252">
        <f t="shared" si="3"/>
        <v>8</v>
      </c>
    </row>
    <row r="253" spans="1:4" x14ac:dyDescent="0.55000000000000004">
      <c r="A253">
        <v>252</v>
      </c>
      <c r="B253">
        <v>16.709723199500001</v>
      </c>
      <c r="C253">
        <f>IF(B253&lt;$G$2, $F$2, IF(B253&lt;$G$3, $F$3, IF(B253&lt;$G$4, $F$4, IF(B253&lt;$G$5, $F$5, IF(B253&lt;$G$6, $F$6, IF(B253&lt;$G$7, $F$7, IF(B253&lt;$G$8, $F$8, IF(B253&lt;$G$9, $F$9, IF(B253&lt;$G$10, $F$10, $F$11)))))))))</f>
        <v>0.4</v>
      </c>
      <c r="D253">
        <f t="shared" si="3"/>
        <v>4</v>
      </c>
    </row>
    <row r="254" spans="1:4" x14ac:dyDescent="0.55000000000000004">
      <c r="A254">
        <v>253</v>
      </c>
      <c r="B254">
        <v>5.3933726560900004</v>
      </c>
      <c r="C254">
        <f>IF(B254&lt;$G$2, $F$2, IF(B254&lt;$G$3, $F$3, IF(B254&lt;$G$4, $F$4, IF(B254&lt;$G$5, $F$5, IF(B254&lt;$G$6, $F$6, IF(B254&lt;$G$7, $F$7, IF(B254&lt;$G$8, $F$8, IF(B254&lt;$G$9, $F$9, IF(B254&lt;$G$10, $F$10, $F$11)))))))))</f>
        <v>0.2</v>
      </c>
      <c r="D254">
        <f t="shared" si="3"/>
        <v>2</v>
      </c>
    </row>
    <row r="255" spans="1:4" x14ac:dyDescent="0.55000000000000004">
      <c r="A255">
        <v>254</v>
      </c>
      <c r="B255">
        <v>158.31346146499999</v>
      </c>
      <c r="C255">
        <f>IF(B255&lt;$G$2, $F$2, IF(B255&lt;$G$3, $F$3, IF(B255&lt;$G$4, $F$4, IF(B255&lt;$G$5, $F$5, IF(B255&lt;$G$6, $F$6, IF(B255&lt;$G$7, $F$7, IF(B255&lt;$G$8, $F$8, IF(B255&lt;$G$9, $F$9, IF(B255&lt;$G$10, $F$10, $F$11)))))))))</f>
        <v>0.9</v>
      </c>
      <c r="D255">
        <f t="shared" si="3"/>
        <v>9</v>
      </c>
    </row>
    <row r="256" spans="1:4" x14ac:dyDescent="0.55000000000000004">
      <c r="A256">
        <v>255</v>
      </c>
      <c r="B256">
        <v>8.3155129151399994</v>
      </c>
      <c r="C256">
        <f>IF(B256&lt;$G$2, $F$2, IF(B256&lt;$G$3, $F$3, IF(B256&lt;$G$4, $F$4, IF(B256&lt;$G$5, $F$5, IF(B256&lt;$G$6, $F$6, IF(B256&lt;$G$7, $F$7, IF(B256&lt;$G$8, $F$8, IF(B256&lt;$G$9, $F$9, IF(B256&lt;$G$10, $F$10, $F$11)))))))))</f>
        <v>0.3</v>
      </c>
      <c r="D256">
        <f t="shared" si="3"/>
        <v>3</v>
      </c>
    </row>
    <row r="257" spans="1:4" x14ac:dyDescent="0.55000000000000004">
      <c r="A257">
        <v>256</v>
      </c>
      <c r="B257">
        <v>575.116034152</v>
      </c>
      <c r="C257">
        <f>IF(B257&lt;$G$2, $F$2, IF(B257&lt;$G$3, $F$3, IF(B257&lt;$G$4, $F$4, IF(B257&lt;$G$5, $F$5, IF(B257&lt;$G$6, $F$6, IF(B257&lt;$G$7, $F$7, IF(B257&lt;$G$8, $F$8, IF(B257&lt;$G$9, $F$9, IF(B257&lt;$G$10, $F$10, $F$11)))))))))</f>
        <v>1</v>
      </c>
      <c r="D257">
        <f t="shared" si="3"/>
        <v>10</v>
      </c>
    </row>
    <row r="258" spans="1:4" x14ac:dyDescent="0.55000000000000004">
      <c r="A258">
        <v>257</v>
      </c>
      <c r="B258">
        <v>21.047673838400002</v>
      </c>
      <c r="C258">
        <f>IF(B258&lt;$G$2, $F$2, IF(B258&lt;$G$3, $F$3, IF(B258&lt;$G$4, $F$4, IF(B258&lt;$G$5, $F$5, IF(B258&lt;$G$6, $F$6, IF(B258&lt;$G$7, $F$7, IF(B258&lt;$G$8, $F$8, IF(B258&lt;$G$9, $F$9, IF(B258&lt;$G$10, $F$10, $F$11)))))))))</f>
        <v>0.5</v>
      </c>
      <c r="D258">
        <f t="shared" si="3"/>
        <v>5</v>
      </c>
    </row>
    <row r="259" spans="1:4" x14ac:dyDescent="0.55000000000000004">
      <c r="A259">
        <v>258</v>
      </c>
      <c r="B259">
        <v>139.975195039</v>
      </c>
      <c r="C259">
        <f>IF(B259&lt;$G$2, $F$2, IF(B259&lt;$G$3, $F$3, IF(B259&lt;$G$4, $F$4, IF(B259&lt;$G$5, $F$5, IF(B259&lt;$G$6, $F$6, IF(B259&lt;$G$7, $F$7, IF(B259&lt;$G$8, $F$8, IF(B259&lt;$G$9, $F$9, IF(B259&lt;$G$10, $F$10, $F$11)))))))))</f>
        <v>0.9</v>
      </c>
      <c r="D259">
        <f t="shared" ref="D259:D322" si="4">C259*10</f>
        <v>9</v>
      </c>
    </row>
    <row r="260" spans="1:4" x14ac:dyDescent="0.55000000000000004">
      <c r="A260">
        <v>259</v>
      </c>
      <c r="B260">
        <v>20.6800785617</v>
      </c>
      <c r="C260">
        <f>IF(B260&lt;$G$2, $F$2, IF(B260&lt;$G$3, $F$3, IF(B260&lt;$G$4, $F$4, IF(B260&lt;$G$5, $F$5, IF(B260&lt;$G$6, $F$6, IF(B260&lt;$G$7, $F$7, IF(B260&lt;$G$8, $F$8, IF(B260&lt;$G$9, $F$9, IF(B260&lt;$G$10, $F$10, $F$11)))))))))</f>
        <v>0.5</v>
      </c>
      <c r="D260">
        <f t="shared" si="4"/>
        <v>5</v>
      </c>
    </row>
    <row r="261" spans="1:4" x14ac:dyDescent="0.55000000000000004">
      <c r="A261">
        <v>260</v>
      </c>
      <c r="B261">
        <v>36.858632727900002</v>
      </c>
      <c r="C261">
        <f>IF(B261&lt;$G$2, $F$2, IF(B261&lt;$G$3, $F$3, IF(B261&lt;$G$4, $F$4, IF(B261&lt;$G$5, $F$5, IF(B261&lt;$G$6, $F$6, IF(B261&lt;$G$7, $F$7, IF(B261&lt;$G$8, $F$8, IF(B261&lt;$G$9, $F$9, IF(B261&lt;$G$10, $F$10, $F$11)))))))))</f>
        <v>0.6</v>
      </c>
      <c r="D261">
        <f t="shared" si="4"/>
        <v>6</v>
      </c>
    </row>
    <row r="262" spans="1:4" x14ac:dyDescent="0.55000000000000004">
      <c r="A262">
        <v>261</v>
      </c>
      <c r="B262">
        <v>15.518492546399999</v>
      </c>
      <c r="C262">
        <f>IF(B262&lt;$G$2, $F$2, IF(B262&lt;$G$3, $F$3, IF(B262&lt;$G$4, $F$4, IF(B262&lt;$G$5, $F$5, IF(B262&lt;$G$6, $F$6, IF(B262&lt;$G$7, $F$7, IF(B262&lt;$G$8, $F$8, IF(B262&lt;$G$9, $F$9, IF(B262&lt;$G$10, $F$10, $F$11)))))))))</f>
        <v>0.4</v>
      </c>
      <c r="D262">
        <f t="shared" si="4"/>
        <v>4</v>
      </c>
    </row>
    <row r="263" spans="1:4" x14ac:dyDescent="0.55000000000000004">
      <c r="A263">
        <v>262</v>
      </c>
      <c r="B263">
        <v>7.1097998782499996</v>
      </c>
      <c r="C263">
        <f>IF(B263&lt;$G$2, $F$2, IF(B263&lt;$G$3, $F$3, IF(B263&lt;$G$4, $F$4, IF(B263&lt;$G$5, $F$5, IF(B263&lt;$G$6, $F$6, IF(B263&lt;$G$7, $F$7, IF(B263&lt;$G$8, $F$8, IF(B263&lt;$G$9, $F$9, IF(B263&lt;$G$10, $F$10, $F$11)))))))))</f>
        <v>0.3</v>
      </c>
      <c r="D263">
        <f t="shared" si="4"/>
        <v>3</v>
      </c>
    </row>
    <row r="264" spans="1:4" x14ac:dyDescent="0.55000000000000004">
      <c r="A264">
        <v>263</v>
      </c>
      <c r="B264">
        <v>2.8112217041099998</v>
      </c>
      <c r="C264">
        <f>IF(B264&lt;$G$2, $F$2, IF(B264&lt;$G$3, $F$3, IF(B264&lt;$G$4, $F$4, IF(B264&lt;$G$5, $F$5, IF(B264&lt;$G$6, $F$6, IF(B264&lt;$G$7, $F$7, IF(B264&lt;$G$8, $F$8, IF(B264&lt;$G$9, $F$9, IF(B264&lt;$G$10, $F$10, $F$11)))))))))</f>
        <v>0.2</v>
      </c>
      <c r="D264">
        <f t="shared" si="4"/>
        <v>2</v>
      </c>
    </row>
    <row r="265" spans="1:4" x14ac:dyDescent="0.55000000000000004">
      <c r="A265">
        <v>264</v>
      </c>
      <c r="B265">
        <v>19.502571312099999</v>
      </c>
      <c r="C265">
        <f>IF(B265&lt;$G$2, $F$2, IF(B265&lt;$G$3, $F$3, IF(B265&lt;$G$4, $F$4, IF(B265&lt;$G$5, $F$5, IF(B265&lt;$G$6, $F$6, IF(B265&lt;$G$7, $F$7, IF(B265&lt;$G$8, $F$8, IF(B265&lt;$G$9, $F$9, IF(B265&lt;$G$10, $F$10, $F$11)))))))))</f>
        <v>0.5</v>
      </c>
      <c r="D265">
        <f t="shared" si="4"/>
        <v>5</v>
      </c>
    </row>
    <row r="266" spans="1:4" x14ac:dyDescent="0.55000000000000004">
      <c r="A266">
        <v>265</v>
      </c>
      <c r="B266">
        <v>17.647437597300001</v>
      </c>
      <c r="C266">
        <f>IF(B266&lt;$G$2, $F$2, IF(B266&lt;$G$3, $F$3, IF(B266&lt;$G$4, $F$4, IF(B266&lt;$G$5, $F$5, IF(B266&lt;$G$6, $F$6, IF(B266&lt;$G$7, $F$7, IF(B266&lt;$G$8, $F$8, IF(B266&lt;$G$9, $F$9, IF(B266&lt;$G$10, $F$10, $F$11)))))))))</f>
        <v>0.4</v>
      </c>
      <c r="D266">
        <f t="shared" si="4"/>
        <v>4</v>
      </c>
    </row>
    <row r="267" spans="1:4" x14ac:dyDescent="0.55000000000000004">
      <c r="A267">
        <v>266</v>
      </c>
      <c r="B267">
        <v>83.560496638299995</v>
      </c>
      <c r="C267">
        <f>IF(B267&lt;$G$2, $F$2, IF(B267&lt;$G$3, $F$3, IF(B267&lt;$G$4, $F$4, IF(B267&lt;$G$5, $F$5, IF(B267&lt;$G$6, $F$6, IF(B267&lt;$G$7, $F$7, IF(B267&lt;$G$8, $F$8, IF(B267&lt;$G$9, $F$9, IF(B267&lt;$G$10, $F$10, $F$11)))))))))</f>
        <v>0.8</v>
      </c>
      <c r="D267">
        <f t="shared" si="4"/>
        <v>8</v>
      </c>
    </row>
    <row r="268" spans="1:4" x14ac:dyDescent="0.55000000000000004">
      <c r="A268">
        <v>267</v>
      </c>
      <c r="B268">
        <v>1.7535010530099999</v>
      </c>
      <c r="C268">
        <f>IF(B268&lt;$G$2, $F$2, IF(B268&lt;$G$3, $F$3, IF(B268&lt;$G$4, $F$4, IF(B268&lt;$G$5, $F$5, IF(B268&lt;$G$6, $F$6, IF(B268&lt;$G$7, $F$7, IF(B268&lt;$G$8, $F$8, IF(B268&lt;$G$9, $F$9, IF(B268&lt;$G$10, $F$10, $F$11)))))))))</f>
        <v>0.1</v>
      </c>
      <c r="D268">
        <f t="shared" si="4"/>
        <v>1</v>
      </c>
    </row>
    <row r="269" spans="1:4" x14ac:dyDescent="0.55000000000000004">
      <c r="A269">
        <v>268</v>
      </c>
      <c r="B269">
        <v>0.45278870229899998</v>
      </c>
      <c r="C269">
        <f>IF(B269&lt;$G$2, $F$2, IF(B269&lt;$G$3, $F$3, IF(B269&lt;$G$4, $F$4, IF(B269&lt;$G$5, $F$5, IF(B269&lt;$G$6, $F$6, IF(B269&lt;$G$7, $F$7, IF(B269&lt;$G$8, $F$8, IF(B269&lt;$G$9, $F$9, IF(B269&lt;$G$10, $F$10, $F$11)))))))))</f>
        <v>0.1</v>
      </c>
      <c r="D269">
        <f t="shared" si="4"/>
        <v>1</v>
      </c>
    </row>
    <row r="270" spans="1:4" x14ac:dyDescent="0.55000000000000004">
      <c r="A270">
        <v>269</v>
      </c>
      <c r="B270">
        <v>5.4292335307600004</v>
      </c>
      <c r="C270">
        <f>IF(B270&lt;$G$2, $F$2, IF(B270&lt;$G$3, $F$3, IF(B270&lt;$G$4, $F$4, IF(B270&lt;$G$5, $F$5, IF(B270&lt;$G$6, $F$6, IF(B270&lt;$G$7, $F$7, IF(B270&lt;$G$8, $F$8, IF(B270&lt;$G$9, $F$9, IF(B270&lt;$G$10, $F$10, $F$11)))))))))</f>
        <v>0.2</v>
      </c>
      <c r="D270">
        <f t="shared" si="4"/>
        <v>2</v>
      </c>
    </row>
    <row r="271" spans="1:4" x14ac:dyDescent="0.55000000000000004">
      <c r="A271">
        <v>270</v>
      </c>
      <c r="B271">
        <v>3.9803877085799999</v>
      </c>
      <c r="C271">
        <f>IF(B271&lt;$G$2, $F$2, IF(B271&lt;$G$3, $F$3, IF(B271&lt;$G$4, $F$4, IF(B271&lt;$G$5, $F$5, IF(B271&lt;$G$6, $F$6, IF(B271&lt;$G$7, $F$7, IF(B271&lt;$G$8, $F$8, IF(B271&lt;$G$9, $F$9, IF(B271&lt;$G$10, $F$10, $F$11)))))))))</f>
        <v>0.2</v>
      </c>
      <c r="D271">
        <f t="shared" si="4"/>
        <v>2</v>
      </c>
    </row>
    <row r="272" spans="1:4" x14ac:dyDescent="0.55000000000000004">
      <c r="A272">
        <v>271</v>
      </c>
      <c r="B272">
        <v>0.64834679181800003</v>
      </c>
      <c r="C272">
        <f>IF(B272&lt;$G$2, $F$2, IF(B272&lt;$G$3, $F$3, IF(B272&lt;$G$4, $F$4, IF(B272&lt;$G$5, $F$5, IF(B272&lt;$G$6, $F$6, IF(B272&lt;$G$7, $F$7, IF(B272&lt;$G$8, $F$8, IF(B272&lt;$G$9, $F$9, IF(B272&lt;$G$10, $F$10, $F$11)))))))))</f>
        <v>0.1</v>
      </c>
      <c r="D272">
        <f t="shared" si="4"/>
        <v>1</v>
      </c>
    </row>
    <row r="273" spans="1:4" x14ac:dyDescent="0.55000000000000004">
      <c r="A273">
        <v>272</v>
      </c>
      <c r="B273">
        <v>0.67589523511299998</v>
      </c>
      <c r="C273">
        <f>IF(B273&lt;$G$2, $F$2, IF(B273&lt;$G$3, $F$3, IF(B273&lt;$G$4, $F$4, IF(B273&lt;$G$5, $F$5, IF(B273&lt;$G$6, $F$6, IF(B273&lt;$G$7, $F$7, IF(B273&lt;$G$8, $F$8, IF(B273&lt;$G$9, $F$9, IF(B273&lt;$G$10, $F$10, $F$11)))))))))</f>
        <v>0.1</v>
      </c>
      <c r="D273">
        <f t="shared" si="4"/>
        <v>1</v>
      </c>
    </row>
    <row r="274" spans="1:4" x14ac:dyDescent="0.55000000000000004">
      <c r="A274">
        <v>273</v>
      </c>
      <c r="B274">
        <v>3.9273490942599998</v>
      </c>
      <c r="C274">
        <f>IF(B274&lt;$G$2, $F$2, IF(B274&lt;$G$3, $F$3, IF(B274&lt;$G$4, $F$4, IF(B274&lt;$G$5, $F$5, IF(B274&lt;$G$6, $F$6, IF(B274&lt;$G$7, $F$7, IF(B274&lt;$G$8, $F$8, IF(B274&lt;$G$9, $F$9, IF(B274&lt;$G$10, $F$10, $F$11)))))))))</f>
        <v>0.2</v>
      </c>
      <c r="D274">
        <f t="shared" si="4"/>
        <v>2</v>
      </c>
    </row>
    <row r="275" spans="1:4" x14ac:dyDescent="0.55000000000000004">
      <c r="A275">
        <v>274</v>
      </c>
      <c r="B275">
        <v>8.4482727152799999</v>
      </c>
      <c r="C275">
        <f>IF(B275&lt;$G$2, $F$2, IF(B275&lt;$G$3, $F$3, IF(B275&lt;$G$4, $F$4, IF(B275&lt;$G$5, $F$5, IF(B275&lt;$G$6, $F$6, IF(B275&lt;$G$7, $F$7, IF(B275&lt;$G$8, $F$8, IF(B275&lt;$G$9, $F$9, IF(B275&lt;$G$10, $F$10, $F$11)))))))))</f>
        <v>0.3</v>
      </c>
      <c r="D275">
        <f t="shared" si="4"/>
        <v>3</v>
      </c>
    </row>
    <row r="276" spans="1:4" x14ac:dyDescent="0.55000000000000004">
      <c r="A276">
        <v>275</v>
      </c>
      <c r="B276">
        <v>11.5213860309</v>
      </c>
      <c r="C276">
        <f>IF(B276&lt;$G$2, $F$2, IF(B276&lt;$G$3, $F$3, IF(B276&lt;$G$4, $F$4, IF(B276&lt;$G$5, $F$5, IF(B276&lt;$G$6, $F$6, IF(B276&lt;$G$7, $F$7, IF(B276&lt;$G$8, $F$8, IF(B276&lt;$G$9, $F$9, IF(B276&lt;$G$10, $F$10, $F$11)))))))))</f>
        <v>0.4</v>
      </c>
      <c r="D276">
        <f t="shared" si="4"/>
        <v>4</v>
      </c>
    </row>
    <row r="277" spans="1:4" x14ac:dyDescent="0.55000000000000004">
      <c r="A277">
        <v>276</v>
      </c>
      <c r="B277">
        <v>2.8564774805800002</v>
      </c>
      <c r="C277">
        <f>IF(B277&lt;$G$2, $F$2, IF(B277&lt;$G$3, $F$3, IF(B277&lt;$G$4, $F$4, IF(B277&lt;$G$5, $F$5, IF(B277&lt;$G$6, $F$6, IF(B277&lt;$G$7, $F$7, IF(B277&lt;$G$8, $F$8, IF(B277&lt;$G$9, $F$9, IF(B277&lt;$G$10, $F$10, $F$11)))))))))</f>
        <v>0.2</v>
      </c>
      <c r="D277">
        <f t="shared" si="4"/>
        <v>2</v>
      </c>
    </row>
    <row r="278" spans="1:4" x14ac:dyDescent="0.55000000000000004">
      <c r="A278">
        <v>277</v>
      </c>
      <c r="B278">
        <v>1.3419778948100001</v>
      </c>
      <c r="C278">
        <f>IF(B278&lt;$G$2, $F$2, IF(B278&lt;$G$3, $F$3, IF(B278&lt;$G$4, $F$4, IF(B278&lt;$G$5, $F$5, IF(B278&lt;$G$6, $F$6, IF(B278&lt;$G$7, $F$7, IF(B278&lt;$G$8, $F$8, IF(B278&lt;$G$9, $F$9, IF(B278&lt;$G$10, $F$10, $F$11)))))))))</f>
        <v>0.1</v>
      </c>
      <c r="D278">
        <f t="shared" si="4"/>
        <v>1</v>
      </c>
    </row>
    <row r="279" spans="1:4" x14ac:dyDescent="0.55000000000000004">
      <c r="A279">
        <v>278</v>
      </c>
      <c r="B279">
        <v>19.740943347999998</v>
      </c>
      <c r="C279">
        <f>IF(B279&lt;$G$2, $F$2, IF(B279&lt;$G$3, $F$3, IF(B279&lt;$G$4, $F$4, IF(B279&lt;$G$5, $F$5, IF(B279&lt;$G$6, $F$6, IF(B279&lt;$G$7, $F$7, IF(B279&lt;$G$8, $F$8, IF(B279&lt;$G$9, $F$9, IF(B279&lt;$G$10, $F$10, $F$11)))))))))</f>
        <v>0.5</v>
      </c>
      <c r="D279">
        <f t="shared" si="4"/>
        <v>5</v>
      </c>
    </row>
    <row r="280" spans="1:4" x14ac:dyDescent="0.55000000000000004">
      <c r="A280">
        <v>279</v>
      </c>
      <c r="B280">
        <v>51.436902111099997</v>
      </c>
      <c r="C280">
        <f>IF(B280&lt;$G$2, $F$2, IF(B280&lt;$G$3, $F$3, IF(B280&lt;$G$4, $F$4, IF(B280&lt;$G$5, $F$5, IF(B280&lt;$G$6, $F$6, IF(B280&lt;$G$7, $F$7, IF(B280&lt;$G$8, $F$8, IF(B280&lt;$G$9, $F$9, IF(B280&lt;$G$10, $F$10, $F$11)))))))))</f>
        <v>0.7</v>
      </c>
      <c r="D280">
        <f t="shared" si="4"/>
        <v>7</v>
      </c>
    </row>
    <row r="281" spans="1:4" x14ac:dyDescent="0.55000000000000004">
      <c r="A281">
        <v>280</v>
      </c>
      <c r="B281">
        <v>28.757634776700002</v>
      </c>
      <c r="C281">
        <f>IF(B281&lt;$G$2, $F$2, IF(B281&lt;$G$3, $F$3, IF(B281&lt;$G$4, $F$4, IF(B281&lt;$G$5, $F$5, IF(B281&lt;$G$6, $F$6, IF(B281&lt;$G$7, $F$7, IF(B281&lt;$G$8, $F$8, IF(B281&lt;$G$9, $F$9, IF(B281&lt;$G$10, $F$10, $F$11)))))))))</f>
        <v>0.6</v>
      </c>
      <c r="D281">
        <f t="shared" si="4"/>
        <v>6</v>
      </c>
    </row>
    <row r="282" spans="1:4" x14ac:dyDescent="0.55000000000000004">
      <c r="A282">
        <v>281</v>
      </c>
      <c r="B282">
        <v>2.2387308240000001</v>
      </c>
      <c r="C282">
        <f>IF(B282&lt;$G$2, $F$2, IF(B282&lt;$G$3, $F$3, IF(B282&lt;$G$4, $F$4, IF(B282&lt;$G$5, $F$5, IF(B282&lt;$G$6, $F$6, IF(B282&lt;$G$7, $F$7, IF(B282&lt;$G$8, $F$8, IF(B282&lt;$G$9, $F$9, IF(B282&lt;$G$10, $F$10, $F$11)))))))))</f>
        <v>0.1</v>
      </c>
      <c r="D282">
        <f t="shared" si="4"/>
        <v>1</v>
      </c>
    </row>
    <row r="283" spans="1:4" x14ac:dyDescent="0.55000000000000004">
      <c r="A283">
        <v>282</v>
      </c>
      <c r="B283">
        <v>2.9677596371399999</v>
      </c>
      <c r="C283">
        <f>IF(B283&lt;$G$2, $F$2, IF(B283&lt;$G$3, $F$3, IF(B283&lt;$G$4, $F$4, IF(B283&lt;$G$5, $F$5, IF(B283&lt;$G$6, $F$6, IF(B283&lt;$G$7, $F$7, IF(B283&lt;$G$8, $F$8, IF(B283&lt;$G$9, $F$9, IF(B283&lt;$G$10, $F$10, $F$11)))))))))</f>
        <v>0.2</v>
      </c>
      <c r="D283">
        <f t="shared" si="4"/>
        <v>2</v>
      </c>
    </row>
    <row r="284" spans="1:4" x14ac:dyDescent="0.55000000000000004">
      <c r="A284">
        <v>283</v>
      </c>
      <c r="B284">
        <v>1.4572128038800001</v>
      </c>
      <c r="C284">
        <f>IF(B284&lt;$G$2, $F$2, IF(B284&lt;$G$3, $F$3, IF(B284&lt;$G$4, $F$4, IF(B284&lt;$G$5, $F$5, IF(B284&lt;$G$6, $F$6, IF(B284&lt;$G$7, $F$7, IF(B284&lt;$G$8, $F$8, IF(B284&lt;$G$9, $F$9, IF(B284&lt;$G$10, $F$10, $F$11)))))))))</f>
        <v>0.1</v>
      </c>
      <c r="D284">
        <f t="shared" si="4"/>
        <v>1</v>
      </c>
    </row>
    <row r="285" spans="1:4" x14ac:dyDescent="0.55000000000000004">
      <c r="A285">
        <v>284</v>
      </c>
      <c r="B285">
        <v>23.6163544988</v>
      </c>
      <c r="C285">
        <f>IF(B285&lt;$G$2, $F$2, IF(B285&lt;$G$3, $F$3, IF(B285&lt;$G$4, $F$4, IF(B285&lt;$G$5, $F$5, IF(B285&lt;$G$6, $F$6, IF(B285&lt;$G$7, $F$7, IF(B285&lt;$G$8, $F$8, IF(B285&lt;$G$9, $F$9, IF(B285&lt;$G$10, $F$10, $F$11)))))))))</f>
        <v>0.5</v>
      </c>
      <c r="D285">
        <f t="shared" si="4"/>
        <v>5</v>
      </c>
    </row>
    <row r="286" spans="1:4" x14ac:dyDescent="0.55000000000000004">
      <c r="A286">
        <v>285</v>
      </c>
      <c r="B286">
        <v>8.1465148828299991</v>
      </c>
      <c r="C286">
        <f>IF(B286&lt;$G$2, $F$2, IF(B286&lt;$G$3, $F$3, IF(B286&lt;$G$4, $F$4, IF(B286&lt;$G$5, $F$5, IF(B286&lt;$G$6, $F$6, IF(B286&lt;$G$7, $F$7, IF(B286&lt;$G$8, $F$8, IF(B286&lt;$G$9, $F$9, IF(B286&lt;$G$10, $F$10, $F$11)))))))))</f>
        <v>0.3</v>
      </c>
      <c r="D286">
        <f t="shared" si="4"/>
        <v>3</v>
      </c>
    </row>
    <row r="287" spans="1:4" x14ac:dyDescent="0.55000000000000004">
      <c r="A287">
        <v>286</v>
      </c>
      <c r="B287">
        <v>29.431209119399998</v>
      </c>
      <c r="C287">
        <f>IF(B287&lt;$G$2, $F$2, IF(B287&lt;$G$3, $F$3, IF(B287&lt;$G$4, $F$4, IF(B287&lt;$G$5, $F$5, IF(B287&lt;$G$6, $F$6, IF(B287&lt;$G$7, $F$7, IF(B287&lt;$G$8, $F$8, IF(B287&lt;$G$9, $F$9, IF(B287&lt;$G$10, $F$10, $F$11)))))))))</f>
        <v>0.6</v>
      </c>
      <c r="D287">
        <f t="shared" si="4"/>
        <v>6</v>
      </c>
    </row>
    <row r="288" spans="1:4" x14ac:dyDescent="0.55000000000000004">
      <c r="A288">
        <v>287</v>
      </c>
      <c r="B288">
        <v>4.9833904125500004</v>
      </c>
      <c r="C288">
        <f>IF(B288&lt;$G$2, $F$2, IF(B288&lt;$G$3, $F$3, IF(B288&lt;$G$4, $F$4, IF(B288&lt;$G$5, $F$5, IF(B288&lt;$G$6, $F$6, IF(B288&lt;$G$7, $F$7, IF(B288&lt;$G$8, $F$8, IF(B288&lt;$G$9, $F$9, IF(B288&lt;$G$10, $F$10, $F$11)))))))))</f>
        <v>0.2</v>
      </c>
      <c r="D288">
        <f t="shared" si="4"/>
        <v>2</v>
      </c>
    </row>
    <row r="289" spans="1:4" x14ac:dyDescent="0.55000000000000004">
      <c r="A289">
        <v>288</v>
      </c>
      <c r="B289">
        <v>1.9834603390900001</v>
      </c>
      <c r="C289">
        <f>IF(B289&lt;$G$2, $F$2, IF(B289&lt;$G$3, $F$3, IF(B289&lt;$G$4, $F$4, IF(B289&lt;$G$5, $F$5, IF(B289&lt;$G$6, $F$6, IF(B289&lt;$G$7, $F$7, IF(B289&lt;$G$8, $F$8, IF(B289&lt;$G$9, $F$9, IF(B289&lt;$G$10, $F$10, $F$11)))))))))</f>
        <v>0.1</v>
      </c>
      <c r="D289">
        <f t="shared" si="4"/>
        <v>1</v>
      </c>
    </row>
    <row r="290" spans="1:4" x14ac:dyDescent="0.55000000000000004">
      <c r="A290">
        <v>289</v>
      </c>
      <c r="B290">
        <v>2.19622318505</v>
      </c>
      <c r="C290">
        <f>IF(B290&lt;$G$2, $F$2, IF(B290&lt;$G$3, $F$3, IF(B290&lt;$G$4, $F$4, IF(B290&lt;$G$5, $F$5, IF(B290&lt;$G$6, $F$6, IF(B290&lt;$G$7, $F$7, IF(B290&lt;$G$8, $F$8, IF(B290&lt;$G$9, $F$9, IF(B290&lt;$G$10, $F$10, $F$11)))))))))</f>
        <v>0.1</v>
      </c>
      <c r="D290">
        <f t="shared" si="4"/>
        <v>1</v>
      </c>
    </row>
    <row r="291" spans="1:4" x14ac:dyDescent="0.55000000000000004">
      <c r="A291">
        <v>290</v>
      </c>
      <c r="B291">
        <v>1.7975266221799999</v>
      </c>
      <c r="C291">
        <f>IF(B291&lt;$G$2, $F$2, IF(B291&lt;$G$3, $F$3, IF(B291&lt;$G$4, $F$4, IF(B291&lt;$G$5, $F$5, IF(B291&lt;$G$6, $F$6, IF(B291&lt;$G$7, $F$7, IF(B291&lt;$G$8, $F$8, IF(B291&lt;$G$9, $F$9, IF(B291&lt;$G$10, $F$10, $F$11)))))))))</f>
        <v>0.1</v>
      </c>
      <c r="D291">
        <f t="shared" si="4"/>
        <v>1</v>
      </c>
    </row>
    <row r="292" spans="1:4" x14ac:dyDescent="0.55000000000000004">
      <c r="A292">
        <v>291</v>
      </c>
      <c r="B292">
        <v>16.666985993400001</v>
      </c>
      <c r="C292">
        <f>IF(B292&lt;$G$2, $F$2, IF(B292&lt;$G$3, $F$3, IF(B292&lt;$G$4, $F$4, IF(B292&lt;$G$5, $F$5, IF(B292&lt;$G$6, $F$6, IF(B292&lt;$G$7, $F$7, IF(B292&lt;$G$8, $F$8, IF(B292&lt;$G$9, $F$9, IF(B292&lt;$G$10, $F$10, $F$11)))))))))</f>
        <v>0.4</v>
      </c>
      <c r="D292">
        <f t="shared" si="4"/>
        <v>4</v>
      </c>
    </row>
    <row r="293" spans="1:4" x14ac:dyDescent="0.55000000000000004">
      <c r="A293">
        <v>292</v>
      </c>
      <c r="B293">
        <v>4.2008257677399996</v>
      </c>
      <c r="C293">
        <f>IF(B293&lt;$G$2, $F$2, IF(B293&lt;$G$3, $F$3, IF(B293&lt;$G$4, $F$4, IF(B293&lt;$G$5, $F$5, IF(B293&lt;$G$6, $F$6, IF(B293&lt;$G$7, $F$7, IF(B293&lt;$G$8, $F$8, IF(B293&lt;$G$9, $F$9, IF(B293&lt;$G$10, $F$10, $F$11)))))))))</f>
        <v>0.2</v>
      </c>
      <c r="D293">
        <f t="shared" si="4"/>
        <v>2</v>
      </c>
    </row>
    <row r="294" spans="1:4" x14ac:dyDescent="0.55000000000000004">
      <c r="A294">
        <v>293</v>
      </c>
      <c r="B294">
        <v>0.69523815973600001</v>
      </c>
      <c r="C294">
        <f>IF(B294&lt;$G$2, $F$2, IF(B294&lt;$G$3, $F$3, IF(B294&lt;$G$4, $F$4, IF(B294&lt;$G$5, $F$5, IF(B294&lt;$G$6, $F$6, IF(B294&lt;$G$7, $F$7, IF(B294&lt;$G$8, $F$8, IF(B294&lt;$G$9, $F$9, IF(B294&lt;$G$10, $F$10, $F$11)))))))))</f>
        <v>0.1</v>
      </c>
      <c r="D294">
        <f t="shared" si="4"/>
        <v>1</v>
      </c>
    </row>
    <row r="295" spans="1:4" x14ac:dyDescent="0.55000000000000004">
      <c r="A295">
        <v>294</v>
      </c>
      <c r="B295">
        <v>3.0375062615999999</v>
      </c>
      <c r="C295">
        <f>IF(B295&lt;$G$2, $F$2, IF(B295&lt;$G$3, $F$3, IF(B295&lt;$G$4, $F$4, IF(B295&lt;$G$5, $F$5, IF(B295&lt;$G$6, $F$6, IF(B295&lt;$G$7, $F$7, IF(B295&lt;$G$8, $F$8, IF(B295&lt;$G$9, $F$9, IF(B295&lt;$G$10, $F$10, $F$11)))))))))</f>
        <v>0.2</v>
      </c>
      <c r="D295">
        <f t="shared" si="4"/>
        <v>2</v>
      </c>
    </row>
    <row r="296" spans="1:4" x14ac:dyDescent="0.55000000000000004">
      <c r="A296">
        <v>295</v>
      </c>
      <c r="B296">
        <v>26.356820969600001</v>
      </c>
      <c r="C296">
        <f>IF(B296&lt;$G$2, $F$2, IF(B296&lt;$G$3, $F$3, IF(B296&lt;$G$4, $F$4, IF(B296&lt;$G$5, $F$5, IF(B296&lt;$G$6, $F$6, IF(B296&lt;$G$7, $F$7, IF(B296&lt;$G$8, $F$8, IF(B296&lt;$G$9, $F$9, IF(B296&lt;$G$10, $F$10, $F$11)))))))))</f>
        <v>0.6</v>
      </c>
      <c r="D296">
        <f t="shared" si="4"/>
        <v>6</v>
      </c>
    </row>
    <row r="297" spans="1:4" x14ac:dyDescent="0.55000000000000004">
      <c r="A297">
        <v>296</v>
      </c>
      <c r="B297">
        <v>208.76578952200001</v>
      </c>
      <c r="C297">
        <f>IF(B297&lt;$G$2, $F$2, IF(B297&lt;$G$3, $F$3, IF(B297&lt;$G$4, $F$4, IF(B297&lt;$G$5, $F$5, IF(B297&lt;$G$6, $F$6, IF(B297&lt;$G$7, $F$7, IF(B297&lt;$G$8, $F$8, IF(B297&lt;$G$9, $F$9, IF(B297&lt;$G$10, $F$10, $F$11)))))))))</f>
        <v>0.9</v>
      </c>
      <c r="D297">
        <f t="shared" si="4"/>
        <v>9</v>
      </c>
    </row>
    <row r="298" spans="1:4" x14ac:dyDescent="0.55000000000000004">
      <c r="A298">
        <v>297</v>
      </c>
      <c r="B298">
        <v>129.89333569199999</v>
      </c>
      <c r="C298">
        <f>IF(B298&lt;$G$2, $F$2, IF(B298&lt;$G$3, $F$3, IF(B298&lt;$G$4, $F$4, IF(B298&lt;$G$5, $F$5, IF(B298&lt;$G$6, $F$6, IF(B298&lt;$G$7, $F$7, IF(B298&lt;$G$8, $F$8, IF(B298&lt;$G$9, $F$9, IF(B298&lt;$G$10, $F$10, $F$11)))))))))</f>
        <v>0.9</v>
      </c>
      <c r="D298">
        <f t="shared" si="4"/>
        <v>9</v>
      </c>
    </row>
    <row r="299" spans="1:4" x14ac:dyDescent="0.55000000000000004">
      <c r="A299">
        <v>298</v>
      </c>
      <c r="B299">
        <v>163.51281549699999</v>
      </c>
      <c r="C299">
        <f>IF(B299&lt;$G$2, $F$2, IF(B299&lt;$G$3, $F$3, IF(B299&lt;$G$4, $F$4, IF(B299&lt;$G$5, $F$5, IF(B299&lt;$G$6, $F$6, IF(B299&lt;$G$7, $F$7, IF(B299&lt;$G$8, $F$8, IF(B299&lt;$G$9, $F$9, IF(B299&lt;$G$10, $F$10, $F$11)))))))))</f>
        <v>0.9</v>
      </c>
      <c r="D299">
        <f t="shared" si="4"/>
        <v>9</v>
      </c>
    </row>
    <row r="300" spans="1:4" x14ac:dyDescent="0.55000000000000004">
      <c r="A300">
        <v>299</v>
      </c>
      <c r="B300">
        <v>42.376015857500001</v>
      </c>
      <c r="C300">
        <f>IF(B300&lt;$G$2, $F$2, IF(B300&lt;$G$3, $F$3, IF(B300&lt;$G$4, $F$4, IF(B300&lt;$G$5, $F$5, IF(B300&lt;$G$6, $F$6, IF(B300&lt;$G$7, $F$7, IF(B300&lt;$G$8, $F$8, IF(B300&lt;$G$9, $F$9, IF(B300&lt;$G$10, $F$10, $F$11)))))))))</f>
        <v>0.7</v>
      </c>
      <c r="D300">
        <f t="shared" si="4"/>
        <v>7</v>
      </c>
    </row>
    <row r="301" spans="1:4" x14ac:dyDescent="0.55000000000000004">
      <c r="A301">
        <v>300</v>
      </c>
      <c r="B301">
        <v>11.3492629307</v>
      </c>
      <c r="C301">
        <f>IF(B301&lt;$G$2, $F$2, IF(B301&lt;$G$3, $F$3, IF(B301&lt;$G$4, $F$4, IF(B301&lt;$G$5, $F$5, IF(B301&lt;$G$6, $F$6, IF(B301&lt;$G$7, $F$7, IF(B301&lt;$G$8, $F$8, IF(B301&lt;$G$9, $F$9, IF(B301&lt;$G$10, $F$10, $F$11)))))))))</f>
        <v>0.4</v>
      </c>
      <c r="D301">
        <f t="shared" si="4"/>
        <v>4</v>
      </c>
    </row>
    <row r="302" spans="1:4" x14ac:dyDescent="0.55000000000000004">
      <c r="A302">
        <v>301</v>
      </c>
      <c r="B302">
        <v>12.687732519600001</v>
      </c>
      <c r="C302">
        <f>IF(B302&lt;$G$2, $F$2, IF(B302&lt;$G$3, $F$3, IF(B302&lt;$G$4, $F$4, IF(B302&lt;$G$5, $F$5, IF(B302&lt;$G$6, $F$6, IF(B302&lt;$G$7, $F$7, IF(B302&lt;$G$8, $F$8, IF(B302&lt;$G$9, $F$9, IF(B302&lt;$G$10, $F$10, $F$11)))))))))</f>
        <v>0.4</v>
      </c>
      <c r="D302">
        <f t="shared" si="4"/>
        <v>4</v>
      </c>
    </row>
    <row r="303" spans="1:4" x14ac:dyDescent="0.55000000000000004">
      <c r="A303">
        <v>302</v>
      </c>
      <c r="B303">
        <v>1.56861666525</v>
      </c>
      <c r="C303">
        <f>IF(B303&lt;$G$2, $F$2, IF(B303&lt;$G$3, $F$3, IF(B303&lt;$G$4, $F$4, IF(B303&lt;$G$5, $F$5, IF(B303&lt;$G$6, $F$6, IF(B303&lt;$G$7, $F$7, IF(B303&lt;$G$8, $F$8, IF(B303&lt;$G$9, $F$9, IF(B303&lt;$G$10, $F$10, $F$11)))))))))</f>
        <v>0.1</v>
      </c>
      <c r="D303">
        <f t="shared" si="4"/>
        <v>1</v>
      </c>
    </row>
    <row r="304" spans="1:4" x14ac:dyDescent="0.55000000000000004">
      <c r="A304">
        <v>303</v>
      </c>
      <c r="B304">
        <v>4.0582811815499999</v>
      </c>
      <c r="C304">
        <f>IF(B304&lt;$G$2, $F$2, IF(B304&lt;$G$3, $F$3, IF(B304&lt;$G$4, $F$4, IF(B304&lt;$G$5, $F$5, IF(B304&lt;$G$6, $F$6, IF(B304&lt;$G$7, $F$7, IF(B304&lt;$G$8, $F$8, IF(B304&lt;$G$9, $F$9, IF(B304&lt;$G$10, $F$10, $F$11)))))))))</f>
        <v>0.2</v>
      </c>
      <c r="D304">
        <f t="shared" si="4"/>
        <v>2</v>
      </c>
    </row>
    <row r="305" spans="1:4" x14ac:dyDescent="0.55000000000000004">
      <c r="A305">
        <v>304</v>
      </c>
      <c r="B305">
        <v>4.3622188273100004</v>
      </c>
      <c r="C305">
        <f>IF(B305&lt;$G$2, $F$2, IF(B305&lt;$G$3, $F$3, IF(B305&lt;$G$4, $F$4, IF(B305&lt;$G$5, $F$5, IF(B305&lt;$G$6, $F$6, IF(B305&lt;$G$7, $F$7, IF(B305&lt;$G$8, $F$8, IF(B305&lt;$G$9, $F$9, IF(B305&lt;$G$10, $F$10, $F$11)))))))))</f>
        <v>0.2</v>
      </c>
      <c r="D305">
        <f t="shared" si="4"/>
        <v>2</v>
      </c>
    </row>
    <row r="306" spans="1:4" x14ac:dyDescent="0.55000000000000004">
      <c r="A306">
        <v>305</v>
      </c>
      <c r="B306">
        <v>5.0976057125500001</v>
      </c>
      <c r="C306">
        <f>IF(B306&lt;$G$2, $F$2, IF(B306&lt;$G$3, $F$3, IF(B306&lt;$G$4, $F$4, IF(B306&lt;$G$5, $F$5, IF(B306&lt;$G$6, $F$6, IF(B306&lt;$G$7, $F$7, IF(B306&lt;$G$8, $F$8, IF(B306&lt;$G$9, $F$9, IF(B306&lt;$G$10, $F$10, $F$11)))))))))</f>
        <v>0.2</v>
      </c>
      <c r="D306">
        <f t="shared" si="4"/>
        <v>2</v>
      </c>
    </row>
    <row r="307" spans="1:4" x14ac:dyDescent="0.55000000000000004">
      <c r="A307">
        <v>306</v>
      </c>
      <c r="B307">
        <v>12.627508539200001</v>
      </c>
      <c r="C307">
        <f>IF(B307&lt;$G$2, $F$2, IF(B307&lt;$G$3, $F$3, IF(B307&lt;$G$4, $F$4, IF(B307&lt;$G$5, $F$5, IF(B307&lt;$G$6, $F$6, IF(B307&lt;$G$7, $F$7, IF(B307&lt;$G$8, $F$8, IF(B307&lt;$G$9, $F$9, IF(B307&lt;$G$10, $F$10, $F$11)))))))))</f>
        <v>0.4</v>
      </c>
      <c r="D307">
        <f t="shared" si="4"/>
        <v>4</v>
      </c>
    </row>
    <row r="308" spans="1:4" x14ac:dyDescent="0.55000000000000004">
      <c r="A308">
        <v>307</v>
      </c>
      <c r="B308">
        <v>19.7109834388</v>
      </c>
      <c r="C308">
        <f>IF(B308&lt;$G$2, $F$2, IF(B308&lt;$G$3, $F$3, IF(B308&lt;$G$4, $F$4, IF(B308&lt;$G$5, $F$5, IF(B308&lt;$G$6, $F$6, IF(B308&lt;$G$7, $F$7, IF(B308&lt;$G$8, $F$8, IF(B308&lt;$G$9, $F$9, IF(B308&lt;$G$10, $F$10, $F$11)))))))))</f>
        <v>0.5</v>
      </c>
      <c r="D308">
        <f t="shared" si="4"/>
        <v>5</v>
      </c>
    </row>
    <row r="309" spans="1:4" x14ac:dyDescent="0.55000000000000004">
      <c r="A309">
        <v>308</v>
      </c>
      <c r="B309">
        <v>0.129287304691</v>
      </c>
      <c r="C309">
        <f>IF(B309&lt;$G$2, $F$2, IF(B309&lt;$G$3, $F$3, IF(B309&lt;$G$4, $F$4, IF(B309&lt;$G$5, $F$5, IF(B309&lt;$G$6, $F$6, IF(B309&lt;$G$7, $F$7, IF(B309&lt;$G$8, $F$8, IF(B309&lt;$G$9, $F$9, IF(B309&lt;$G$10, $F$10, $F$11)))))))))</f>
        <v>0.1</v>
      </c>
      <c r="D309">
        <f t="shared" si="4"/>
        <v>1</v>
      </c>
    </row>
    <row r="310" spans="1:4" x14ac:dyDescent="0.55000000000000004">
      <c r="A310">
        <v>309</v>
      </c>
      <c r="B310">
        <v>30.298313774899999</v>
      </c>
      <c r="C310">
        <f>IF(B310&lt;$G$2, $F$2, IF(B310&lt;$G$3, $F$3, IF(B310&lt;$G$4, $F$4, IF(B310&lt;$G$5, $F$5, IF(B310&lt;$G$6, $F$6, IF(B310&lt;$G$7, $F$7, IF(B310&lt;$G$8, $F$8, IF(B310&lt;$G$9, $F$9, IF(B310&lt;$G$10, $F$10, $F$11)))))))))</f>
        <v>0.6</v>
      </c>
      <c r="D310">
        <f t="shared" si="4"/>
        <v>6</v>
      </c>
    </row>
    <row r="311" spans="1:4" x14ac:dyDescent="0.55000000000000004">
      <c r="A311">
        <v>310</v>
      </c>
      <c r="B311">
        <v>1.5897663442800001</v>
      </c>
      <c r="C311">
        <f>IF(B311&lt;$G$2, $F$2, IF(B311&lt;$G$3, $F$3, IF(B311&lt;$G$4, $F$4, IF(B311&lt;$G$5, $F$5, IF(B311&lt;$G$6, $F$6, IF(B311&lt;$G$7, $F$7, IF(B311&lt;$G$8, $F$8, IF(B311&lt;$G$9, $F$9, IF(B311&lt;$G$10, $F$10, $F$11)))))))))</f>
        <v>0.1</v>
      </c>
      <c r="D311">
        <f t="shared" si="4"/>
        <v>1</v>
      </c>
    </row>
    <row r="312" spans="1:4" x14ac:dyDescent="0.55000000000000004">
      <c r="A312">
        <v>311</v>
      </c>
      <c r="B312">
        <v>2.47658976087</v>
      </c>
      <c r="C312">
        <f>IF(B312&lt;$G$2, $F$2, IF(B312&lt;$G$3, $F$3, IF(B312&lt;$G$4, $F$4, IF(B312&lt;$G$5, $F$5, IF(B312&lt;$G$6, $F$6, IF(B312&lt;$G$7, $F$7, IF(B312&lt;$G$8, $F$8, IF(B312&lt;$G$9, $F$9, IF(B312&lt;$G$10, $F$10, $F$11)))))))))</f>
        <v>0.1</v>
      </c>
      <c r="D312">
        <f t="shared" si="4"/>
        <v>1</v>
      </c>
    </row>
    <row r="313" spans="1:4" x14ac:dyDescent="0.55000000000000004">
      <c r="A313">
        <v>312</v>
      </c>
      <c r="B313">
        <v>99.4755986057</v>
      </c>
      <c r="C313">
        <f>IF(B313&lt;$G$2, $F$2, IF(B313&lt;$G$3, $F$3, IF(B313&lt;$G$4, $F$4, IF(B313&lt;$G$5, $F$5, IF(B313&lt;$G$6, $F$6, IF(B313&lt;$G$7, $F$7, IF(B313&lt;$G$8, $F$8, IF(B313&lt;$G$9, $F$9, IF(B313&lt;$G$10, $F$10, $F$11)))))))))</f>
        <v>0.8</v>
      </c>
      <c r="D313">
        <f t="shared" si="4"/>
        <v>8</v>
      </c>
    </row>
    <row r="314" spans="1:4" x14ac:dyDescent="0.55000000000000004">
      <c r="A314">
        <v>313</v>
      </c>
      <c r="B314">
        <v>128.06649135399999</v>
      </c>
      <c r="C314">
        <f>IF(B314&lt;$G$2, $F$2, IF(B314&lt;$G$3, $F$3, IF(B314&lt;$G$4, $F$4, IF(B314&lt;$G$5, $F$5, IF(B314&lt;$G$6, $F$6, IF(B314&lt;$G$7, $F$7, IF(B314&lt;$G$8, $F$8, IF(B314&lt;$G$9, $F$9, IF(B314&lt;$G$10, $F$10, $F$11)))))))))</f>
        <v>0.9</v>
      </c>
      <c r="D314">
        <f t="shared" si="4"/>
        <v>9</v>
      </c>
    </row>
    <row r="315" spans="1:4" x14ac:dyDescent="0.55000000000000004">
      <c r="A315">
        <v>314</v>
      </c>
      <c r="B315">
        <v>0.76322471250000001</v>
      </c>
      <c r="C315">
        <f>IF(B315&lt;$G$2, $F$2, IF(B315&lt;$G$3, $F$3, IF(B315&lt;$G$4, $F$4, IF(B315&lt;$G$5, $F$5, IF(B315&lt;$G$6, $F$6, IF(B315&lt;$G$7, $F$7, IF(B315&lt;$G$8, $F$8, IF(B315&lt;$G$9, $F$9, IF(B315&lt;$G$10, $F$10, $F$11)))))))))</f>
        <v>0.1</v>
      </c>
      <c r="D315">
        <f t="shared" si="4"/>
        <v>1</v>
      </c>
    </row>
    <row r="316" spans="1:4" x14ac:dyDescent="0.55000000000000004">
      <c r="A316">
        <v>315</v>
      </c>
      <c r="B316">
        <v>2.9766972921699999</v>
      </c>
      <c r="C316">
        <f>IF(B316&lt;$G$2, $F$2, IF(B316&lt;$G$3, $F$3, IF(B316&lt;$G$4, $F$4, IF(B316&lt;$G$5, $F$5, IF(B316&lt;$G$6, $F$6, IF(B316&lt;$G$7, $F$7, IF(B316&lt;$G$8, $F$8, IF(B316&lt;$G$9, $F$9, IF(B316&lt;$G$10, $F$10, $F$11)))))))))</f>
        <v>0.2</v>
      </c>
      <c r="D316">
        <f t="shared" si="4"/>
        <v>2</v>
      </c>
    </row>
    <row r="317" spans="1:4" x14ac:dyDescent="0.55000000000000004">
      <c r="A317">
        <v>316</v>
      </c>
      <c r="B317">
        <v>5.4332123244300004</v>
      </c>
      <c r="C317">
        <f>IF(B317&lt;$G$2, $F$2, IF(B317&lt;$G$3, $F$3, IF(B317&lt;$G$4, $F$4, IF(B317&lt;$G$5, $F$5, IF(B317&lt;$G$6, $F$6, IF(B317&lt;$G$7, $F$7, IF(B317&lt;$G$8, $F$8, IF(B317&lt;$G$9, $F$9, IF(B317&lt;$G$10, $F$10, $F$11)))))))))</f>
        <v>0.3</v>
      </c>
      <c r="D317">
        <f t="shared" si="4"/>
        <v>3</v>
      </c>
    </row>
    <row r="318" spans="1:4" x14ac:dyDescent="0.55000000000000004">
      <c r="A318">
        <v>317</v>
      </c>
      <c r="B318">
        <v>81.149638315299995</v>
      </c>
      <c r="C318">
        <f>IF(B318&lt;$G$2, $F$2, IF(B318&lt;$G$3, $F$3, IF(B318&lt;$G$4, $F$4, IF(B318&lt;$G$5, $F$5, IF(B318&lt;$G$6, $F$6, IF(B318&lt;$G$7, $F$7, IF(B318&lt;$G$8, $F$8, IF(B318&lt;$G$9, $F$9, IF(B318&lt;$G$10, $F$10, $F$11)))))))))</f>
        <v>0.8</v>
      </c>
      <c r="D318">
        <f t="shared" si="4"/>
        <v>8</v>
      </c>
    </row>
    <row r="319" spans="1:4" x14ac:dyDescent="0.55000000000000004">
      <c r="A319">
        <v>318</v>
      </c>
      <c r="B319">
        <v>0.50860809196000001</v>
      </c>
      <c r="C319">
        <f>IF(B319&lt;$G$2, $F$2, IF(B319&lt;$G$3, $F$3, IF(B319&lt;$G$4, $F$4, IF(B319&lt;$G$5, $F$5, IF(B319&lt;$G$6, $F$6, IF(B319&lt;$G$7, $F$7, IF(B319&lt;$G$8, $F$8, IF(B319&lt;$G$9, $F$9, IF(B319&lt;$G$10, $F$10, $F$11)))))))))</f>
        <v>0.1</v>
      </c>
      <c r="D319">
        <f t="shared" si="4"/>
        <v>1</v>
      </c>
    </row>
    <row r="320" spans="1:4" x14ac:dyDescent="0.55000000000000004">
      <c r="A320">
        <v>319</v>
      </c>
      <c r="B320">
        <v>5.76372445275</v>
      </c>
      <c r="C320">
        <f>IF(B320&lt;$G$2, $F$2, IF(B320&lt;$G$3, $F$3, IF(B320&lt;$G$4, $F$4, IF(B320&lt;$G$5, $F$5, IF(B320&lt;$G$6, $F$6, IF(B320&lt;$G$7, $F$7, IF(B320&lt;$G$8, $F$8, IF(B320&lt;$G$9, $F$9, IF(B320&lt;$G$10, $F$10, $F$11)))))))))</f>
        <v>0.3</v>
      </c>
      <c r="D320">
        <f t="shared" si="4"/>
        <v>3</v>
      </c>
    </row>
    <row r="321" spans="1:4" x14ac:dyDescent="0.55000000000000004">
      <c r="A321">
        <v>320</v>
      </c>
      <c r="B321">
        <v>5.6502558185299998</v>
      </c>
      <c r="C321">
        <f>IF(B321&lt;$G$2, $F$2, IF(B321&lt;$G$3, $F$3, IF(B321&lt;$G$4, $F$4, IF(B321&lt;$G$5, $F$5, IF(B321&lt;$G$6, $F$6, IF(B321&lt;$G$7, $F$7, IF(B321&lt;$G$8, $F$8, IF(B321&lt;$G$9, $F$9, IF(B321&lt;$G$10, $F$10, $F$11)))))))))</f>
        <v>0.3</v>
      </c>
      <c r="D321">
        <f t="shared" si="4"/>
        <v>3</v>
      </c>
    </row>
    <row r="322" spans="1:4" x14ac:dyDescent="0.55000000000000004">
      <c r="A322">
        <v>321</v>
      </c>
      <c r="B322">
        <v>1.2418443001499999</v>
      </c>
      <c r="C322">
        <f>IF(B322&lt;$G$2, $F$2, IF(B322&lt;$G$3, $F$3, IF(B322&lt;$G$4, $F$4, IF(B322&lt;$G$5, $F$5, IF(B322&lt;$G$6, $F$6, IF(B322&lt;$G$7, $F$7, IF(B322&lt;$G$8, $F$8, IF(B322&lt;$G$9, $F$9, IF(B322&lt;$G$10, $F$10, $F$11)))))))))</f>
        <v>0.1</v>
      </c>
      <c r="D322">
        <f t="shared" si="4"/>
        <v>1</v>
      </c>
    </row>
    <row r="323" spans="1:4" x14ac:dyDescent="0.55000000000000004">
      <c r="A323">
        <v>322</v>
      </c>
      <c r="B323">
        <v>129.11536844</v>
      </c>
      <c r="C323">
        <f>IF(B323&lt;$G$2, $F$2, IF(B323&lt;$G$3, $F$3, IF(B323&lt;$G$4, $F$4, IF(B323&lt;$G$5, $F$5, IF(B323&lt;$G$6, $F$6, IF(B323&lt;$G$7, $F$7, IF(B323&lt;$G$8, $F$8, IF(B323&lt;$G$9, $F$9, IF(B323&lt;$G$10, $F$10, $F$11)))))))))</f>
        <v>0.9</v>
      </c>
      <c r="D323">
        <f t="shared" ref="D323:D386" si="5">C323*10</f>
        <v>9</v>
      </c>
    </row>
    <row r="324" spans="1:4" x14ac:dyDescent="0.55000000000000004">
      <c r="A324">
        <v>323</v>
      </c>
      <c r="B324">
        <v>135.59495625100001</v>
      </c>
      <c r="C324">
        <f>IF(B324&lt;$G$2, $F$2, IF(B324&lt;$G$3, $F$3, IF(B324&lt;$G$4, $F$4, IF(B324&lt;$G$5, $F$5, IF(B324&lt;$G$6, $F$6, IF(B324&lt;$G$7, $F$7, IF(B324&lt;$G$8, $F$8, IF(B324&lt;$G$9, $F$9, IF(B324&lt;$G$10, $F$10, $F$11)))))))))</f>
        <v>0.9</v>
      </c>
      <c r="D324">
        <f t="shared" si="5"/>
        <v>9</v>
      </c>
    </row>
    <row r="325" spans="1:4" x14ac:dyDescent="0.55000000000000004">
      <c r="A325">
        <v>324</v>
      </c>
      <c r="B325">
        <v>116.83040845799999</v>
      </c>
      <c r="C325">
        <f>IF(B325&lt;$G$2, $F$2, IF(B325&lt;$G$3, $F$3, IF(B325&lt;$G$4, $F$4, IF(B325&lt;$G$5, $F$5, IF(B325&lt;$G$6, $F$6, IF(B325&lt;$G$7, $F$7, IF(B325&lt;$G$8, $F$8, IF(B325&lt;$G$9, $F$9, IF(B325&lt;$G$10, $F$10, $F$11)))))))))</f>
        <v>0.9</v>
      </c>
      <c r="D325">
        <f t="shared" si="5"/>
        <v>9</v>
      </c>
    </row>
    <row r="326" spans="1:4" x14ac:dyDescent="0.55000000000000004">
      <c r="A326">
        <v>325</v>
      </c>
      <c r="B326">
        <v>0.73395278261800001</v>
      </c>
      <c r="C326">
        <f>IF(B326&lt;$G$2, $F$2, IF(B326&lt;$G$3, $F$3, IF(B326&lt;$G$4, $F$4, IF(B326&lt;$G$5, $F$5, IF(B326&lt;$G$6, $F$6, IF(B326&lt;$G$7, $F$7, IF(B326&lt;$G$8, $F$8, IF(B326&lt;$G$9, $F$9, IF(B326&lt;$G$10, $F$10, $F$11)))))))))</f>
        <v>0.1</v>
      </c>
      <c r="D326">
        <f t="shared" si="5"/>
        <v>1</v>
      </c>
    </row>
    <row r="327" spans="1:4" x14ac:dyDescent="0.55000000000000004">
      <c r="A327">
        <v>326</v>
      </c>
      <c r="B327">
        <v>16.5385236037</v>
      </c>
      <c r="C327">
        <f>IF(B327&lt;$G$2, $F$2, IF(B327&lt;$G$3, $F$3, IF(B327&lt;$G$4, $F$4, IF(B327&lt;$G$5, $F$5, IF(B327&lt;$G$6, $F$6, IF(B327&lt;$G$7, $F$7, IF(B327&lt;$G$8, $F$8, IF(B327&lt;$G$9, $F$9, IF(B327&lt;$G$10, $F$10, $F$11)))))))))</f>
        <v>0.4</v>
      </c>
      <c r="D327">
        <f t="shared" si="5"/>
        <v>4</v>
      </c>
    </row>
    <row r="328" spans="1:4" x14ac:dyDescent="0.55000000000000004">
      <c r="A328">
        <v>327</v>
      </c>
      <c r="B328">
        <v>8.4003381305900007</v>
      </c>
      <c r="C328">
        <f>IF(B328&lt;$G$2, $F$2, IF(B328&lt;$G$3, $F$3, IF(B328&lt;$G$4, $F$4, IF(B328&lt;$G$5, $F$5, IF(B328&lt;$G$6, $F$6, IF(B328&lt;$G$7, $F$7, IF(B328&lt;$G$8, $F$8, IF(B328&lt;$G$9, $F$9, IF(B328&lt;$G$10, $F$10, $F$11)))))))))</f>
        <v>0.3</v>
      </c>
      <c r="D328">
        <f t="shared" si="5"/>
        <v>3</v>
      </c>
    </row>
    <row r="329" spans="1:4" x14ac:dyDescent="0.55000000000000004">
      <c r="A329">
        <v>328</v>
      </c>
      <c r="B329">
        <v>312.96256731699998</v>
      </c>
      <c r="C329">
        <f>IF(B329&lt;$G$2, $F$2, IF(B329&lt;$G$3, $F$3, IF(B329&lt;$G$4, $F$4, IF(B329&lt;$G$5, $F$5, IF(B329&lt;$G$6, $F$6, IF(B329&lt;$G$7, $F$7, IF(B329&lt;$G$8, $F$8, IF(B329&lt;$G$9, $F$9, IF(B329&lt;$G$10, $F$10, $F$11)))))))))</f>
        <v>0.9</v>
      </c>
      <c r="D329">
        <f t="shared" si="5"/>
        <v>9</v>
      </c>
    </row>
    <row r="330" spans="1:4" x14ac:dyDescent="0.55000000000000004">
      <c r="A330">
        <v>329</v>
      </c>
      <c r="B330">
        <v>0.521333275283</v>
      </c>
      <c r="C330">
        <f>IF(B330&lt;$G$2, $F$2, IF(B330&lt;$G$3, $F$3, IF(B330&lt;$G$4, $F$4, IF(B330&lt;$G$5, $F$5, IF(B330&lt;$G$6, $F$6, IF(B330&lt;$G$7, $F$7, IF(B330&lt;$G$8, $F$8, IF(B330&lt;$G$9, $F$9, IF(B330&lt;$G$10, $F$10, $F$11)))))))))</f>
        <v>0.1</v>
      </c>
      <c r="D330">
        <f t="shared" si="5"/>
        <v>1</v>
      </c>
    </row>
    <row r="331" spans="1:4" x14ac:dyDescent="0.55000000000000004">
      <c r="A331">
        <v>330</v>
      </c>
      <c r="B331">
        <v>4.3474815074700004</v>
      </c>
      <c r="C331">
        <f>IF(B331&lt;$G$2, $F$2, IF(B331&lt;$G$3, $F$3, IF(B331&lt;$G$4, $F$4, IF(B331&lt;$G$5, $F$5, IF(B331&lt;$G$6, $F$6, IF(B331&lt;$G$7, $F$7, IF(B331&lt;$G$8, $F$8, IF(B331&lt;$G$9, $F$9, IF(B331&lt;$G$10, $F$10, $F$11)))))))))</f>
        <v>0.2</v>
      </c>
      <c r="D331">
        <f t="shared" si="5"/>
        <v>2</v>
      </c>
    </row>
    <row r="332" spans="1:4" x14ac:dyDescent="0.55000000000000004">
      <c r="A332">
        <v>331</v>
      </c>
      <c r="B332">
        <v>0.605512695313</v>
      </c>
      <c r="C332">
        <f>IF(B332&lt;$G$2, $F$2, IF(B332&lt;$G$3, $F$3, IF(B332&lt;$G$4, $F$4, IF(B332&lt;$G$5, $F$5, IF(B332&lt;$G$6, $F$6, IF(B332&lt;$G$7, $F$7, IF(B332&lt;$G$8, $F$8, IF(B332&lt;$G$9, $F$9, IF(B332&lt;$G$10, $F$10, $F$11)))))))))</f>
        <v>0.1</v>
      </c>
      <c r="D332">
        <f t="shared" si="5"/>
        <v>1</v>
      </c>
    </row>
    <row r="333" spans="1:4" x14ac:dyDescent="0.55000000000000004">
      <c r="A333">
        <v>332</v>
      </c>
      <c r="B333">
        <v>5.3060215857799999</v>
      </c>
      <c r="C333">
        <f>IF(B333&lt;$G$2, $F$2, IF(B333&lt;$G$3, $F$3, IF(B333&lt;$G$4, $F$4, IF(B333&lt;$G$5, $F$5, IF(B333&lt;$G$6, $F$6, IF(B333&lt;$G$7, $F$7, IF(B333&lt;$G$8, $F$8, IF(B333&lt;$G$9, $F$9, IF(B333&lt;$G$10, $F$10, $F$11)))))))))</f>
        <v>0.2</v>
      </c>
      <c r="D333">
        <f t="shared" si="5"/>
        <v>2</v>
      </c>
    </row>
    <row r="334" spans="1:4" x14ac:dyDescent="0.55000000000000004">
      <c r="A334">
        <v>333</v>
      </c>
      <c r="B334">
        <v>18.498288731900001</v>
      </c>
      <c r="C334">
        <f>IF(B334&lt;$G$2, $F$2, IF(B334&lt;$G$3, $F$3, IF(B334&lt;$G$4, $F$4, IF(B334&lt;$G$5, $F$5, IF(B334&lt;$G$6, $F$6, IF(B334&lt;$G$7, $F$7, IF(B334&lt;$G$8, $F$8, IF(B334&lt;$G$9, $F$9, IF(B334&lt;$G$10, $F$10, $F$11)))))))))</f>
        <v>0.5</v>
      </c>
      <c r="D334">
        <f t="shared" si="5"/>
        <v>5</v>
      </c>
    </row>
    <row r="335" spans="1:4" x14ac:dyDescent="0.55000000000000004">
      <c r="A335">
        <v>334</v>
      </c>
      <c r="B335">
        <v>4.5572253427599998</v>
      </c>
      <c r="C335">
        <f>IF(B335&lt;$G$2, $F$2, IF(B335&lt;$G$3, $F$3, IF(B335&lt;$G$4, $F$4, IF(B335&lt;$G$5, $F$5, IF(B335&lt;$G$6, $F$6, IF(B335&lt;$G$7, $F$7, IF(B335&lt;$G$8, $F$8, IF(B335&lt;$G$9, $F$9, IF(B335&lt;$G$10, $F$10, $F$11)))))))))</f>
        <v>0.2</v>
      </c>
      <c r="D335">
        <f t="shared" si="5"/>
        <v>2</v>
      </c>
    </row>
    <row r="336" spans="1:4" x14ac:dyDescent="0.55000000000000004">
      <c r="A336">
        <v>335</v>
      </c>
      <c r="B336">
        <v>0.51436490777199995</v>
      </c>
      <c r="C336">
        <f>IF(B336&lt;$G$2, $F$2, IF(B336&lt;$G$3, $F$3, IF(B336&lt;$G$4, $F$4, IF(B336&lt;$G$5, $F$5, IF(B336&lt;$G$6, $F$6, IF(B336&lt;$G$7, $F$7, IF(B336&lt;$G$8, $F$8, IF(B336&lt;$G$9, $F$9, IF(B336&lt;$G$10, $F$10, $F$11)))))))))</f>
        <v>0.1</v>
      </c>
      <c r="D336">
        <f t="shared" si="5"/>
        <v>1</v>
      </c>
    </row>
    <row r="337" spans="1:4" x14ac:dyDescent="0.55000000000000004">
      <c r="A337">
        <v>336</v>
      </c>
      <c r="B337">
        <v>208.03167984699999</v>
      </c>
      <c r="C337">
        <f>IF(B337&lt;$G$2, $F$2, IF(B337&lt;$G$3, $F$3, IF(B337&lt;$G$4, $F$4, IF(B337&lt;$G$5, $F$5, IF(B337&lt;$G$6, $F$6, IF(B337&lt;$G$7, $F$7, IF(B337&lt;$G$8, $F$8, IF(B337&lt;$G$9, $F$9, IF(B337&lt;$G$10, $F$10, $F$11)))))))))</f>
        <v>0.9</v>
      </c>
      <c r="D337">
        <f t="shared" si="5"/>
        <v>9</v>
      </c>
    </row>
    <row r="338" spans="1:4" x14ac:dyDescent="0.55000000000000004">
      <c r="A338">
        <v>337</v>
      </c>
      <c r="B338">
        <v>13.839375216100001</v>
      </c>
      <c r="C338">
        <f>IF(B338&lt;$G$2, $F$2, IF(B338&lt;$G$3, $F$3, IF(B338&lt;$G$4, $F$4, IF(B338&lt;$G$5, $F$5, IF(B338&lt;$G$6, $F$6, IF(B338&lt;$G$7, $F$7, IF(B338&lt;$G$8, $F$8, IF(B338&lt;$G$9, $F$9, IF(B338&lt;$G$10, $F$10, $F$11)))))))))</f>
        <v>0.4</v>
      </c>
      <c r="D338">
        <f t="shared" si="5"/>
        <v>4</v>
      </c>
    </row>
    <row r="339" spans="1:4" x14ac:dyDescent="0.55000000000000004">
      <c r="A339">
        <v>338</v>
      </c>
      <c r="B339">
        <v>10.0503561034</v>
      </c>
      <c r="C339">
        <f>IF(B339&lt;$G$2, $F$2, IF(B339&lt;$G$3, $F$3, IF(B339&lt;$G$4, $F$4, IF(B339&lt;$G$5, $F$5, IF(B339&lt;$G$6, $F$6, IF(B339&lt;$G$7, $F$7, IF(B339&lt;$G$8, $F$8, IF(B339&lt;$G$9, $F$9, IF(B339&lt;$G$10, $F$10, $F$11)))))))))</f>
        <v>0.3</v>
      </c>
      <c r="D339">
        <f t="shared" si="5"/>
        <v>3</v>
      </c>
    </row>
    <row r="340" spans="1:4" x14ac:dyDescent="0.55000000000000004">
      <c r="A340">
        <v>339</v>
      </c>
      <c r="B340">
        <v>7.3266975327499999</v>
      </c>
      <c r="C340">
        <f>IF(B340&lt;$G$2, $F$2, IF(B340&lt;$G$3, $F$3, IF(B340&lt;$G$4, $F$4, IF(B340&lt;$G$5, $F$5, IF(B340&lt;$G$6, $F$6, IF(B340&lt;$G$7, $F$7, IF(B340&lt;$G$8, $F$8, IF(B340&lt;$G$9, $F$9, IF(B340&lt;$G$10, $F$10, $F$11)))))))))</f>
        <v>0.3</v>
      </c>
      <c r="D340">
        <f t="shared" si="5"/>
        <v>3</v>
      </c>
    </row>
    <row r="341" spans="1:4" x14ac:dyDescent="0.55000000000000004">
      <c r="A341">
        <v>340</v>
      </c>
      <c r="B341">
        <v>22.184422207499999</v>
      </c>
      <c r="C341">
        <f>IF(B341&lt;$G$2, $F$2, IF(B341&lt;$G$3, $F$3, IF(B341&lt;$G$4, $F$4, IF(B341&lt;$G$5, $F$5, IF(B341&lt;$G$6, $F$6, IF(B341&lt;$G$7, $F$7, IF(B341&lt;$G$8, $F$8, IF(B341&lt;$G$9, $F$9, IF(B341&lt;$G$10, $F$10, $F$11)))))))))</f>
        <v>0.5</v>
      </c>
      <c r="D341">
        <f t="shared" si="5"/>
        <v>5</v>
      </c>
    </row>
    <row r="342" spans="1:4" x14ac:dyDescent="0.55000000000000004">
      <c r="A342">
        <v>341</v>
      </c>
      <c r="B342">
        <v>74.091119479699998</v>
      </c>
      <c r="C342">
        <f>IF(B342&lt;$G$2, $F$2, IF(B342&lt;$G$3, $F$3, IF(B342&lt;$G$4, $F$4, IF(B342&lt;$G$5, $F$5, IF(B342&lt;$G$6, $F$6, IF(B342&lt;$G$7, $F$7, IF(B342&lt;$G$8, $F$8, IF(B342&lt;$G$9, $F$9, IF(B342&lt;$G$10, $F$10, $F$11)))))))))</f>
        <v>0.8</v>
      </c>
      <c r="D342">
        <f t="shared" si="5"/>
        <v>8</v>
      </c>
    </row>
    <row r="343" spans="1:4" x14ac:dyDescent="0.55000000000000004">
      <c r="A343">
        <v>342</v>
      </c>
      <c r="B343">
        <v>4.4177926418300002</v>
      </c>
      <c r="C343">
        <f>IF(B343&lt;$G$2, $F$2, IF(B343&lt;$G$3, $F$3, IF(B343&lt;$G$4, $F$4, IF(B343&lt;$G$5, $F$5, IF(B343&lt;$G$6, $F$6, IF(B343&lt;$G$7, $F$7, IF(B343&lt;$G$8, $F$8, IF(B343&lt;$G$9, $F$9, IF(B343&lt;$G$10, $F$10, $F$11)))))))))</f>
        <v>0.2</v>
      </c>
      <c r="D343">
        <f t="shared" si="5"/>
        <v>2</v>
      </c>
    </row>
    <row r="344" spans="1:4" x14ac:dyDescent="0.55000000000000004">
      <c r="A344">
        <v>343</v>
      </c>
      <c r="B344">
        <v>9.5539078394000008</v>
      </c>
      <c r="C344">
        <f>IF(B344&lt;$G$2, $F$2, IF(B344&lt;$G$3, $F$3, IF(B344&lt;$G$4, $F$4, IF(B344&lt;$G$5, $F$5, IF(B344&lt;$G$6, $F$6, IF(B344&lt;$G$7, $F$7, IF(B344&lt;$G$8, $F$8, IF(B344&lt;$G$9, $F$9, IF(B344&lt;$G$10, $F$10, $F$11)))))))))</f>
        <v>0.3</v>
      </c>
      <c r="D344">
        <f t="shared" si="5"/>
        <v>3</v>
      </c>
    </row>
    <row r="345" spans="1:4" x14ac:dyDescent="0.55000000000000004">
      <c r="A345">
        <v>344</v>
      </c>
      <c r="B345">
        <v>0.998688124781</v>
      </c>
      <c r="C345">
        <f>IF(B345&lt;$G$2, $F$2, IF(B345&lt;$G$3, $F$3, IF(B345&lt;$G$4, $F$4, IF(B345&lt;$G$5, $F$5, IF(B345&lt;$G$6, $F$6, IF(B345&lt;$G$7, $F$7, IF(B345&lt;$G$8, $F$8, IF(B345&lt;$G$9, $F$9, IF(B345&lt;$G$10, $F$10, $F$11)))))))))</f>
        <v>0.1</v>
      </c>
      <c r="D345">
        <f t="shared" si="5"/>
        <v>1</v>
      </c>
    </row>
    <row r="346" spans="1:4" x14ac:dyDescent="0.55000000000000004">
      <c r="A346">
        <v>345</v>
      </c>
      <c r="B346">
        <v>1.62837007612</v>
      </c>
      <c r="C346">
        <f>IF(B346&lt;$G$2, $F$2, IF(B346&lt;$G$3, $F$3, IF(B346&lt;$G$4, $F$4, IF(B346&lt;$G$5, $F$5, IF(B346&lt;$G$6, $F$6, IF(B346&lt;$G$7, $F$7, IF(B346&lt;$G$8, $F$8, IF(B346&lt;$G$9, $F$9, IF(B346&lt;$G$10, $F$10, $F$11)))))))))</f>
        <v>0.1</v>
      </c>
      <c r="D346">
        <f t="shared" si="5"/>
        <v>1</v>
      </c>
    </row>
    <row r="347" spans="1:4" x14ac:dyDescent="0.55000000000000004">
      <c r="A347">
        <v>346</v>
      </c>
      <c r="B347">
        <v>86.918422793299996</v>
      </c>
      <c r="C347">
        <f>IF(B347&lt;$G$2, $F$2, IF(B347&lt;$G$3, $F$3, IF(B347&lt;$G$4, $F$4, IF(B347&lt;$G$5, $F$5, IF(B347&lt;$G$6, $F$6, IF(B347&lt;$G$7, $F$7, IF(B347&lt;$G$8, $F$8, IF(B347&lt;$G$9, $F$9, IF(B347&lt;$G$10, $F$10, $F$11)))))))))</f>
        <v>0.8</v>
      </c>
      <c r="D347">
        <f t="shared" si="5"/>
        <v>8</v>
      </c>
    </row>
    <row r="348" spans="1:4" x14ac:dyDescent="0.55000000000000004">
      <c r="A348">
        <v>347</v>
      </c>
      <c r="B348">
        <v>2.5797453514100002</v>
      </c>
      <c r="C348">
        <f>IF(B348&lt;$G$2, $F$2, IF(B348&lt;$G$3, $F$3, IF(B348&lt;$G$4, $F$4, IF(B348&lt;$G$5, $F$5, IF(B348&lt;$G$6, $F$6, IF(B348&lt;$G$7, $F$7, IF(B348&lt;$G$8, $F$8, IF(B348&lt;$G$9, $F$9, IF(B348&lt;$G$10, $F$10, $F$11)))))))))</f>
        <v>0.2</v>
      </c>
      <c r="D348">
        <f t="shared" si="5"/>
        <v>2</v>
      </c>
    </row>
    <row r="349" spans="1:4" x14ac:dyDescent="0.55000000000000004">
      <c r="A349">
        <v>348</v>
      </c>
      <c r="B349">
        <v>55.851722089900001</v>
      </c>
      <c r="C349">
        <f>IF(B349&lt;$G$2, $F$2, IF(B349&lt;$G$3, $F$3, IF(B349&lt;$G$4, $F$4, IF(B349&lt;$G$5, $F$5, IF(B349&lt;$G$6, $F$6, IF(B349&lt;$G$7, $F$7, IF(B349&lt;$G$8, $F$8, IF(B349&lt;$G$9, $F$9, IF(B349&lt;$G$10, $F$10, $F$11)))))))))</f>
        <v>0.7</v>
      </c>
      <c r="D349">
        <f t="shared" si="5"/>
        <v>7</v>
      </c>
    </row>
    <row r="350" spans="1:4" x14ac:dyDescent="0.55000000000000004">
      <c r="A350">
        <v>349</v>
      </c>
      <c r="B350">
        <v>3.9486813924100002</v>
      </c>
      <c r="C350">
        <f>IF(B350&lt;$G$2, $F$2, IF(B350&lt;$G$3, $F$3, IF(B350&lt;$G$4, $F$4, IF(B350&lt;$G$5, $F$5, IF(B350&lt;$G$6, $F$6, IF(B350&lt;$G$7, $F$7, IF(B350&lt;$G$8, $F$8, IF(B350&lt;$G$9, $F$9, IF(B350&lt;$G$10, $F$10, $F$11)))))))))</f>
        <v>0.2</v>
      </c>
      <c r="D350">
        <f t="shared" si="5"/>
        <v>2</v>
      </c>
    </row>
    <row r="351" spans="1:4" x14ac:dyDescent="0.55000000000000004">
      <c r="A351">
        <v>350</v>
      </c>
      <c r="B351">
        <v>35.366716129899999</v>
      </c>
      <c r="C351">
        <f>IF(B351&lt;$G$2, $F$2, IF(B351&lt;$G$3, $F$3, IF(B351&lt;$G$4, $F$4, IF(B351&lt;$G$5, $F$5, IF(B351&lt;$G$6, $F$6, IF(B351&lt;$G$7, $F$7, IF(B351&lt;$G$8, $F$8, IF(B351&lt;$G$9, $F$9, IF(B351&lt;$G$10, $F$10, $F$11)))))))))</f>
        <v>0.6</v>
      </c>
      <c r="D351">
        <f t="shared" si="5"/>
        <v>6</v>
      </c>
    </row>
    <row r="352" spans="1:4" x14ac:dyDescent="0.55000000000000004">
      <c r="A352">
        <v>351</v>
      </c>
      <c r="B352">
        <v>57.564944486199998</v>
      </c>
      <c r="C352">
        <f>IF(B352&lt;$G$2, $F$2, IF(B352&lt;$G$3, $F$3, IF(B352&lt;$G$4, $F$4, IF(B352&lt;$G$5, $F$5, IF(B352&lt;$G$6, $F$6, IF(B352&lt;$G$7, $F$7, IF(B352&lt;$G$8, $F$8, IF(B352&lt;$G$9, $F$9, IF(B352&lt;$G$10, $F$10, $F$11)))))))))</f>
        <v>0.7</v>
      </c>
      <c r="D352">
        <f t="shared" si="5"/>
        <v>7</v>
      </c>
    </row>
    <row r="353" spans="1:4" x14ac:dyDescent="0.55000000000000004">
      <c r="A353">
        <v>352</v>
      </c>
      <c r="B353">
        <v>0.58802183635799998</v>
      </c>
      <c r="C353">
        <f>IF(B353&lt;$G$2, $F$2, IF(B353&lt;$G$3, $F$3, IF(B353&lt;$G$4, $F$4, IF(B353&lt;$G$5, $F$5, IF(B353&lt;$G$6, $F$6, IF(B353&lt;$G$7, $F$7, IF(B353&lt;$G$8, $F$8, IF(B353&lt;$G$9, $F$9, IF(B353&lt;$G$10, $F$10, $F$11)))))))))</f>
        <v>0.1</v>
      </c>
      <c r="D353">
        <f t="shared" si="5"/>
        <v>1</v>
      </c>
    </row>
    <row r="354" spans="1:4" x14ac:dyDescent="0.55000000000000004">
      <c r="A354">
        <v>353</v>
      </c>
      <c r="B354">
        <v>3.91892980615</v>
      </c>
      <c r="C354">
        <f>IF(B354&lt;$G$2, $F$2, IF(B354&lt;$G$3, $F$3, IF(B354&lt;$G$4, $F$4, IF(B354&lt;$G$5, $F$5, IF(B354&lt;$G$6, $F$6, IF(B354&lt;$G$7, $F$7, IF(B354&lt;$G$8, $F$8, IF(B354&lt;$G$9, $F$9, IF(B354&lt;$G$10, $F$10, $F$11)))))))))</f>
        <v>0.2</v>
      </c>
      <c r="D354">
        <f t="shared" si="5"/>
        <v>2</v>
      </c>
    </row>
    <row r="355" spans="1:4" x14ac:dyDescent="0.55000000000000004">
      <c r="A355">
        <v>354</v>
      </c>
      <c r="B355">
        <v>11.762202346800001</v>
      </c>
      <c r="C355">
        <f>IF(B355&lt;$G$2, $F$2, IF(B355&lt;$G$3, $F$3, IF(B355&lt;$G$4, $F$4, IF(B355&lt;$G$5, $F$5, IF(B355&lt;$G$6, $F$6, IF(B355&lt;$G$7, $F$7, IF(B355&lt;$G$8, $F$8, IF(B355&lt;$G$9, $F$9, IF(B355&lt;$G$10, $F$10, $F$11)))))))))</f>
        <v>0.4</v>
      </c>
      <c r="D355">
        <f t="shared" si="5"/>
        <v>4</v>
      </c>
    </row>
    <row r="356" spans="1:4" x14ac:dyDescent="0.55000000000000004">
      <c r="A356">
        <v>355</v>
      </c>
      <c r="B356">
        <v>70.130791490799993</v>
      </c>
      <c r="C356">
        <f>IF(B356&lt;$G$2, $F$2, IF(B356&lt;$G$3, $F$3, IF(B356&lt;$G$4, $F$4, IF(B356&lt;$G$5, $F$5, IF(B356&lt;$G$6, $F$6, IF(B356&lt;$G$7, $F$7, IF(B356&lt;$G$8, $F$8, IF(B356&lt;$G$9, $F$9, IF(B356&lt;$G$10, $F$10, $F$11)))))))))</f>
        <v>0.8</v>
      </c>
      <c r="D356">
        <f t="shared" si="5"/>
        <v>8</v>
      </c>
    </row>
    <row r="357" spans="1:4" x14ac:dyDescent="0.55000000000000004">
      <c r="A357">
        <v>356</v>
      </c>
      <c r="B357">
        <v>29.658345959599998</v>
      </c>
      <c r="C357">
        <f>IF(B357&lt;$G$2, $F$2, IF(B357&lt;$G$3, $F$3, IF(B357&lt;$G$4, $F$4, IF(B357&lt;$G$5, $F$5, IF(B357&lt;$G$6, $F$6, IF(B357&lt;$G$7, $F$7, IF(B357&lt;$G$8, $F$8, IF(B357&lt;$G$9, $F$9, IF(B357&lt;$G$10, $F$10, $F$11)))))))))</f>
        <v>0.6</v>
      </c>
      <c r="D357">
        <f t="shared" si="5"/>
        <v>6</v>
      </c>
    </row>
    <row r="358" spans="1:4" x14ac:dyDescent="0.55000000000000004">
      <c r="A358">
        <v>357</v>
      </c>
      <c r="B358">
        <v>264.28936264999999</v>
      </c>
      <c r="C358">
        <f>IF(B358&lt;$G$2, $F$2, IF(B358&lt;$G$3, $F$3, IF(B358&lt;$G$4, $F$4, IF(B358&lt;$G$5, $F$5, IF(B358&lt;$G$6, $F$6, IF(B358&lt;$G$7, $F$7, IF(B358&lt;$G$8, $F$8, IF(B358&lt;$G$9, $F$9, IF(B358&lt;$G$10, $F$10, $F$11)))))))))</f>
        <v>0.9</v>
      </c>
      <c r="D358">
        <f t="shared" si="5"/>
        <v>9</v>
      </c>
    </row>
    <row r="359" spans="1:4" x14ac:dyDescent="0.55000000000000004">
      <c r="A359">
        <v>358</v>
      </c>
      <c r="B359">
        <v>91.655510551999996</v>
      </c>
      <c r="C359">
        <f>IF(B359&lt;$G$2, $F$2, IF(B359&lt;$G$3, $F$3, IF(B359&lt;$G$4, $F$4, IF(B359&lt;$G$5, $F$5, IF(B359&lt;$G$6, $F$6, IF(B359&lt;$G$7, $F$7, IF(B359&lt;$G$8, $F$8, IF(B359&lt;$G$9, $F$9, IF(B359&lt;$G$10, $F$10, $F$11)))))))))</f>
        <v>0.8</v>
      </c>
      <c r="D359">
        <f t="shared" si="5"/>
        <v>8</v>
      </c>
    </row>
    <row r="360" spans="1:4" x14ac:dyDescent="0.55000000000000004">
      <c r="A360">
        <v>359</v>
      </c>
      <c r="B360">
        <v>162.79599433000001</v>
      </c>
      <c r="C360">
        <f>IF(B360&lt;$G$2, $F$2, IF(B360&lt;$G$3, $F$3, IF(B360&lt;$G$4, $F$4, IF(B360&lt;$G$5, $F$5, IF(B360&lt;$G$6, $F$6, IF(B360&lt;$G$7, $F$7, IF(B360&lt;$G$8, $F$8, IF(B360&lt;$G$9, $F$9, IF(B360&lt;$G$10, $F$10, $F$11)))))))))</f>
        <v>0.9</v>
      </c>
      <c r="D360">
        <f t="shared" si="5"/>
        <v>9</v>
      </c>
    </row>
    <row r="361" spans="1:4" x14ac:dyDescent="0.55000000000000004">
      <c r="A361">
        <v>360</v>
      </c>
      <c r="B361">
        <v>96.082917628999994</v>
      </c>
      <c r="C361">
        <f>IF(B361&lt;$G$2, $F$2, IF(B361&lt;$G$3, $F$3, IF(B361&lt;$G$4, $F$4, IF(B361&lt;$G$5, $F$5, IF(B361&lt;$G$6, $F$6, IF(B361&lt;$G$7, $F$7, IF(B361&lt;$G$8, $F$8, IF(B361&lt;$G$9, $F$9, IF(B361&lt;$G$10, $F$10, $F$11)))))))))</f>
        <v>0.8</v>
      </c>
      <c r="D361">
        <f t="shared" si="5"/>
        <v>8</v>
      </c>
    </row>
    <row r="362" spans="1:4" x14ac:dyDescent="0.55000000000000004">
      <c r="A362">
        <v>361</v>
      </c>
      <c r="B362">
        <v>402.24583588399997</v>
      </c>
      <c r="C362">
        <f>IF(B362&lt;$G$2, $F$2, IF(B362&lt;$G$3, $F$3, IF(B362&lt;$G$4, $F$4, IF(B362&lt;$G$5, $F$5, IF(B362&lt;$G$6, $F$6, IF(B362&lt;$G$7, $F$7, IF(B362&lt;$G$8, $F$8, IF(B362&lt;$G$9, $F$9, IF(B362&lt;$G$10, $F$10, $F$11)))))))))</f>
        <v>1</v>
      </c>
      <c r="D362">
        <f t="shared" si="5"/>
        <v>10</v>
      </c>
    </row>
    <row r="363" spans="1:4" x14ac:dyDescent="0.55000000000000004">
      <c r="A363">
        <v>362</v>
      </c>
      <c r="B363">
        <v>37.615953923699998</v>
      </c>
      <c r="C363">
        <f>IF(B363&lt;$G$2, $F$2, IF(B363&lt;$G$3, $F$3, IF(B363&lt;$G$4, $F$4, IF(B363&lt;$G$5, $F$5, IF(B363&lt;$G$6, $F$6, IF(B363&lt;$G$7, $F$7, IF(B363&lt;$G$8, $F$8, IF(B363&lt;$G$9, $F$9, IF(B363&lt;$G$10, $F$10, $F$11)))))))))</f>
        <v>0.6</v>
      </c>
      <c r="D363">
        <f t="shared" si="5"/>
        <v>6</v>
      </c>
    </row>
    <row r="364" spans="1:4" x14ac:dyDescent="0.55000000000000004">
      <c r="A364">
        <v>363</v>
      </c>
      <c r="B364">
        <v>1.63922044652</v>
      </c>
      <c r="C364">
        <f>IF(B364&lt;$G$2, $F$2, IF(B364&lt;$G$3, $F$3, IF(B364&lt;$G$4, $F$4, IF(B364&lt;$G$5, $F$5, IF(B364&lt;$G$6, $F$6, IF(B364&lt;$G$7, $F$7, IF(B364&lt;$G$8, $F$8, IF(B364&lt;$G$9, $F$9, IF(B364&lt;$G$10, $F$10, $F$11)))))))))</f>
        <v>0.1</v>
      </c>
      <c r="D364">
        <f t="shared" si="5"/>
        <v>1</v>
      </c>
    </row>
    <row r="365" spans="1:4" x14ac:dyDescent="0.55000000000000004">
      <c r="A365">
        <v>364</v>
      </c>
      <c r="B365">
        <v>0.19538076837500001</v>
      </c>
      <c r="C365">
        <f>IF(B365&lt;$G$2, $F$2, IF(B365&lt;$G$3, $F$3, IF(B365&lt;$G$4, $F$4, IF(B365&lt;$G$5, $F$5, IF(B365&lt;$G$6, $F$6, IF(B365&lt;$G$7, $F$7, IF(B365&lt;$G$8, $F$8, IF(B365&lt;$G$9, $F$9, IF(B365&lt;$G$10, $F$10, $F$11)))))))))</f>
        <v>0.1</v>
      </c>
      <c r="D365">
        <f t="shared" si="5"/>
        <v>1</v>
      </c>
    </row>
    <row r="366" spans="1:4" x14ac:dyDescent="0.55000000000000004">
      <c r="A366">
        <v>365</v>
      </c>
      <c r="B366">
        <v>18.743597684600001</v>
      </c>
      <c r="C366">
        <f>IF(B366&lt;$G$2, $F$2, IF(B366&lt;$G$3, $F$3, IF(B366&lt;$G$4, $F$4, IF(B366&lt;$G$5, $F$5, IF(B366&lt;$G$6, $F$6, IF(B366&lt;$G$7, $F$7, IF(B366&lt;$G$8, $F$8, IF(B366&lt;$G$9, $F$9, IF(B366&lt;$G$10, $F$10, $F$11)))))))))</f>
        <v>0.5</v>
      </c>
      <c r="D366">
        <f t="shared" si="5"/>
        <v>5</v>
      </c>
    </row>
    <row r="367" spans="1:4" x14ac:dyDescent="0.55000000000000004">
      <c r="A367">
        <v>366</v>
      </c>
      <c r="B367">
        <v>130.807492513</v>
      </c>
      <c r="C367">
        <f>IF(B367&lt;$G$2, $F$2, IF(B367&lt;$G$3, $F$3, IF(B367&lt;$G$4, $F$4, IF(B367&lt;$G$5, $F$5, IF(B367&lt;$G$6, $F$6, IF(B367&lt;$G$7, $F$7, IF(B367&lt;$G$8, $F$8, IF(B367&lt;$G$9, $F$9, IF(B367&lt;$G$10, $F$10, $F$11)))))))))</f>
        <v>0.9</v>
      </c>
      <c r="D367">
        <f t="shared" si="5"/>
        <v>9</v>
      </c>
    </row>
    <row r="368" spans="1:4" x14ac:dyDescent="0.55000000000000004">
      <c r="A368">
        <v>367</v>
      </c>
      <c r="B368">
        <v>1.30076767325</v>
      </c>
      <c r="C368">
        <f>IF(B368&lt;$G$2, $F$2, IF(B368&lt;$G$3, $F$3, IF(B368&lt;$G$4, $F$4, IF(B368&lt;$G$5, $F$5, IF(B368&lt;$G$6, $F$6, IF(B368&lt;$G$7, $F$7, IF(B368&lt;$G$8, $F$8, IF(B368&lt;$G$9, $F$9, IF(B368&lt;$G$10, $F$10, $F$11)))))))))</f>
        <v>0.1</v>
      </c>
      <c r="D368">
        <f t="shared" si="5"/>
        <v>1</v>
      </c>
    </row>
    <row r="369" spans="1:4" x14ac:dyDescent="0.55000000000000004">
      <c r="A369">
        <v>368</v>
      </c>
      <c r="B369">
        <v>60.069040473800001</v>
      </c>
      <c r="C369">
        <f>IF(B369&lt;$G$2, $F$2, IF(B369&lt;$G$3, $F$3, IF(B369&lt;$G$4, $F$4, IF(B369&lt;$G$5, $F$5, IF(B369&lt;$G$6, $F$6, IF(B369&lt;$G$7, $F$7, IF(B369&lt;$G$8, $F$8, IF(B369&lt;$G$9, $F$9, IF(B369&lt;$G$10, $F$10, $F$11)))))))))</f>
        <v>0.7</v>
      </c>
      <c r="D369">
        <f t="shared" si="5"/>
        <v>7</v>
      </c>
    </row>
    <row r="370" spans="1:4" x14ac:dyDescent="0.55000000000000004">
      <c r="A370">
        <v>369</v>
      </c>
      <c r="B370">
        <v>19.7163122338</v>
      </c>
      <c r="C370">
        <f>IF(B370&lt;$G$2, $F$2, IF(B370&lt;$G$3, $F$3, IF(B370&lt;$G$4, $F$4, IF(B370&lt;$G$5, $F$5, IF(B370&lt;$G$6, $F$6, IF(B370&lt;$G$7, $F$7, IF(B370&lt;$G$8, $F$8, IF(B370&lt;$G$9, $F$9, IF(B370&lt;$G$10, $F$10, $F$11)))))))))</f>
        <v>0.5</v>
      </c>
      <c r="D370">
        <f t="shared" si="5"/>
        <v>5</v>
      </c>
    </row>
    <row r="371" spans="1:4" x14ac:dyDescent="0.55000000000000004">
      <c r="A371">
        <v>370</v>
      </c>
      <c r="B371">
        <v>5.3940447957500002</v>
      </c>
      <c r="C371">
        <f>IF(B371&lt;$G$2, $F$2, IF(B371&lt;$G$3, $F$3, IF(B371&lt;$G$4, $F$4, IF(B371&lt;$G$5, $F$5, IF(B371&lt;$G$6, $F$6, IF(B371&lt;$G$7, $F$7, IF(B371&lt;$G$8, $F$8, IF(B371&lt;$G$9, $F$9, IF(B371&lt;$G$10, $F$10, $F$11)))))))))</f>
        <v>0.2</v>
      </c>
      <c r="D371">
        <f t="shared" si="5"/>
        <v>2</v>
      </c>
    </row>
    <row r="372" spans="1:4" x14ac:dyDescent="0.55000000000000004">
      <c r="A372">
        <v>371</v>
      </c>
      <c r="B372">
        <v>6.5658216113199996</v>
      </c>
      <c r="C372">
        <f>IF(B372&lt;$G$2, $F$2, IF(B372&lt;$G$3, $F$3, IF(B372&lt;$G$4, $F$4, IF(B372&lt;$G$5, $F$5, IF(B372&lt;$G$6, $F$6, IF(B372&lt;$G$7, $F$7, IF(B372&lt;$G$8, $F$8, IF(B372&lt;$G$9, $F$9, IF(B372&lt;$G$10, $F$10, $F$11)))))))))</f>
        <v>0.3</v>
      </c>
      <c r="D372">
        <f t="shared" si="5"/>
        <v>3</v>
      </c>
    </row>
    <row r="373" spans="1:4" x14ac:dyDescent="0.55000000000000004">
      <c r="A373">
        <v>372</v>
      </c>
      <c r="B373">
        <v>3.1801827992299998</v>
      </c>
      <c r="C373">
        <f>IF(B373&lt;$G$2, $F$2, IF(B373&lt;$G$3, $F$3, IF(B373&lt;$G$4, $F$4, IF(B373&lt;$G$5, $F$5, IF(B373&lt;$G$6, $F$6, IF(B373&lt;$G$7, $F$7, IF(B373&lt;$G$8, $F$8, IF(B373&lt;$G$9, $F$9, IF(B373&lt;$G$10, $F$10, $F$11)))))))))</f>
        <v>0.2</v>
      </c>
      <c r="D373">
        <f t="shared" si="5"/>
        <v>2</v>
      </c>
    </row>
    <row r="374" spans="1:4" x14ac:dyDescent="0.55000000000000004">
      <c r="A374">
        <v>373</v>
      </c>
      <c r="B374">
        <v>62.429753007400002</v>
      </c>
      <c r="C374">
        <f>IF(B374&lt;$G$2, $F$2, IF(B374&lt;$G$3, $F$3, IF(B374&lt;$G$4, $F$4, IF(B374&lt;$G$5, $F$5, IF(B374&lt;$G$6, $F$6, IF(B374&lt;$G$7, $F$7, IF(B374&lt;$G$8, $F$8, IF(B374&lt;$G$9, $F$9, IF(B374&lt;$G$10, $F$10, $F$11)))))))))</f>
        <v>0.7</v>
      </c>
      <c r="D374">
        <f t="shared" si="5"/>
        <v>7</v>
      </c>
    </row>
    <row r="375" spans="1:4" x14ac:dyDescent="0.55000000000000004">
      <c r="A375">
        <v>374</v>
      </c>
      <c r="B375">
        <v>228.132987918</v>
      </c>
      <c r="C375">
        <f>IF(B375&lt;$G$2, $F$2, IF(B375&lt;$G$3, $F$3, IF(B375&lt;$G$4, $F$4, IF(B375&lt;$G$5, $F$5, IF(B375&lt;$G$6, $F$6, IF(B375&lt;$G$7, $F$7, IF(B375&lt;$G$8, $F$8, IF(B375&lt;$G$9, $F$9, IF(B375&lt;$G$10, $F$10, $F$11)))))))))</f>
        <v>0.9</v>
      </c>
      <c r="D375">
        <f t="shared" si="5"/>
        <v>9</v>
      </c>
    </row>
    <row r="376" spans="1:4" x14ac:dyDescent="0.55000000000000004">
      <c r="A376">
        <v>375</v>
      </c>
      <c r="B376">
        <v>4.9139249384300001</v>
      </c>
      <c r="C376">
        <f>IF(B376&lt;$G$2, $F$2, IF(B376&lt;$G$3, $F$3, IF(B376&lt;$G$4, $F$4, IF(B376&lt;$G$5, $F$5, IF(B376&lt;$G$6, $F$6, IF(B376&lt;$G$7, $F$7, IF(B376&lt;$G$8, $F$8, IF(B376&lt;$G$9, $F$9, IF(B376&lt;$G$10, $F$10, $F$11)))))))))</f>
        <v>0.2</v>
      </c>
      <c r="D376">
        <f t="shared" si="5"/>
        <v>2</v>
      </c>
    </row>
    <row r="377" spans="1:4" x14ac:dyDescent="0.55000000000000004">
      <c r="A377">
        <v>376</v>
      </c>
      <c r="B377">
        <v>57.966874031000003</v>
      </c>
      <c r="C377">
        <f>IF(B377&lt;$G$2, $F$2, IF(B377&lt;$G$3, $F$3, IF(B377&lt;$G$4, $F$4, IF(B377&lt;$G$5, $F$5, IF(B377&lt;$G$6, $F$6, IF(B377&lt;$G$7, $F$7, IF(B377&lt;$G$8, $F$8, IF(B377&lt;$G$9, $F$9, IF(B377&lt;$G$10, $F$10, $F$11)))))))))</f>
        <v>0.7</v>
      </c>
      <c r="D377">
        <f t="shared" si="5"/>
        <v>7</v>
      </c>
    </row>
    <row r="378" spans="1:4" x14ac:dyDescent="0.55000000000000004">
      <c r="A378">
        <v>377</v>
      </c>
      <c r="B378">
        <v>29.257784554800001</v>
      </c>
      <c r="C378">
        <f>IF(B378&lt;$G$2, $F$2, IF(B378&lt;$G$3, $F$3, IF(B378&lt;$G$4, $F$4, IF(B378&lt;$G$5, $F$5, IF(B378&lt;$G$6, $F$6, IF(B378&lt;$G$7, $F$7, IF(B378&lt;$G$8, $F$8, IF(B378&lt;$G$9, $F$9, IF(B378&lt;$G$10, $F$10, $F$11)))))))))</f>
        <v>0.6</v>
      </c>
      <c r="D378">
        <f t="shared" si="5"/>
        <v>6</v>
      </c>
    </row>
    <row r="379" spans="1:4" x14ac:dyDescent="0.55000000000000004">
      <c r="A379">
        <v>378</v>
      </c>
      <c r="B379">
        <v>5.7785068920600002</v>
      </c>
      <c r="C379">
        <f>IF(B379&lt;$G$2, $F$2, IF(B379&lt;$G$3, $F$3, IF(B379&lt;$G$4, $F$4, IF(B379&lt;$G$5, $F$5, IF(B379&lt;$G$6, $F$6, IF(B379&lt;$G$7, $F$7, IF(B379&lt;$G$8, $F$8, IF(B379&lt;$G$9, $F$9, IF(B379&lt;$G$10, $F$10, $F$11)))))))))</f>
        <v>0.3</v>
      </c>
      <c r="D379">
        <f t="shared" si="5"/>
        <v>3</v>
      </c>
    </row>
    <row r="380" spans="1:4" x14ac:dyDescent="0.55000000000000004">
      <c r="A380">
        <v>379</v>
      </c>
      <c r="B380">
        <v>4.2927120759599999</v>
      </c>
      <c r="C380">
        <f>IF(B380&lt;$G$2, $F$2, IF(B380&lt;$G$3, $F$3, IF(B380&lt;$G$4, $F$4, IF(B380&lt;$G$5, $F$5, IF(B380&lt;$G$6, $F$6, IF(B380&lt;$G$7, $F$7, IF(B380&lt;$G$8, $F$8, IF(B380&lt;$G$9, $F$9, IF(B380&lt;$G$10, $F$10, $F$11)))))))))</f>
        <v>0.2</v>
      </c>
      <c r="D380">
        <f t="shared" si="5"/>
        <v>2</v>
      </c>
    </row>
    <row r="381" spans="1:4" x14ac:dyDescent="0.55000000000000004">
      <c r="A381">
        <v>380</v>
      </c>
      <c r="B381">
        <v>673.63138739099998</v>
      </c>
      <c r="C381">
        <f>IF(B381&lt;$G$2, $F$2, IF(B381&lt;$G$3, $F$3, IF(B381&lt;$G$4, $F$4, IF(B381&lt;$G$5, $F$5, IF(B381&lt;$G$6, $F$6, IF(B381&lt;$G$7, $F$7, IF(B381&lt;$G$8, $F$8, IF(B381&lt;$G$9, $F$9, IF(B381&lt;$G$10, $F$10, $F$11)))))))))</f>
        <v>1</v>
      </c>
      <c r="D381">
        <f t="shared" si="5"/>
        <v>10</v>
      </c>
    </row>
    <row r="382" spans="1:4" x14ac:dyDescent="0.55000000000000004">
      <c r="A382">
        <v>381</v>
      </c>
      <c r="B382">
        <v>71.987944210600006</v>
      </c>
      <c r="C382">
        <f>IF(B382&lt;$G$2, $F$2, IF(B382&lt;$G$3, $F$3, IF(B382&lt;$G$4, $F$4, IF(B382&lt;$G$5, $F$5, IF(B382&lt;$G$6, $F$6, IF(B382&lt;$G$7, $F$7, IF(B382&lt;$G$8, $F$8, IF(B382&lt;$G$9, $F$9, IF(B382&lt;$G$10, $F$10, $F$11)))))))))</f>
        <v>0.8</v>
      </c>
      <c r="D382">
        <f t="shared" si="5"/>
        <v>8</v>
      </c>
    </row>
    <row r="383" spans="1:4" x14ac:dyDescent="0.55000000000000004">
      <c r="A383">
        <v>382</v>
      </c>
      <c r="B383">
        <v>11.649050732199999</v>
      </c>
      <c r="C383">
        <f>IF(B383&lt;$G$2, $F$2, IF(B383&lt;$G$3, $F$3, IF(B383&lt;$G$4, $F$4, IF(B383&lt;$G$5, $F$5, IF(B383&lt;$G$6, $F$6, IF(B383&lt;$G$7, $F$7, IF(B383&lt;$G$8, $F$8, IF(B383&lt;$G$9, $F$9, IF(B383&lt;$G$10, $F$10, $F$11)))))))))</f>
        <v>0.4</v>
      </c>
      <c r="D383">
        <f t="shared" si="5"/>
        <v>4</v>
      </c>
    </row>
    <row r="384" spans="1:4" x14ac:dyDescent="0.55000000000000004">
      <c r="A384">
        <v>383</v>
      </c>
      <c r="B384">
        <v>6.2549865122900004</v>
      </c>
      <c r="C384">
        <f>IF(B384&lt;$G$2, $F$2, IF(B384&lt;$G$3, $F$3, IF(B384&lt;$G$4, $F$4, IF(B384&lt;$G$5, $F$5, IF(B384&lt;$G$6, $F$6, IF(B384&lt;$G$7, $F$7, IF(B384&lt;$G$8, $F$8, IF(B384&lt;$G$9, $F$9, IF(B384&lt;$G$10, $F$10, $F$11)))))))))</f>
        <v>0.3</v>
      </c>
      <c r="D384">
        <f t="shared" si="5"/>
        <v>3</v>
      </c>
    </row>
    <row r="385" spans="1:4" x14ac:dyDescent="0.55000000000000004">
      <c r="A385">
        <v>384</v>
      </c>
      <c r="B385">
        <v>98.345342207300007</v>
      </c>
      <c r="C385">
        <f>IF(B385&lt;$G$2, $F$2, IF(B385&lt;$G$3, $F$3, IF(B385&lt;$G$4, $F$4, IF(B385&lt;$G$5, $F$5, IF(B385&lt;$G$6, $F$6, IF(B385&lt;$G$7, $F$7, IF(B385&lt;$G$8, $F$8, IF(B385&lt;$G$9, $F$9, IF(B385&lt;$G$10, $F$10, $F$11)))))))))</f>
        <v>0.8</v>
      </c>
      <c r="D385">
        <f t="shared" si="5"/>
        <v>8</v>
      </c>
    </row>
    <row r="386" spans="1:4" x14ac:dyDescent="0.55000000000000004">
      <c r="A386">
        <v>385</v>
      </c>
      <c r="B386">
        <v>4.9591714340299999</v>
      </c>
      <c r="C386">
        <f>IF(B386&lt;$G$2, $F$2, IF(B386&lt;$G$3, $F$3, IF(B386&lt;$G$4, $F$4, IF(B386&lt;$G$5, $F$5, IF(B386&lt;$G$6, $F$6, IF(B386&lt;$G$7, $F$7, IF(B386&lt;$G$8, $F$8, IF(B386&lt;$G$9, $F$9, IF(B386&lt;$G$10, $F$10, $F$11)))))))))</f>
        <v>0.2</v>
      </c>
      <c r="D386">
        <f t="shared" si="5"/>
        <v>2</v>
      </c>
    </row>
    <row r="387" spans="1:4" x14ac:dyDescent="0.55000000000000004">
      <c r="A387">
        <v>386</v>
      </c>
      <c r="B387">
        <v>1.36281851476</v>
      </c>
      <c r="C387">
        <f>IF(B387&lt;$G$2, $F$2, IF(B387&lt;$G$3, $F$3, IF(B387&lt;$G$4, $F$4, IF(B387&lt;$G$5, $F$5, IF(B387&lt;$G$6, $F$6, IF(B387&lt;$G$7, $F$7, IF(B387&lt;$G$8, $F$8, IF(B387&lt;$G$9, $F$9, IF(B387&lt;$G$10, $F$10, $F$11)))))))))</f>
        <v>0.1</v>
      </c>
      <c r="D387">
        <f t="shared" ref="D387:D450" si="6">C387*10</f>
        <v>1</v>
      </c>
    </row>
    <row r="388" spans="1:4" x14ac:dyDescent="0.55000000000000004">
      <c r="A388">
        <v>387</v>
      </c>
      <c r="B388">
        <v>33.287884169199998</v>
      </c>
      <c r="C388">
        <f>IF(B388&lt;$G$2, $F$2, IF(B388&lt;$G$3, $F$3, IF(B388&lt;$G$4, $F$4, IF(B388&lt;$G$5, $F$5, IF(B388&lt;$G$6, $F$6, IF(B388&lt;$G$7, $F$7, IF(B388&lt;$G$8, $F$8, IF(B388&lt;$G$9, $F$9, IF(B388&lt;$G$10, $F$10, $F$11)))))))))</f>
        <v>0.6</v>
      </c>
      <c r="D388">
        <f t="shared" si="6"/>
        <v>6</v>
      </c>
    </row>
    <row r="389" spans="1:4" x14ac:dyDescent="0.55000000000000004">
      <c r="A389">
        <v>388</v>
      </c>
      <c r="B389">
        <v>2.6128077483499998</v>
      </c>
      <c r="C389">
        <f>IF(B389&lt;$G$2, $F$2, IF(B389&lt;$G$3, $F$3, IF(B389&lt;$G$4, $F$4, IF(B389&lt;$G$5, $F$5, IF(B389&lt;$G$6, $F$6, IF(B389&lt;$G$7, $F$7, IF(B389&lt;$G$8, $F$8, IF(B389&lt;$G$9, $F$9, IF(B389&lt;$G$10, $F$10, $F$11)))))))))</f>
        <v>0.2</v>
      </c>
      <c r="D389">
        <f t="shared" si="6"/>
        <v>2</v>
      </c>
    </row>
    <row r="390" spans="1:4" x14ac:dyDescent="0.55000000000000004">
      <c r="A390">
        <v>389</v>
      </c>
      <c r="B390">
        <v>143.81573316699999</v>
      </c>
      <c r="C390">
        <f>IF(B390&lt;$G$2, $F$2, IF(B390&lt;$G$3, $F$3, IF(B390&lt;$G$4, $F$4, IF(B390&lt;$G$5, $F$5, IF(B390&lt;$G$6, $F$6, IF(B390&lt;$G$7, $F$7, IF(B390&lt;$G$8, $F$8, IF(B390&lt;$G$9, $F$9, IF(B390&lt;$G$10, $F$10, $F$11)))))))))</f>
        <v>0.9</v>
      </c>
      <c r="D390">
        <f t="shared" si="6"/>
        <v>9</v>
      </c>
    </row>
    <row r="391" spans="1:4" x14ac:dyDescent="0.55000000000000004">
      <c r="A391">
        <v>390</v>
      </c>
      <c r="B391">
        <v>980.35127466300003</v>
      </c>
      <c r="C391">
        <f>IF(B391&lt;$G$2, $F$2, IF(B391&lt;$G$3, $F$3, IF(B391&lt;$G$4, $F$4, IF(B391&lt;$G$5, $F$5, IF(B391&lt;$G$6, $F$6, IF(B391&lt;$G$7, $F$7, IF(B391&lt;$G$8, $F$8, IF(B391&lt;$G$9, $F$9, IF(B391&lt;$G$10, $F$10, $F$11)))))))))</f>
        <v>1</v>
      </c>
      <c r="D391">
        <f t="shared" si="6"/>
        <v>10</v>
      </c>
    </row>
    <row r="392" spans="1:4" x14ac:dyDescent="0.55000000000000004">
      <c r="A392">
        <v>391</v>
      </c>
      <c r="B392">
        <v>21696.325990099998</v>
      </c>
      <c r="C392">
        <f>IF(B392&lt;$G$2, $F$2, IF(B392&lt;$G$3, $F$3, IF(B392&lt;$G$4, $F$4, IF(B392&lt;$G$5, $F$5, IF(B392&lt;$G$6, $F$6, IF(B392&lt;$G$7, $F$7, IF(B392&lt;$G$8, $F$8, IF(B392&lt;$G$9, $F$9, IF(B392&lt;$G$10, $F$10, $F$11)))))))))</f>
        <v>1</v>
      </c>
      <c r="D392">
        <f t="shared" si="6"/>
        <v>10</v>
      </c>
    </row>
    <row r="393" spans="1:4" x14ac:dyDescent="0.55000000000000004">
      <c r="A393">
        <v>392</v>
      </c>
      <c r="B393">
        <v>258.17111569299999</v>
      </c>
      <c r="C393">
        <f>IF(B393&lt;$G$2, $F$2, IF(B393&lt;$G$3, $F$3, IF(B393&lt;$G$4, $F$4, IF(B393&lt;$G$5, $F$5, IF(B393&lt;$G$6, $F$6, IF(B393&lt;$G$7, $F$7, IF(B393&lt;$G$8, $F$8, IF(B393&lt;$G$9, $F$9, IF(B393&lt;$G$10, $F$10, $F$11)))))))))</f>
        <v>0.9</v>
      </c>
      <c r="D393">
        <f t="shared" si="6"/>
        <v>9</v>
      </c>
    </row>
    <row r="394" spans="1:4" x14ac:dyDescent="0.55000000000000004">
      <c r="A394">
        <v>393</v>
      </c>
      <c r="B394">
        <v>45.576300529400001</v>
      </c>
      <c r="C394">
        <f>IF(B394&lt;$G$2, $F$2, IF(B394&lt;$G$3, $F$3, IF(B394&lt;$G$4, $F$4, IF(B394&lt;$G$5, $F$5, IF(B394&lt;$G$6, $F$6, IF(B394&lt;$G$7, $F$7, IF(B394&lt;$G$8, $F$8, IF(B394&lt;$G$9, $F$9, IF(B394&lt;$G$10, $F$10, $F$11)))))))))</f>
        <v>0.7</v>
      </c>
      <c r="D394">
        <f t="shared" si="6"/>
        <v>7</v>
      </c>
    </row>
    <row r="395" spans="1:4" x14ac:dyDescent="0.55000000000000004">
      <c r="A395">
        <v>394</v>
      </c>
      <c r="B395">
        <v>111.02284321800001</v>
      </c>
      <c r="C395">
        <f>IF(B395&lt;$G$2, $F$2, IF(B395&lt;$G$3, $F$3, IF(B395&lt;$G$4, $F$4, IF(B395&lt;$G$5, $F$5, IF(B395&lt;$G$6, $F$6, IF(B395&lt;$G$7, $F$7, IF(B395&lt;$G$8, $F$8, IF(B395&lt;$G$9, $F$9, IF(B395&lt;$G$10, $F$10, $F$11)))))))))</f>
        <v>0.8</v>
      </c>
      <c r="D395">
        <f t="shared" si="6"/>
        <v>8</v>
      </c>
    </row>
    <row r="396" spans="1:4" x14ac:dyDescent="0.55000000000000004">
      <c r="A396">
        <v>395</v>
      </c>
      <c r="B396">
        <v>12.814255323899999</v>
      </c>
      <c r="C396">
        <f>IF(B396&lt;$G$2, $F$2, IF(B396&lt;$G$3, $F$3, IF(B396&lt;$G$4, $F$4, IF(B396&lt;$G$5, $F$5, IF(B396&lt;$G$6, $F$6, IF(B396&lt;$G$7, $F$7, IF(B396&lt;$G$8, $F$8, IF(B396&lt;$G$9, $F$9, IF(B396&lt;$G$10, $F$10, $F$11)))))))))</f>
        <v>0.4</v>
      </c>
      <c r="D396">
        <f t="shared" si="6"/>
        <v>4</v>
      </c>
    </row>
    <row r="397" spans="1:4" x14ac:dyDescent="0.55000000000000004">
      <c r="A397">
        <v>396</v>
      </c>
      <c r="B397">
        <v>123.308879926</v>
      </c>
      <c r="C397">
        <f>IF(B397&lt;$G$2, $F$2, IF(B397&lt;$G$3, $F$3, IF(B397&lt;$G$4, $F$4, IF(B397&lt;$G$5, $F$5, IF(B397&lt;$G$6, $F$6, IF(B397&lt;$G$7, $F$7, IF(B397&lt;$G$8, $F$8, IF(B397&lt;$G$9, $F$9, IF(B397&lt;$G$10, $F$10, $F$11)))))))))</f>
        <v>0.9</v>
      </c>
      <c r="D397">
        <f t="shared" si="6"/>
        <v>9</v>
      </c>
    </row>
    <row r="398" spans="1:4" x14ac:dyDescent="0.55000000000000004">
      <c r="A398">
        <v>397</v>
      </c>
      <c r="B398">
        <v>20.793273596700001</v>
      </c>
      <c r="C398">
        <f>IF(B398&lt;$G$2, $F$2, IF(B398&lt;$G$3, $F$3, IF(B398&lt;$G$4, $F$4, IF(B398&lt;$G$5, $F$5, IF(B398&lt;$G$6, $F$6, IF(B398&lt;$G$7, $F$7, IF(B398&lt;$G$8, $F$8, IF(B398&lt;$G$9, $F$9, IF(B398&lt;$G$10, $F$10, $F$11)))))))))</f>
        <v>0.5</v>
      </c>
      <c r="D398">
        <f t="shared" si="6"/>
        <v>5</v>
      </c>
    </row>
    <row r="399" spans="1:4" x14ac:dyDescent="0.55000000000000004">
      <c r="A399">
        <v>398</v>
      </c>
      <c r="B399">
        <v>3.6498910273299998</v>
      </c>
      <c r="C399">
        <f>IF(B399&lt;$G$2, $F$2, IF(B399&lt;$G$3, $F$3, IF(B399&lt;$G$4, $F$4, IF(B399&lt;$G$5, $F$5, IF(B399&lt;$G$6, $F$6, IF(B399&lt;$G$7, $F$7, IF(B399&lt;$G$8, $F$8, IF(B399&lt;$G$9, $F$9, IF(B399&lt;$G$10, $F$10, $F$11)))))))))</f>
        <v>0.2</v>
      </c>
      <c r="D399">
        <f t="shared" si="6"/>
        <v>2</v>
      </c>
    </row>
    <row r="400" spans="1:4" x14ac:dyDescent="0.55000000000000004">
      <c r="A400">
        <v>399</v>
      </c>
      <c r="B400">
        <v>3.5576407665300001</v>
      </c>
      <c r="C400">
        <f>IF(B400&lt;$G$2, $F$2, IF(B400&lt;$G$3, $F$3, IF(B400&lt;$G$4, $F$4, IF(B400&lt;$G$5, $F$5, IF(B400&lt;$G$6, $F$6, IF(B400&lt;$G$7, $F$7, IF(B400&lt;$G$8, $F$8, IF(B400&lt;$G$9, $F$9, IF(B400&lt;$G$10, $F$10, $F$11)))))))))</f>
        <v>0.2</v>
      </c>
      <c r="D400">
        <f t="shared" si="6"/>
        <v>2</v>
      </c>
    </row>
    <row r="401" spans="1:4" x14ac:dyDescent="0.55000000000000004">
      <c r="A401">
        <v>400</v>
      </c>
      <c r="B401">
        <v>61.540770502699999</v>
      </c>
      <c r="C401">
        <f>IF(B401&lt;$G$2, $F$2, IF(B401&lt;$G$3, $F$3, IF(B401&lt;$G$4, $F$4, IF(B401&lt;$G$5, $F$5, IF(B401&lt;$G$6, $F$6, IF(B401&lt;$G$7, $F$7, IF(B401&lt;$G$8, $F$8, IF(B401&lt;$G$9, $F$9, IF(B401&lt;$G$10, $F$10, $F$11)))))))))</f>
        <v>0.7</v>
      </c>
      <c r="D401">
        <f t="shared" si="6"/>
        <v>7</v>
      </c>
    </row>
    <row r="402" spans="1:4" x14ac:dyDescent="0.55000000000000004">
      <c r="A402">
        <v>401</v>
      </c>
      <c r="B402">
        <v>367.94049773500001</v>
      </c>
      <c r="C402">
        <f>IF(B402&lt;$G$2, $F$2, IF(B402&lt;$G$3, $F$3, IF(B402&lt;$G$4, $F$4, IF(B402&lt;$G$5, $F$5, IF(B402&lt;$G$6, $F$6, IF(B402&lt;$G$7, $F$7, IF(B402&lt;$G$8, $F$8, IF(B402&lt;$G$9, $F$9, IF(B402&lt;$G$10, $F$10, $F$11)))))))))</f>
        <v>1</v>
      </c>
      <c r="D402">
        <f t="shared" si="6"/>
        <v>10</v>
      </c>
    </row>
    <row r="403" spans="1:4" x14ac:dyDescent="0.55000000000000004">
      <c r="A403">
        <v>402</v>
      </c>
      <c r="B403">
        <v>2.5609933352000001</v>
      </c>
      <c r="C403">
        <f>IF(B403&lt;$G$2, $F$2, IF(B403&lt;$G$3, $F$3, IF(B403&lt;$G$4, $F$4, IF(B403&lt;$G$5, $F$5, IF(B403&lt;$G$6, $F$6, IF(B403&lt;$G$7, $F$7, IF(B403&lt;$G$8, $F$8, IF(B403&lt;$G$9, $F$9, IF(B403&lt;$G$10, $F$10, $F$11)))))))))</f>
        <v>0.2</v>
      </c>
      <c r="D403">
        <f t="shared" si="6"/>
        <v>2</v>
      </c>
    </row>
    <row r="404" spans="1:4" x14ac:dyDescent="0.55000000000000004">
      <c r="A404">
        <v>403</v>
      </c>
      <c r="B404">
        <v>36.791642088099998</v>
      </c>
      <c r="C404">
        <f>IF(B404&lt;$G$2, $F$2, IF(B404&lt;$G$3, $F$3, IF(B404&lt;$G$4, $F$4, IF(B404&lt;$G$5, $F$5, IF(B404&lt;$G$6, $F$6, IF(B404&lt;$G$7, $F$7, IF(B404&lt;$G$8, $F$8, IF(B404&lt;$G$9, $F$9, IF(B404&lt;$G$10, $F$10, $F$11)))))))))</f>
        <v>0.6</v>
      </c>
      <c r="D404">
        <f t="shared" si="6"/>
        <v>6</v>
      </c>
    </row>
    <row r="405" spans="1:4" x14ac:dyDescent="0.55000000000000004">
      <c r="A405">
        <v>404</v>
      </c>
      <c r="B405">
        <v>22.571380768699999</v>
      </c>
      <c r="C405">
        <f>IF(B405&lt;$G$2, $F$2, IF(B405&lt;$G$3, $F$3, IF(B405&lt;$G$4, $F$4, IF(B405&lt;$G$5, $F$5, IF(B405&lt;$G$6, $F$6, IF(B405&lt;$G$7, $F$7, IF(B405&lt;$G$8, $F$8, IF(B405&lt;$G$9, $F$9, IF(B405&lt;$G$10, $F$10, $F$11)))))))))</f>
        <v>0.5</v>
      </c>
      <c r="D405">
        <f t="shared" si="6"/>
        <v>5</v>
      </c>
    </row>
    <row r="406" spans="1:4" x14ac:dyDescent="0.55000000000000004">
      <c r="A406">
        <v>405</v>
      </c>
      <c r="B406">
        <v>28.010513313899999</v>
      </c>
      <c r="C406">
        <f>IF(B406&lt;$G$2, $F$2, IF(B406&lt;$G$3, $F$3, IF(B406&lt;$G$4, $F$4, IF(B406&lt;$G$5, $F$5, IF(B406&lt;$G$6, $F$6, IF(B406&lt;$G$7, $F$7, IF(B406&lt;$G$8, $F$8, IF(B406&lt;$G$9, $F$9, IF(B406&lt;$G$10, $F$10, $F$11)))))))))</f>
        <v>0.6</v>
      </c>
      <c r="D406">
        <f t="shared" si="6"/>
        <v>6</v>
      </c>
    </row>
    <row r="407" spans="1:4" x14ac:dyDescent="0.55000000000000004">
      <c r="A407">
        <v>406</v>
      </c>
      <c r="B407">
        <v>367.16730598200002</v>
      </c>
      <c r="C407">
        <f>IF(B407&lt;$G$2, $F$2, IF(B407&lt;$G$3, $F$3, IF(B407&lt;$G$4, $F$4, IF(B407&lt;$G$5, $F$5, IF(B407&lt;$G$6, $F$6, IF(B407&lt;$G$7, $F$7, IF(B407&lt;$G$8, $F$8, IF(B407&lt;$G$9, $F$9, IF(B407&lt;$G$10, $F$10, $F$11)))))))))</f>
        <v>1</v>
      </c>
      <c r="D407">
        <f t="shared" si="6"/>
        <v>10</v>
      </c>
    </row>
    <row r="408" spans="1:4" x14ac:dyDescent="0.55000000000000004">
      <c r="A408">
        <v>407</v>
      </c>
      <c r="B408">
        <v>134.78059146499999</v>
      </c>
      <c r="C408">
        <f>IF(B408&lt;$G$2, $F$2, IF(B408&lt;$G$3, $F$3, IF(B408&lt;$G$4, $F$4, IF(B408&lt;$G$5, $F$5, IF(B408&lt;$G$6, $F$6, IF(B408&lt;$G$7, $F$7, IF(B408&lt;$G$8, $F$8, IF(B408&lt;$G$9, $F$9, IF(B408&lt;$G$10, $F$10, $F$11)))))))))</f>
        <v>0.9</v>
      </c>
      <c r="D408">
        <f t="shared" si="6"/>
        <v>9</v>
      </c>
    </row>
    <row r="409" spans="1:4" x14ac:dyDescent="0.55000000000000004">
      <c r="A409">
        <v>408</v>
      </c>
      <c r="B409">
        <v>42.851711543100002</v>
      </c>
      <c r="C409">
        <f>IF(B409&lt;$G$2, $F$2, IF(B409&lt;$G$3, $F$3, IF(B409&lt;$G$4, $F$4, IF(B409&lt;$G$5, $F$5, IF(B409&lt;$G$6, $F$6, IF(B409&lt;$G$7, $F$7, IF(B409&lt;$G$8, $F$8, IF(B409&lt;$G$9, $F$9, IF(B409&lt;$G$10, $F$10, $F$11)))))))))</f>
        <v>0.7</v>
      </c>
      <c r="D409">
        <f t="shared" si="6"/>
        <v>7</v>
      </c>
    </row>
    <row r="410" spans="1:4" x14ac:dyDescent="0.55000000000000004">
      <c r="A410">
        <v>409</v>
      </c>
      <c r="B410">
        <v>10.3266067345</v>
      </c>
      <c r="C410">
        <f>IF(B410&lt;$G$2, $F$2, IF(B410&lt;$G$3, $F$3, IF(B410&lt;$G$4, $F$4, IF(B410&lt;$G$5, $F$5, IF(B410&lt;$G$6, $F$6, IF(B410&lt;$G$7, $F$7, IF(B410&lt;$G$8, $F$8, IF(B410&lt;$G$9, $F$9, IF(B410&lt;$G$10, $F$10, $F$11)))))))))</f>
        <v>0.3</v>
      </c>
      <c r="D410">
        <f t="shared" si="6"/>
        <v>3</v>
      </c>
    </row>
    <row r="411" spans="1:4" x14ac:dyDescent="0.55000000000000004">
      <c r="A411">
        <v>410</v>
      </c>
      <c r="B411">
        <v>29.396421532000002</v>
      </c>
      <c r="C411">
        <f>IF(B411&lt;$G$2, $F$2, IF(B411&lt;$G$3, $F$3, IF(B411&lt;$G$4, $F$4, IF(B411&lt;$G$5, $F$5, IF(B411&lt;$G$6, $F$6, IF(B411&lt;$G$7, $F$7, IF(B411&lt;$G$8, $F$8, IF(B411&lt;$G$9, $F$9, IF(B411&lt;$G$10, $F$10, $F$11)))))))))</f>
        <v>0.6</v>
      </c>
      <c r="D411">
        <f t="shared" si="6"/>
        <v>6</v>
      </c>
    </row>
    <row r="412" spans="1:4" x14ac:dyDescent="0.55000000000000004">
      <c r="A412">
        <v>411</v>
      </c>
      <c r="B412">
        <v>42.801134564000002</v>
      </c>
      <c r="C412">
        <f>IF(B412&lt;$G$2, $F$2, IF(B412&lt;$G$3, $F$3, IF(B412&lt;$G$4, $F$4, IF(B412&lt;$G$5, $F$5, IF(B412&lt;$G$6, $F$6, IF(B412&lt;$G$7, $F$7, IF(B412&lt;$G$8, $F$8, IF(B412&lt;$G$9, $F$9, IF(B412&lt;$G$10, $F$10, $F$11)))))))))</f>
        <v>0.7</v>
      </c>
      <c r="D412">
        <f t="shared" si="6"/>
        <v>7</v>
      </c>
    </row>
    <row r="413" spans="1:4" x14ac:dyDescent="0.55000000000000004">
      <c r="A413">
        <v>412</v>
      </c>
      <c r="B413">
        <v>3.8686961231999999</v>
      </c>
      <c r="C413">
        <f>IF(B413&lt;$G$2, $F$2, IF(B413&lt;$G$3, $F$3, IF(B413&lt;$G$4, $F$4, IF(B413&lt;$G$5, $F$5, IF(B413&lt;$G$6, $F$6, IF(B413&lt;$G$7, $F$7, IF(B413&lt;$G$8, $F$8, IF(B413&lt;$G$9, $F$9, IF(B413&lt;$G$10, $F$10, $F$11)))))))))</f>
        <v>0.2</v>
      </c>
      <c r="D413">
        <f t="shared" si="6"/>
        <v>2</v>
      </c>
    </row>
    <row r="414" spans="1:4" x14ac:dyDescent="0.55000000000000004">
      <c r="A414">
        <v>413</v>
      </c>
      <c r="B414">
        <v>18.235839262100001</v>
      </c>
      <c r="C414">
        <f>IF(B414&lt;$G$2, $F$2, IF(B414&lt;$G$3, $F$3, IF(B414&lt;$G$4, $F$4, IF(B414&lt;$G$5, $F$5, IF(B414&lt;$G$6, $F$6, IF(B414&lt;$G$7, $F$7, IF(B414&lt;$G$8, $F$8, IF(B414&lt;$G$9, $F$9, IF(B414&lt;$G$10, $F$10, $F$11)))))))))</f>
        <v>0.5</v>
      </c>
      <c r="D414">
        <f t="shared" si="6"/>
        <v>5</v>
      </c>
    </row>
    <row r="415" spans="1:4" x14ac:dyDescent="0.55000000000000004">
      <c r="A415">
        <v>414</v>
      </c>
      <c r="B415">
        <v>24.383745240700001</v>
      </c>
      <c r="C415">
        <f>IF(B415&lt;$G$2, $F$2, IF(B415&lt;$G$3, $F$3, IF(B415&lt;$G$4, $F$4, IF(B415&lt;$G$5, $F$5, IF(B415&lt;$G$6, $F$6, IF(B415&lt;$G$7, $F$7, IF(B415&lt;$G$8, $F$8, IF(B415&lt;$G$9, $F$9, IF(B415&lt;$G$10, $F$10, $F$11)))))))))</f>
        <v>0.5</v>
      </c>
      <c r="D415">
        <f t="shared" si="6"/>
        <v>5</v>
      </c>
    </row>
    <row r="416" spans="1:4" x14ac:dyDescent="0.55000000000000004">
      <c r="A416">
        <v>415</v>
      </c>
      <c r="B416">
        <v>0.74975522188499999</v>
      </c>
      <c r="C416">
        <f>IF(B416&lt;$G$2, $F$2, IF(B416&lt;$G$3, $F$3, IF(B416&lt;$G$4, $F$4, IF(B416&lt;$G$5, $F$5, IF(B416&lt;$G$6, $F$6, IF(B416&lt;$G$7, $F$7, IF(B416&lt;$G$8, $F$8, IF(B416&lt;$G$9, $F$9, IF(B416&lt;$G$10, $F$10, $F$11)))))))))</f>
        <v>0.1</v>
      </c>
      <c r="D416">
        <f t="shared" si="6"/>
        <v>1</v>
      </c>
    </row>
    <row r="417" spans="1:4" x14ac:dyDescent="0.55000000000000004">
      <c r="A417">
        <v>416</v>
      </c>
      <c r="B417">
        <v>5.8103701123200002</v>
      </c>
      <c r="C417">
        <f>IF(B417&lt;$G$2, $F$2, IF(B417&lt;$G$3, $F$3, IF(B417&lt;$G$4, $F$4, IF(B417&lt;$G$5, $F$5, IF(B417&lt;$G$6, $F$6, IF(B417&lt;$G$7, $F$7, IF(B417&lt;$G$8, $F$8, IF(B417&lt;$G$9, $F$9, IF(B417&lt;$G$10, $F$10, $F$11)))))))))</f>
        <v>0.3</v>
      </c>
      <c r="D417">
        <f t="shared" si="6"/>
        <v>3</v>
      </c>
    </row>
    <row r="418" spans="1:4" x14ac:dyDescent="0.55000000000000004">
      <c r="A418">
        <v>417</v>
      </c>
      <c r="B418">
        <v>21.844386834200002</v>
      </c>
      <c r="C418">
        <f>IF(B418&lt;$G$2, $F$2, IF(B418&lt;$G$3, $F$3, IF(B418&lt;$G$4, $F$4, IF(B418&lt;$G$5, $F$5, IF(B418&lt;$G$6, $F$6, IF(B418&lt;$G$7, $F$7, IF(B418&lt;$G$8, $F$8, IF(B418&lt;$G$9, $F$9, IF(B418&lt;$G$10, $F$10, $F$11)))))))))</f>
        <v>0.5</v>
      </c>
      <c r="D418">
        <f t="shared" si="6"/>
        <v>5</v>
      </c>
    </row>
    <row r="419" spans="1:4" x14ac:dyDescent="0.55000000000000004">
      <c r="A419">
        <v>418</v>
      </c>
      <c r="B419">
        <v>0.51006517804200002</v>
      </c>
      <c r="C419">
        <f>IF(B419&lt;$G$2, $F$2, IF(B419&lt;$G$3, $F$3, IF(B419&lt;$G$4, $F$4, IF(B419&lt;$G$5, $F$5, IF(B419&lt;$G$6, $F$6, IF(B419&lt;$G$7, $F$7, IF(B419&lt;$G$8, $F$8, IF(B419&lt;$G$9, $F$9, IF(B419&lt;$G$10, $F$10, $F$11)))))))))</f>
        <v>0.1</v>
      </c>
      <c r="D419">
        <f t="shared" si="6"/>
        <v>1</v>
      </c>
    </row>
    <row r="420" spans="1:4" x14ac:dyDescent="0.55000000000000004">
      <c r="A420">
        <v>419</v>
      </c>
      <c r="B420">
        <v>0.507298804002</v>
      </c>
      <c r="C420">
        <f>IF(B420&lt;$G$2, $F$2, IF(B420&lt;$G$3, $F$3, IF(B420&lt;$G$4, $F$4, IF(B420&lt;$G$5, $F$5, IF(B420&lt;$G$6, $F$6, IF(B420&lt;$G$7, $F$7, IF(B420&lt;$G$8, $F$8, IF(B420&lt;$G$9, $F$9, IF(B420&lt;$G$10, $F$10, $F$11)))))))))</f>
        <v>0.1</v>
      </c>
      <c r="D420">
        <f t="shared" si="6"/>
        <v>1</v>
      </c>
    </row>
    <row r="421" spans="1:4" x14ac:dyDescent="0.55000000000000004">
      <c r="A421">
        <v>420</v>
      </c>
      <c r="B421">
        <v>7.1458081449100002</v>
      </c>
      <c r="C421">
        <f>IF(B421&lt;$G$2, $F$2, IF(B421&lt;$G$3, $F$3, IF(B421&lt;$G$4, $F$4, IF(B421&lt;$G$5, $F$5, IF(B421&lt;$G$6, $F$6, IF(B421&lt;$G$7, $F$7, IF(B421&lt;$G$8, $F$8, IF(B421&lt;$G$9, $F$9, IF(B421&lt;$G$10, $F$10, $F$11)))))))))</f>
        <v>0.3</v>
      </c>
      <c r="D421">
        <f t="shared" si="6"/>
        <v>3</v>
      </c>
    </row>
    <row r="422" spans="1:4" x14ac:dyDescent="0.55000000000000004">
      <c r="A422">
        <v>421</v>
      </c>
      <c r="B422">
        <v>0.39204976115200002</v>
      </c>
      <c r="C422">
        <f>IF(B422&lt;$G$2, $F$2, IF(B422&lt;$G$3, $F$3, IF(B422&lt;$G$4, $F$4, IF(B422&lt;$G$5, $F$5, IF(B422&lt;$G$6, $F$6, IF(B422&lt;$G$7, $F$7, IF(B422&lt;$G$8, $F$8, IF(B422&lt;$G$9, $F$9, IF(B422&lt;$G$10, $F$10, $F$11)))))))))</f>
        <v>0.1</v>
      </c>
      <c r="D422">
        <f t="shared" si="6"/>
        <v>1</v>
      </c>
    </row>
    <row r="423" spans="1:4" x14ac:dyDescent="0.55000000000000004">
      <c r="A423">
        <v>422</v>
      </c>
      <c r="B423">
        <v>2.38020720438</v>
      </c>
      <c r="C423">
        <f>IF(B423&lt;$G$2, $F$2, IF(B423&lt;$G$3, $F$3, IF(B423&lt;$G$4, $F$4, IF(B423&lt;$G$5, $F$5, IF(B423&lt;$G$6, $F$6, IF(B423&lt;$G$7, $F$7, IF(B423&lt;$G$8, $F$8, IF(B423&lt;$G$9, $F$9, IF(B423&lt;$G$10, $F$10, $F$11)))))))))</f>
        <v>0.1</v>
      </c>
      <c r="D423">
        <f t="shared" si="6"/>
        <v>1</v>
      </c>
    </row>
    <row r="424" spans="1:4" x14ac:dyDescent="0.55000000000000004">
      <c r="A424">
        <v>423</v>
      </c>
      <c r="B424">
        <v>28.5979293591</v>
      </c>
      <c r="C424">
        <f>IF(B424&lt;$G$2, $F$2, IF(B424&lt;$G$3, $F$3, IF(B424&lt;$G$4, $F$4, IF(B424&lt;$G$5, $F$5, IF(B424&lt;$G$6, $F$6, IF(B424&lt;$G$7, $F$7, IF(B424&lt;$G$8, $F$8, IF(B424&lt;$G$9, $F$9, IF(B424&lt;$G$10, $F$10, $F$11)))))))))</f>
        <v>0.6</v>
      </c>
      <c r="D424">
        <f t="shared" si="6"/>
        <v>6</v>
      </c>
    </row>
    <row r="425" spans="1:4" x14ac:dyDescent="0.55000000000000004">
      <c r="A425">
        <v>424</v>
      </c>
      <c r="B425">
        <v>0.64049228972200001</v>
      </c>
      <c r="C425">
        <f>IF(B425&lt;$G$2, $F$2, IF(B425&lt;$G$3, $F$3, IF(B425&lt;$G$4, $F$4, IF(B425&lt;$G$5, $F$5, IF(B425&lt;$G$6, $F$6, IF(B425&lt;$G$7, $F$7, IF(B425&lt;$G$8, $F$8, IF(B425&lt;$G$9, $F$9, IF(B425&lt;$G$10, $F$10, $F$11)))))))))</f>
        <v>0.1</v>
      </c>
      <c r="D425">
        <f t="shared" si="6"/>
        <v>1</v>
      </c>
    </row>
    <row r="426" spans="1:4" x14ac:dyDescent="0.55000000000000004">
      <c r="A426">
        <v>425</v>
      </c>
      <c r="B426">
        <v>13.5160906465</v>
      </c>
      <c r="C426">
        <f>IF(B426&lt;$G$2, $F$2, IF(B426&lt;$G$3, $F$3, IF(B426&lt;$G$4, $F$4, IF(B426&lt;$G$5, $F$5, IF(B426&lt;$G$6, $F$6, IF(B426&lt;$G$7, $F$7, IF(B426&lt;$G$8, $F$8, IF(B426&lt;$G$9, $F$9, IF(B426&lt;$G$10, $F$10, $F$11)))))))))</f>
        <v>0.4</v>
      </c>
      <c r="D426">
        <f t="shared" si="6"/>
        <v>4</v>
      </c>
    </row>
    <row r="427" spans="1:4" x14ac:dyDescent="0.55000000000000004">
      <c r="A427">
        <v>426</v>
      </c>
      <c r="B427">
        <v>2.2404939270900002</v>
      </c>
      <c r="C427">
        <f>IF(B427&lt;$G$2, $F$2, IF(B427&lt;$G$3, $F$3, IF(B427&lt;$G$4, $F$4, IF(B427&lt;$G$5, $F$5, IF(B427&lt;$G$6, $F$6, IF(B427&lt;$G$7, $F$7, IF(B427&lt;$G$8, $F$8, IF(B427&lt;$G$9, $F$9, IF(B427&lt;$G$10, $F$10, $F$11)))))))))</f>
        <v>0.1</v>
      </c>
      <c r="D427">
        <f t="shared" si="6"/>
        <v>1</v>
      </c>
    </row>
    <row r="428" spans="1:4" x14ac:dyDescent="0.55000000000000004">
      <c r="A428">
        <v>427</v>
      </c>
      <c r="B428">
        <v>50.4735470225</v>
      </c>
      <c r="C428">
        <f>IF(B428&lt;$G$2, $F$2, IF(B428&lt;$G$3, $F$3, IF(B428&lt;$G$4, $F$4, IF(B428&lt;$G$5, $F$5, IF(B428&lt;$G$6, $F$6, IF(B428&lt;$G$7, $F$7, IF(B428&lt;$G$8, $F$8, IF(B428&lt;$G$9, $F$9, IF(B428&lt;$G$10, $F$10, $F$11)))))))))</f>
        <v>0.7</v>
      </c>
      <c r="D428">
        <f t="shared" si="6"/>
        <v>7</v>
      </c>
    </row>
    <row r="429" spans="1:4" x14ac:dyDescent="0.55000000000000004">
      <c r="A429">
        <v>428</v>
      </c>
      <c r="B429">
        <v>378.35508985000001</v>
      </c>
      <c r="C429">
        <f>IF(B429&lt;$G$2, $F$2, IF(B429&lt;$G$3, $F$3, IF(B429&lt;$G$4, $F$4, IF(B429&lt;$G$5, $F$5, IF(B429&lt;$G$6, $F$6, IF(B429&lt;$G$7, $F$7, IF(B429&lt;$G$8, $F$8, IF(B429&lt;$G$9, $F$9, IF(B429&lt;$G$10, $F$10, $F$11)))))))))</f>
        <v>1</v>
      </c>
      <c r="D429">
        <f t="shared" si="6"/>
        <v>10</v>
      </c>
    </row>
    <row r="430" spans="1:4" x14ac:dyDescent="0.55000000000000004">
      <c r="A430">
        <v>429</v>
      </c>
      <c r="B430">
        <v>7.6946588081799998</v>
      </c>
      <c r="C430">
        <f>IF(B430&lt;$G$2, $F$2, IF(B430&lt;$G$3, $F$3, IF(B430&lt;$G$4, $F$4, IF(B430&lt;$G$5, $F$5, IF(B430&lt;$G$6, $F$6, IF(B430&lt;$G$7, $F$7, IF(B430&lt;$G$8, $F$8, IF(B430&lt;$G$9, $F$9, IF(B430&lt;$G$10, $F$10, $F$11)))))))))</f>
        <v>0.3</v>
      </c>
      <c r="D430">
        <f t="shared" si="6"/>
        <v>3</v>
      </c>
    </row>
    <row r="431" spans="1:4" x14ac:dyDescent="0.55000000000000004">
      <c r="A431">
        <v>430</v>
      </c>
      <c r="B431">
        <v>14.2750726243</v>
      </c>
      <c r="C431">
        <f>IF(B431&lt;$G$2, $F$2, IF(B431&lt;$G$3, $F$3, IF(B431&lt;$G$4, $F$4, IF(B431&lt;$G$5, $F$5, IF(B431&lt;$G$6, $F$6, IF(B431&lt;$G$7, $F$7, IF(B431&lt;$G$8, $F$8, IF(B431&lt;$G$9, $F$9, IF(B431&lt;$G$10, $F$10, $F$11)))))))))</f>
        <v>0.4</v>
      </c>
      <c r="D431">
        <f t="shared" si="6"/>
        <v>4</v>
      </c>
    </row>
    <row r="432" spans="1:4" x14ac:dyDescent="0.55000000000000004">
      <c r="A432">
        <v>431</v>
      </c>
      <c r="B432">
        <v>6492.0890235799998</v>
      </c>
      <c r="C432">
        <f>IF(B432&lt;$G$2, $F$2, IF(B432&lt;$G$3, $F$3, IF(B432&lt;$G$4, $F$4, IF(B432&lt;$G$5, $F$5, IF(B432&lt;$G$6, $F$6, IF(B432&lt;$G$7, $F$7, IF(B432&lt;$G$8, $F$8, IF(B432&lt;$G$9, $F$9, IF(B432&lt;$G$10, $F$10, $F$11)))))))))</f>
        <v>1</v>
      </c>
      <c r="D432">
        <f t="shared" si="6"/>
        <v>10</v>
      </c>
    </row>
    <row r="433" spans="1:4" x14ac:dyDescent="0.55000000000000004">
      <c r="A433">
        <v>432</v>
      </c>
      <c r="B433">
        <v>214.03191041700001</v>
      </c>
      <c r="C433">
        <f>IF(B433&lt;$G$2, $F$2, IF(B433&lt;$G$3, $F$3, IF(B433&lt;$G$4, $F$4, IF(B433&lt;$G$5, $F$5, IF(B433&lt;$G$6, $F$6, IF(B433&lt;$G$7, $F$7, IF(B433&lt;$G$8, $F$8, IF(B433&lt;$G$9, $F$9, IF(B433&lt;$G$10, $F$10, $F$11)))))))))</f>
        <v>0.9</v>
      </c>
      <c r="D433">
        <f t="shared" si="6"/>
        <v>9</v>
      </c>
    </row>
    <row r="434" spans="1:4" x14ac:dyDescent="0.55000000000000004">
      <c r="A434">
        <v>433</v>
      </c>
      <c r="B434">
        <v>21.581386866300001</v>
      </c>
      <c r="C434">
        <f>IF(B434&lt;$G$2, $F$2, IF(B434&lt;$G$3, $F$3, IF(B434&lt;$G$4, $F$4, IF(B434&lt;$G$5, $F$5, IF(B434&lt;$G$6, $F$6, IF(B434&lt;$G$7, $F$7, IF(B434&lt;$G$8, $F$8, IF(B434&lt;$G$9, $F$9, IF(B434&lt;$G$10, $F$10, $F$11)))))))))</f>
        <v>0.5</v>
      </c>
      <c r="D434">
        <f t="shared" si="6"/>
        <v>5</v>
      </c>
    </row>
    <row r="435" spans="1:4" x14ac:dyDescent="0.55000000000000004">
      <c r="A435">
        <v>434</v>
      </c>
      <c r="B435">
        <v>64.849421370100004</v>
      </c>
      <c r="C435">
        <f>IF(B435&lt;$G$2, $F$2, IF(B435&lt;$G$3, $F$3, IF(B435&lt;$G$4, $F$4, IF(B435&lt;$G$5, $F$5, IF(B435&lt;$G$6, $F$6, IF(B435&lt;$G$7, $F$7, IF(B435&lt;$G$8, $F$8, IF(B435&lt;$G$9, $F$9, IF(B435&lt;$G$10, $F$10, $F$11)))))))))</f>
        <v>0.8</v>
      </c>
      <c r="D435">
        <f t="shared" si="6"/>
        <v>8</v>
      </c>
    </row>
    <row r="436" spans="1:4" x14ac:dyDescent="0.55000000000000004">
      <c r="A436">
        <v>435</v>
      </c>
      <c r="B436">
        <v>5.9796682741899997E-2</v>
      </c>
      <c r="C436">
        <f>IF(B436&lt;$G$2, $F$2, IF(B436&lt;$G$3, $F$3, IF(B436&lt;$G$4, $F$4, IF(B436&lt;$G$5, $F$5, IF(B436&lt;$G$6, $F$6, IF(B436&lt;$G$7, $F$7, IF(B436&lt;$G$8, $F$8, IF(B436&lt;$G$9, $F$9, IF(B436&lt;$G$10, $F$10, $F$11)))))))))</f>
        <v>0.1</v>
      </c>
      <c r="D436">
        <f t="shared" si="6"/>
        <v>1</v>
      </c>
    </row>
    <row r="437" spans="1:4" x14ac:dyDescent="0.55000000000000004">
      <c r="A437">
        <v>436</v>
      </c>
      <c r="B437">
        <v>1.0742646962</v>
      </c>
      <c r="C437">
        <f>IF(B437&lt;$G$2, $F$2, IF(B437&lt;$G$3, $F$3, IF(B437&lt;$G$4, $F$4, IF(B437&lt;$G$5, $F$5, IF(B437&lt;$G$6, $F$6, IF(B437&lt;$G$7, $F$7, IF(B437&lt;$G$8, $F$8, IF(B437&lt;$G$9, $F$9, IF(B437&lt;$G$10, $F$10, $F$11)))))))))</f>
        <v>0.1</v>
      </c>
      <c r="D437">
        <f t="shared" si="6"/>
        <v>1</v>
      </c>
    </row>
    <row r="438" spans="1:4" x14ac:dyDescent="0.55000000000000004">
      <c r="A438">
        <v>437</v>
      </c>
      <c r="B438">
        <v>260.27342826</v>
      </c>
      <c r="C438">
        <f>IF(B438&lt;$G$2, $F$2, IF(B438&lt;$G$3, $F$3, IF(B438&lt;$G$4, $F$4, IF(B438&lt;$G$5, $F$5, IF(B438&lt;$G$6, $F$6, IF(B438&lt;$G$7, $F$7, IF(B438&lt;$G$8, $F$8, IF(B438&lt;$G$9, $F$9, IF(B438&lt;$G$10, $F$10, $F$11)))))))))</f>
        <v>0.9</v>
      </c>
      <c r="D438">
        <f t="shared" si="6"/>
        <v>9</v>
      </c>
    </row>
    <row r="439" spans="1:4" x14ac:dyDescent="0.55000000000000004">
      <c r="A439">
        <v>438</v>
      </c>
      <c r="B439">
        <v>22.956676130999998</v>
      </c>
      <c r="C439">
        <f>IF(B439&lt;$G$2, $F$2, IF(B439&lt;$G$3, $F$3, IF(B439&lt;$G$4, $F$4, IF(B439&lt;$G$5, $F$5, IF(B439&lt;$G$6, $F$6, IF(B439&lt;$G$7, $F$7, IF(B439&lt;$G$8, $F$8, IF(B439&lt;$G$9, $F$9, IF(B439&lt;$G$10, $F$10, $F$11)))))))))</f>
        <v>0.5</v>
      </c>
      <c r="D439">
        <f t="shared" si="6"/>
        <v>5</v>
      </c>
    </row>
    <row r="440" spans="1:4" x14ac:dyDescent="0.55000000000000004">
      <c r="A440">
        <v>439</v>
      </c>
      <c r="B440">
        <v>4.0821617267999999</v>
      </c>
      <c r="C440">
        <f>IF(B440&lt;$G$2, $F$2, IF(B440&lt;$G$3, $F$3, IF(B440&lt;$G$4, $F$4, IF(B440&lt;$G$5, $F$5, IF(B440&lt;$G$6, $F$6, IF(B440&lt;$G$7, $F$7, IF(B440&lt;$G$8, $F$8, IF(B440&lt;$G$9, $F$9, IF(B440&lt;$G$10, $F$10, $F$11)))))))))</f>
        <v>0.2</v>
      </c>
      <c r="D440">
        <f t="shared" si="6"/>
        <v>2</v>
      </c>
    </row>
    <row r="441" spans="1:4" x14ac:dyDescent="0.55000000000000004">
      <c r="A441">
        <v>440</v>
      </c>
      <c r="B441">
        <v>39.613518468700001</v>
      </c>
      <c r="C441">
        <f>IF(B441&lt;$G$2, $F$2, IF(B441&lt;$G$3, $F$3, IF(B441&lt;$G$4, $F$4, IF(B441&lt;$G$5, $F$5, IF(B441&lt;$G$6, $F$6, IF(B441&lt;$G$7, $F$7, IF(B441&lt;$G$8, $F$8, IF(B441&lt;$G$9, $F$9, IF(B441&lt;$G$10, $F$10, $F$11)))))))))</f>
        <v>0.6</v>
      </c>
      <c r="D441">
        <f t="shared" si="6"/>
        <v>6</v>
      </c>
    </row>
    <row r="442" spans="1:4" x14ac:dyDescent="0.55000000000000004">
      <c r="A442">
        <v>441</v>
      </c>
      <c r="B442">
        <v>245.96794821399999</v>
      </c>
      <c r="C442">
        <f>IF(B442&lt;$G$2, $F$2, IF(B442&lt;$G$3, $F$3, IF(B442&lt;$G$4, $F$4, IF(B442&lt;$G$5, $F$5, IF(B442&lt;$G$6, $F$6, IF(B442&lt;$G$7, $F$7, IF(B442&lt;$G$8, $F$8, IF(B442&lt;$G$9, $F$9, IF(B442&lt;$G$10, $F$10, $F$11)))))))))</f>
        <v>0.9</v>
      </c>
      <c r="D442">
        <f t="shared" si="6"/>
        <v>9</v>
      </c>
    </row>
    <row r="443" spans="1:4" x14ac:dyDescent="0.55000000000000004">
      <c r="A443">
        <v>442</v>
      </c>
      <c r="B443">
        <v>66.412890280400006</v>
      </c>
      <c r="C443">
        <f>IF(B443&lt;$G$2, $F$2, IF(B443&lt;$G$3, $F$3, IF(B443&lt;$G$4, $F$4, IF(B443&lt;$G$5, $F$5, IF(B443&lt;$G$6, $F$6, IF(B443&lt;$G$7, $F$7, IF(B443&lt;$G$8, $F$8, IF(B443&lt;$G$9, $F$9, IF(B443&lt;$G$10, $F$10, $F$11)))))))))</f>
        <v>0.8</v>
      </c>
      <c r="D443">
        <f t="shared" si="6"/>
        <v>8</v>
      </c>
    </row>
    <row r="444" spans="1:4" x14ac:dyDescent="0.55000000000000004">
      <c r="A444">
        <v>443</v>
      </c>
      <c r="B444">
        <v>26.386400399399999</v>
      </c>
      <c r="C444">
        <f>IF(B444&lt;$G$2, $F$2, IF(B444&lt;$G$3, $F$3, IF(B444&lt;$G$4, $F$4, IF(B444&lt;$G$5, $F$5, IF(B444&lt;$G$6, $F$6, IF(B444&lt;$G$7, $F$7, IF(B444&lt;$G$8, $F$8, IF(B444&lt;$G$9, $F$9, IF(B444&lt;$G$10, $F$10, $F$11)))))))))</f>
        <v>0.6</v>
      </c>
      <c r="D444">
        <f t="shared" si="6"/>
        <v>6</v>
      </c>
    </row>
    <row r="445" spans="1:4" x14ac:dyDescent="0.55000000000000004">
      <c r="A445">
        <v>444</v>
      </c>
      <c r="B445">
        <v>23.520587992799999</v>
      </c>
      <c r="C445">
        <f>IF(B445&lt;$G$2, $F$2, IF(B445&lt;$G$3, $F$3, IF(B445&lt;$G$4, $F$4, IF(B445&lt;$G$5, $F$5, IF(B445&lt;$G$6, $F$6, IF(B445&lt;$G$7, $F$7, IF(B445&lt;$G$8, $F$8, IF(B445&lt;$G$9, $F$9, IF(B445&lt;$G$10, $F$10, $F$11)))))))))</f>
        <v>0.5</v>
      </c>
      <c r="D445">
        <f t="shared" si="6"/>
        <v>5</v>
      </c>
    </row>
    <row r="446" spans="1:4" x14ac:dyDescent="0.55000000000000004">
      <c r="A446">
        <v>445</v>
      </c>
      <c r="B446">
        <v>23.8216902964</v>
      </c>
      <c r="C446">
        <f>IF(B446&lt;$G$2, $F$2, IF(B446&lt;$G$3, $F$3, IF(B446&lt;$G$4, $F$4, IF(B446&lt;$G$5, $F$5, IF(B446&lt;$G$6, $F$6, IF(B446&lt;$G$7, $F$7, IF(B446&lt;$G$8, $F$8, IF(B446&lt;$G$9, $F$9, IF(B446&lt;$G$10, $F$10, $F$11)))))))))</f>
        <v>0.5</v>
      </c>
      <c r="D446">
        <f t="shared" si="6"/>
        <v>5</v>
      </c>
    </row>
    <row r="447" spans="1:4" x14ac:dyDescent="0.55000000000000004">
      <c r="A447">
        <v>1000</v>
      </c>
      <c r="B447">
        <v>85.2037198268157</v>
      </c>
      <c r="C447">
        <f>IF(B447&lt;$G$2, $F$2, IF(B447&lt;$G$3, $F$3, IF(B447&lt;$G$4, $F$4, IF(B447&lt;$G$5, $F$5, IF(B447&lt;$G$6, $F$6, IF(B447&lt;$G$7, $F$7, IF(B447&lt;$G$8, $F$8, IF(B447&lt;$G$9, $F$9, IF(B447&lt;$G$10, $F$10, $F$11)))))))))</f>
        <v>0.8</v>
      </c>
      <c r="D447">
        <f t="shared" si="6"/>
        <v>8</v>
      </c>
    </row>
    <row r="448" spans="1:4" x14ac:dyDescent="0.55000000000000004">
      <c r="A448">
        <v>1001</v>
      </c>
      <c r="B448">
        <v>969.90215024488498</v>
      </c>
      <c r="C448">
        <f>IF(B448&lt;$G$2, $F$2, IF(B448&lt;$G$3, $F$3, IF(B448&lt;$G$4, $F$4, IF(B448&lt;$G$5, $F$5, IF(B448&lt;$G$6, $F$6, IF(B448&lt;$G$7, $F$7, IF(B448&lt;$G$8, $F$8, IF(B448&lt;$G$9, $F$9, IF(B448&lt;$G$10, $F$10, $F$11)))))))))</f>
        <v>1</v>
      </c>
      <c r="D448">
        <f t="shared" si="6"/>
        <v>10</v>
      </c>
    </row>
    <row r="449" spans="1:4" x14ac:dyDescent="0.55000000000000004">
      <c r="A449">
        <v>1002</v>
      </c>
      <c r="B449">
        <v>677.28970655742899</v>
      </c>
      <c r="C449">
        <f>IF(B449&lt;$G$2, $F$2, IF(B449&lt;$G$3, $F$3, IF(B449&lt;$G$4, $F$4, IF(B449&lt;$G$5, $F$5, IF(B449&lt;$G$6, $F$6, IF(B449&lt;$G$7, $F$7, IF(B449&lt;$G$8, $F$8, IF(B449&lt;$G$9, $F$9, IF(B449&lt;$G$10, $F$10, $F$11)))))))))</f>
        <v>1</v>
      </c>
      <c r="D449">
        <f t="shared" si="6"/>
        <v>10</v>
      </c>
    </row>
    <row r="450" spans="1:4" x14ac:dyDescent="0.55000000000000004">
      <c r="A450">
        <v>1003</v>
      </c>
      <c r="B450">
        <v>6421.18900572037</v>
      </c>
      <c r="C450">
        <f>IF(B450&lt;$G$2, $F$2, IF(B450&lt;$G$3, $F$3, IF(B450&lt;$G$4, $F$4, IF(B450&lt;$G$5, $F$5, IF(B450&lt;$G$6, $F$6, IF(B450&lt;$G$7, $F$7, IF(B450&lt;$G$8, $F$8, IF(B450&lt;$G$9, $F$9, IF(B450&lt;$G$10, $F$10, $F$11)))))))))</f>
        <v>1</v>
      </c>
      <c r="D450">
        <f t="shared" si="6"/>
        <v>10</v>
      </c>
    </row>
    <row r="451" spans="1:4" x14ac:dyDescent="0.55000000000000004">
      <c r="A451">
        <v>1004</v>
      </c>
      <c r="B451">
        <v>3.0871987665327398</v>
      </c>
      <c r="C451">
        <f>IF(B451&lt;$G$2, $F$2, IF(B451&lt;$G$3, $F$3, IF(B451&lt;$G$4, $F$4, IF(B451&lt;$G$5, $F$5, IF(B451&lt;$G$6, $F$6, IF(B451&lt;$G$7, $F$7, IF(B451&lt;$G$8, $F$8, IF(B451&lt;$G$9, $F$9, IF(B451&lt;$G$10, $F$10, $F$11)))))))))</f>
        <v>0.2</v>
      </c>
      <c r="D451">
        <f t="shared" ref="D451:D514" si="7">C451*10</f>
        <v>2</v>
      </c>
    </row>
    <row r="452" spans="1:4" x14ac:dyDescent="0.55000000000000004">
      <c r="A452">
        <v>1005</v>
      </c>
      <c r="B452">
        <v>45.201333125382703</v>
      </c>
      <c r="C452">
        <f>IF(B452&lt;$G$2, $F$2, IF(B452&lt;$G$3, $F$3, IF(B452&lt;$G$4, $F$4, IF(B452&lt;$G$5, $F$5, IF(B452&lt;$G$6, $F$6, IF(B452&lt;$G$7, $F$7, IF(B452&lt;$G$8, $F$8, IF(B452&lt;$G$9, $F$9, IF(B452&lt;$G$10, $F$10, $F$11)))))))))</f>
        <v>0.7</v>
      </c>
      <c r="D452">
        <f t="shared" si="7"/>
        <v>7</v>
      </c>
    </row>
    <row r="453" spans="1:4" x14ac:dyDescent="0.55000000000000004">
      <c r="A453">
        <v>1006</v>
      </c>
      <c r="B453">
        <v>64.183516050124894</v>
      </c>
      <c r="C453">
        <f>IF(B453&lt;$G$2, $F$2, IF(B453&lt;$G$3, $F$3, IF(B453&lt;$G$4, $F$4, IF(B453&lt;$G$5, $F$5, IF(B453&lt;$G$6, $F$6, IF(B453&lt;$G$7, $F$7, IF(B453&lt;$G$8, $F$8, IF(B453&lt;$G$9, $F$9, IF(B453&lt;$G$10, $F$10, $F$11)))))))))</f>
        <v>0.8</v>
      </c>
      <c r="D453">
        <f t="shared" si="7"/>
        <v>8</v>
      </c>
    </row>
    <row r="454" spans="1:4" x14ac:dyDescent="0.55000000000000004">
      <c r="A454">
        <v>1007</v>
      </c>
      <c r="B454">
        <v>79.474321288185493</v>
      </c>
      <c r="C454">
        <f>IF(B454&lt;$G$2, $F$2, IF(B454&lt;$G$3, $F$3, IF(B454&lt;$G$4, $F$4, IF(B454&lt;$G$5, $F$5, IF(B454&lt;$G$6, $F$6, IF(B454&lt;$G$7, $F$7, IF(B454&lt;$G$8, $F$8, IF(B454&lt;$G$9, $F$9, IF(B454&lt;$G$10, $F$10, $F$11)))))))))</f>
        <v>0.8</v>
      </c>
      <c r="D454">
        <f t="shared" si="7"/>
        <v>8</v>
      </c>
    </row>
    <row r="455" spans="1:4" x14ac:dyDescent="0.55000000000000004">
      <c r="A455">
        <v>1008</v>
      </c>
      <c r="B455">
        <v>4.5673242869816102</v>
      </c>
      <c r="C455">
        <f>IF(B455&lt;$G$2, $F$2, IF(B455&lt;$G$3, $F$3, IF(B455&lt;$G$4, $F$4, IF(B455&lt;$G$5, $F$5, IF(B455&lt;$G$6, $F$6, IF(B455&lt;$G$7, $F$7, IF(B455&lt;$G$8, $F$8, IF(B455&lt;$G$9, $F$9, IF(B455&lt;$G$10, $F$10, $F$11)))))))))</f>
        <v>0.2</v>
      </c>
      <c r="D455">
        <f t="shared" si="7"/>
        <v>2</v>
      </c>
    </row>
    <row r="456" spans="1:4" x14ac:dyDescent="0.55000000000000004">
      <c r="A456">
        <v>1009</v>
      </c>
      <c r="B456">
        <v>65.939214183987801</v>
      </c>
      <c r="C456">
        <f>IF(B456&lt;$G$2, $F$2, IF(B456&lt;$G$3, $F$3, IF(B456&lt;$G$4, $F$4, IF(B456&lt;$G$5, $F$5, IF(B456&lt;$G$6, $F$6, IF(B456&lt;$G$7, $F$7, IF(B456&lt;$G$8, $F$8, IF(B456&lt;$G$9, $F$9, IF(B456&lt;$G$10, $F$10, $F$11)))))))))</f>
        <v>0.8</v>
      </c>
      <c r="D456">
        <f t="shared" si="7"/>
        <v>8</v>
      </c>
    </row>
    <row r="457" spans="1:4" x14ac:dyDescent="0.55000000000000004">
      <c r="A457">
        <v>1010</v>
      </c>
      <c r="B457">
        <v>52.040574377452103</v>
      </c>
      <c r="C457">
        <f>IF(B457&lt;$G$2, $F$2, IF(B457&lt;$G$3, $F$3, IF(B457&lt;$G$4, $F$4, IF(B457&lt;$G$5, $F$5, IF(B457&lt;$G$6, $F$6, IF(B457&lt;$G$7, $F$7, IF(B457&lt;$G$8, $F$8, IF(B457&lt;$G$9, $F$9, IF(B457&lt;$G$10, $F$10, $F$11)))))))))</f>
        <v>0.7</v>
      </c>
      <c r="D457">
        <f t="shared" si="7"/>
        <v>7</v>
      </c>
    </row>
    <row r="458" spans="1:4" x14ac:dyDescent="0.55000000000000004">
      <c r="A458">
        <v>1011</v>
      </c>
      <c r="B458">
        <v>22.942200012502401</v>
      </c>
      <c r="C458">
        <f>IF(B458&lt;$G$2, $F$2, IF(B458&lt;$G$3, $F$3, IF(B458&lt;$G$4, $F$4, IF(B458&lt;$G$5, $F$5, IF(B458&lt;$G$6, $F$6, IF(B458&lt;$G$7, $F$7, IF(B458&lt;$G$8, $F$8, IF(B458&lt;$G$9, $F$9, IF(B458&lt;$G$10, $F$10, $F$11)))))))))</f>
        <v>0.5</v>
      </c>
      <c r="D458">
        <f t="shared" si="7"/>
        <v>5</v>
      </c>
    </row>
    <row r="459" spans="1:4" x14ac:dyDescent="0.55000000000000004">
      <c r="A459">
        <v>1012</v>
      </c>
      <c r="B459">
        <v>6.0634959956987</v>
      </c>
      <c r="C459">
        <f>IF(B459&lt;$G$2, $F$2, IF(B459&lt;$G$3, $F$3, IF(B459&lt;$G$4, $F$4, IF(B459&lt;$G$5, $F$5, IF(B459&lt;$G$6, $F$6, IF(B459&lt;$G$7, $F$7, IF(B459&lt;$G$8, $F$8, IF(B459&lt;$G$9, $F$9, IF(B459&lt;$G$10, $F$10, $F$11)))))))))</f>
        <v>0.3</v>
      </c>
      <c r="D459">
        <f t="shared" si="7"/>
        <v>3</v>
      </c>
    </row>
    <row r="460" spans="1:4" x14ac:dyDescent="0.55000000000000004">
      <c r="A460">
        <v>1013</v>
      </c>
      <c r="B460">
        <v>214.49322972741399</v>
      </c>
      <c r="C460">
        <f>IF(B460&lt;$G$2, $F$2, IF(B460&lt;$G$3, $F$3, IF(B460&lt;$G$4, $F$4, IF(B460&lt;$G$5, $F$5, IF(B460&lt;$G$6, $F$6, IF(B460&lt;$G$7, $F$7, IF(B460&lt;$G$8, $F$8, IF(B460&lt;$G$9, $F$9, IF(B460&lt;$G$10, $F$10, $F$11)))))))))</f>
        <v>0.9</v>
      </c>
      <c r="D460">
        <f t="shared" si="7"/>
        <v>9</v>
      </c>
    </row>
    <row r="461" spans="1:4" x14ac:dyDescent="0.55000000000000004">
      <c r="A461">
        <v>1014</v>
      </c>
      <c r="B461">
        <v>105.56243517172101</v>
      </c>
      <c r="C461">
        <f>IF(B461&lt;$G$2, $F$2, IF(B461&lt;$G$3, $F$3, IF(B461&lt;$G$4, $F$4, IF(B461&lt;$G$5, $F$5, IF(B461&lt;$G$6, $F$6, IF(B461&lt;$G$7, $F$7, IF(B461&lt;$G$8, $F$8, IF(B461&lt;$G$9, $F$9, IF(B461&lt;$G$10, $F$10, $F$11)))))))))</f>
        <v>0.8</v>
      </c>
      <c r="D461">
        <f t="shared" si="7"/>
        <v>8</v>
      </c>
    </row>
    <row r="462" spans="1:4" x14ac:dyDescent="0.55000000000000004">
      <c r="A462">
        <v>1015</v>
      </c>
      <c r="B462">
        <v>45.841403246429998</v>
      </c>
      <c r="C462">
        <f>IF(B462&lt;$G$2, $F$2, IF(B462&lt;$G$3, $F$3, IF(B462&lt;$G$4, $F$4, IF(B462&lt;$G$5, $F$5, IF(B462&lt;$G$6, $F$6, IF(B462&lt;$G$7, $F$7, IF(B462&lt;$G$8, $F$8, IF(B462&lt;$G$9, $F$9, IF(B462&lt;$G$10, $F$10, $F$11)))))))))</f>
        <v>0.7</v>
      </c>
      <c r="D462">
        <f t="shared" si="7"/>
        <v>7</v>
      </c>
    </row>
    <row r="463" spans="1:4" x14ac:dyDescent="0.55000000000000004">
      <c r="A463">
        <v>1016</v>
      </c>
      <c r="B463">
        <v>62.9033137757283</v>
      </c>
      <c r="C463">
        <f>IF(B463&lt;$G$2, $F$2, IF(B463&lt;$G$3, $F$3, IF(B463&lt;$G$4, $F$4, IF(B463&lt;$G$5, $F$5, IF(B463&lt;$G$6, $F$6, IF(B463&lt;$G$7, $F$7, IF(B463&lt;$G$8, $F$8, IF(B463&lt;$G$9, $F$9, IF(B463&lt;$G$10, $F$10, $F$11)))))))))</f>
        <v>0.7</v>
      </c>
      <c r="D463">
        <f t="shared" si="7"/>
        <v>7</v>
      </c>
    </row>
    <row r="464" spans="1:4" x14ac:dyDescent="0.55000000000000004">
      <c r="A464">
        <v>1017</v>
      </c>
      <c r="B464">
        <v>6685.5261265137997</v>
      </c>
      <c r="C464">
        <f>IF(B464&lt;$G$2, $F$2, IF(B464&lt;$G$3, $F$3, IF(B464&lt;$G$4, $F$4, IF(B464&lt;$G$5, $F$5, IF(B464&lt;$G$6, $F$6, IF(B464&lt;$G$7, $F$7, IF(B464&lt;$G$8, $F$8, IF(B464&lt;$G$9, $F$9, IF(B464&lt;$G$10, $F$10, $F$11)))))))))</f>
        <v>1</v>
      </c>
      <c r="D464">
        <f t="shared" si="7"/>
        <v>10</v>
      </c>
    </row>
    <row r="465" spans="1:4" x14ac:dyDescent="0.55000000000000004">
      <c r="A465">
        <v>1018</v>
      </c>
      <c r="B465">
        <v>8553.8724760265795</v>
      </c>
      <c r="C465">
        <f>IF(B465&lt;$G$2, $F$2, IF(B465&lt;$G$3, $F$3, IF(B465&lt;$G$4, $F$4, IF(B465&lt;$G$5, $F$5, IF(B465&lt;$G$6, $F$6, IF(B465&lt;$G$7, $F$7, IF(B465&lt;$G$8, $F$8, IF(B465&lt;$G$9, $F$9, IF(B465&lt;$G$10, $F$10, $F$11)))))))))</f>
        <v>1</v>
      </c>
      <c r="D465">
        <f t="shared" si="7"/>
        <v>10</v>
      </c>
    </row>
    <row r="466" spans="1:4" x14ac:dyDescent="0.55000000000000004">
      <c r="A466">
        <v>1019</v>
      </c>
      <c r="B466">
        <v>909.99482929419798</v>
      </c>
      <c r="C466">
        <f>IF(B466&lt;$G$2, $F$2, IF(B466&lt;$G$3, $F$3, IF(B466&lt;$G$4, $F$4, IF(B466&lt;$G$5, $F$5, IF(B466&lt;$G$6, $F$6, IF(B466&lt;$G$7, $F$7, IF(B466&lt;$G$8, $F$8, IF(B466&lt;$G$9, $F$9, IF(B466&lt;$G$10, $F$10, $F$11)))))))))</f>
        <v>1</v>
      </c>
      <c r="D466">
        <f t="shared" si="7"/>
        <v>10</v>
      </c>
    </row>
    <row r="467" spans="1:4" x14ac:dyDescent="0.55000000000000004">
      <c r="A467">
        <v>1020</v>
      </c>
      <c r="B467">
        <v>5.3414893767019498</v>
      </c>
      <c r="C467">
        <f>IF(B467&lt;$G$2, $F$2, IF(B467&lt;$G$3, $F$3, IF(B467&lt;$G$4, $F$4, IF(B467&lt;$G$5, $F$5, IF(B467&lt;$G$6, $F$6, IF(B467&lt;$G$7, $F$7, IF(B467&lt;$G$8, $F$8, IF(B467&lt;$G$9, $F$9, IF(B467&lt;$G$10, $F$10, $F$11)))))))))</f>
        <v>0.2</v>
      </c>
      <c r="D467">
        <f t="shared" si="7"/>
        <v>2</v>
      </c>
    </row>
    <row r="468" spans="1:4" x14ac:dyDescent="0.55000000000000004">
      <c r="A468">
        <v>1021</v>
      </c>
      <c r="B468">
        <v>19.775198995757702</v>
      </c>
      <c r="C468">
        <f>IF(B468&lt;$G$2, $F$2, IF(B468&lt;$G$3, $F$3, IF(B468&lt;$G$4, $F$4, IF(B468&lt;$G$5, $F$5, IF(B468&lt;$G$6, $F$6, IF(B468&lt;$G$7, $F$7, IF(B468&lt;$G$8, $F$8, IF(B468&lt;$G$9, $F$9, IF(B468&lt;$G$10, $F$10, $F$11)))))))))</f>
        <v>0.5</v>
      </c>
      <c r="D468">
        <f t="shared" si="7"/>
        <v>5</v>
      </c>
    </row>
    <row r="469" spans="1:4" x14ac:dyDescent="0.55000000000000004">
      <c r="A469">
        <v>1022</v>
      </c>
      <c r="B469">
        <v>337.735950394383</v>
      </c>
      <c r="C469">
        <f>IF(B469&lt;$G$2, $F$2, IF(B469&lt;$G$3, $F$3, IF(B469&lt;$G$4, $F$4, IF(B469&lt;$G$5, $F$5, IF(B469&lt;$G$6, $F$6, IF(B469&lt;$G$7, $F$7, IF(B469&lt;$G$8, $F$8, IF(B469&lt;$G$9, $F$9, IF(B469&lt;$G$10, $F$10, $F$11)))))))))</f>
        <v>0.9</v>
      </c>
      <c r="D469">
        <f t="shared" si="7"/>
        <v>9</v>
      </c>
    </row>
    <row r="470" spans="1:4" x14ac:dyDescent="0.55000000000000004">
      <c r="A470">
        <v>1023</v>
      </c>
      <c r="B470">
        <v>38.8551643971008</v>
      </c>
      <c r="C470">
        <f>IF(B470&lt;$G$2, $F$2, IF(B470&lt;$G$3, $F$3, IF(B470&lt;$G$4, $F$4, IF(B470&lt;$G$5, $F$5, IF(B470&lt;$G$6, $F$6, IF(B470&lt;$G$7, $F$7, IF(B470&lt;$G$8, $F$8, IF(B470&lt;$G$9, $F$9, IF(B470&lt;$G$10, $F$10, $F$11)))))))))</f>
        <v>0.6</v>
      </c>
      <c r="D470">
        <f t="shared" si="7"/>
        <v>6</v>
      </c>
    </row>
    <row r="471" spans="1:4" x14ac:dyDescent="0.55000000000000004">
      <c r="A471">
        <v>1024</v>
      </c>
      <c r="B471">
        <v>653.74493090779504</v>
      </c>
      <c r="C471">
        <f>IF(B471&lt;$G$2, $F$2, IF(B471&lt;$G$3, $F$3, IF(B471&lt;$G$4, $F$4, IF(B471&lt;$G$5, $F$5, IF(B471&lt;$G$6, $F$6, IF(B471&lt;$G$7, $F$7, IF(B471&lt;$G$8, $F$8, IF(B471&lt;$G$9, $F$9, IF(B471&lt;$G$10, $F$10, $F$11)))))))))</f>
        <v>1</v>
      </c>
      <c r="D471">
        <f t="shared" si="7"/>
        <v>10</v>
      </c>
    </row>
    <row r="472" spans="1:4" x14ac:dyDescent="0.55000000000000004">
      <c r="A472">
        <v>1025</v>
      </c>
      <c r="B472">
        <v>17144.661482228999</v>
      </c>
      <c r="C472">
        <f>IF(B472&lt;$G$2, $F$2, IF(B472&lt;$G$3, $F$3, IF(B472&lt;$G$4, $F$4, IF(B472&lt;$G$5, $F$5, IF(B472&lt;$G$6, $F$6, IF(B472&lt;$G$7, $F$7, IF(B472&lt;$G$8, $F$8, IF(B472&lt;$G$9, $F$9, IF(B472&lt;$G$10, $F$10, $F$11)))))))))</f>
        <v>1</v>
      </c>
      <c r="D472">
        <f t="shared" si="7"/>
        <v>10</v>
      </c>
    </row>
    <row r="473" spans="1:4" x14ac:dyDescent="0.55000000000000004">
      <c r="A473">
        <v>1026</v>
      </c>
      <c r="B473">
        <v>105.300687717123</v>
      </c>
      <c r="C473">
        <f>IF(B473&lt;$G$2, $F$2, IF(B473&lt;$G$3, $F$3, IF(B473&lt;$G$4, $F$4, IF(B473&lt;$G$5, $F$5, IF(B473&lt;$G$6, $F$6, IF(B473&lt;$G$7, $F$7, IF(B473&lt;$G$8, $F$8, IF(B473&lt;$G$9, $F$9, IF(B473&lt;$G$10, $F$10, $F$11)))))))))</f>
        <v>0.8</v>
      </c>
      <c r="D473">
        <f t="shared" si="7"/>
        <v>8</v>
      </c>
    </row>
    <row r="474" spans="1:4" x14ac:dyDescent="0.55000000000000004">
      <c r="A474">
        <v>1027</v>
      </c>
      <c r="B474">
        <v>30.530112074053999</v>
      </c>
      <c r="C474">
        <f>IF(B474&lt;$G$2, $F$2, IF(B474&lt;$G$3, $F$3, IF(B474&lt;$G$4, $F$4, IF(B474&lt;$G$5, $F$5, IF(B474&lt;$G$6, $F$6, IF(B474&lt;$G$7, $F$7, IF(B474&lt;$G$8, $F$8, IF(B474&lt;$G$9, $F$9, IF(B474&lt;$G$10, $F$10, $F$11)))))))))</f>
        <v>0.6</v>
      </c>
      <c r="D474">
        <f t="shared" si="7"/>
        <v>6</v>
      </c>
    </row>
    <row r="475" spans="1:4" x14ac:dyDescent="0.55000000000000004">
      <c r="A475">
        <v>1028</v>
      </c>
      <c r="B475">
        <v>25.848498900303699</v>
      </c>
      <c r="C475">
        <f>IF(B475&lt;$G$2, $F$2, IF(B475&lt;$G$3, $F$3, IF(B475&lt;$G$4, $F$4, IF(B475&lt;$G$5, $F$5, IF(B475&lt;$G$6, $F$6, IF(B475&lt;$G$7, $F$7, IF(B475&lt;$G$8, $F$8, IF(B475&lt;$G$9, $F$9, IF(B475&lt;$G$10, $F$10, $F$11)))))))))</f>
        <v>0.6</v>
      </c>
      <c r="D475">
        <f t="shared" si="7"/>
        <v>6</v>
      </c>
    </row>
    <row r="476" spans="1:4" x14ac:dyDescent="0.55000000000000004">
      <c r="A476">
        <v>1029</v>
      </c>
      <c r="B476">
        <v>7.7534043196153597</v>
      </c>
      <c r="C476">
        <f>IF(B476&lt;$G$2, $F$2, IF(B476&lt;$G$3, $F$3, IF(B476&lt;$G$4, $F$4, IF(B476&lt;$G$5, $F$5, IF(B476&lt;$G$6, $F$6, IF(B476&lt;$G$7, $F$7, IF(B476&lt;$G$8, $F$8, IF(B476&lt;$G$9, $F$9, IF(B476&lt;$G$10, $F$10, $F$11)))))))))</f>
        <v>0.3</v>
      </c>
      <c r="D476">
        <f t="shared" si="7"/>
        <v>3</v>
      </c>
    </row>
    <row r="477" spans="1:4" x14ac:dyDescent="0.55000000000000004">
      <c r="A477">
        <v>1030</v>
      </c>
      <c r="B477">
        <v>5.0887019041954797</v>
      </c>
      <c r="C477">
        <f>IF(B477&lt;$G$2, $F$2, IF(B477&lt;$G$3, $F$3, IF(B477&lt;$G$4, $F$4, IF(B477&lt;$G$5, $F$5, IF(B477&lt;$G$6, $F$6, IF(B477&lt;$G$7, $F$7, IF(B477&lt;$G$8, $F$8, IF(B477&lt;$G$9, $F$9, IF(B477&lt;$G$10, $F$10, $F$11)))))))))</f>
        <v>0.2</v>
      </c>
      <c r="D477">
        <f t="shared" si="7"/>
        <v>2</v>
      </c>
    </row>
    <row r="478" spans="1:4" x14ac:dyDescent="0.55000000000000004">
      <c r="A478">
        <v>1031</v>
      </c>
      <c r="B478">
        <v>18.5976075068229</v>
      </c>
      <c r="C478">
        <f>IF(B478&lt;$G$2, $F$2, IF(B478&lt;$G$3, $F$3, IF(B478&lt;$G$4, $F$4, IF(B478&lt;$G$5, $F$5, IF(B478&lt;$G$6, $F$6, IF(B478&lt;$G$7, $F$7, IF(B478&lt;$G$8, $F$8, IF(B478&lt;$G$9, $F$9, IF(B478&lt;$G$10, $F$10, $F$11)))))))))</f>
        <v>0.5</v>
      </c>
      <c r="D478">
        <f t="shared" si="7"/>
        <v>5</v>
      </c>
    </row>
    <row r="479" spans="1:4" x14ac:dyDescent="0.55000000000000004">
      <c r="A479">
        <v>1032</v>
      </c>
      <c r="B479">
        <v>4.0975637726278302</v>
      </c>
      <c r="C479">
        <f>IF(B479&lt;$G$2, $F$2, IF(B479&lt;$G$3, $F$3, IF(B479&lt;$G$4, $F$4, IF(B479&lt;$G$5, $F$5, IF(B479&lt;$G$6, $F$6, IF(B479&lt;$G$7, $F$7, IF(B479&lt;$G$8, $F$8, IF(B479&lt;$G$9, $F$9, IF(B479&lt;$G$10, $F$10, $F$11)))))))))</f>
        <v>0.2</v>
      </c>
      <c r="D479">
        <f t="shared" si="7"/>
        <v>2</v>
      </c>
    </row>
    <row r="480" spans="1:4" x14ac:dyDescent="0.55000000000000004">
      <c r="A480">
        <v>1033</v>
      </c>
      <c r="B480">
        <v>15.5447740199174</v>
      </c>
      <c r="C480">
        <f>IF(B480&lt;$G$2, $F$2, IF(B480&lt;$G$3, $F$3, IF(B480&lt;$G$4, $F$4, IF(B480&lt;$G$5, $F$5, IF(B480&lt;$G$6, $F$6, IF(B480&lt;$G$7, $F$7, IF(B480&lt;$G$8, $F$8, IF(B480&lt;$G$9, $F$9, IF(B480&lt;$G$10, $F$10, $F$11)))))))))</f>
        <v>0.4</v>
      </c>
      <c r="D480">
        <f t="shared" si="7"/>
        <v>4</v>
      </c>
    </row>
    <row r="481" spans="1:4" x14ac:dyDescent="0.55000000000000004">
      <c r="A481">
        <v>1034</v>
      </c>
      <c r="B481">
        <v>9954.2641290342799</v>
      </c>
      <c r="C481">
        <f>IF(B481&lt;$G$2, $F$2, IF(B481&lt;$G$3, $F$3, IF(B481&lt;$G$4, $F$4, IF(B481&lt;$G$5, $F$5, IF(B481&lt;$G$6, $F$6, IF(B481&lt;$G$7, $F$7, IF(B481&lt;$G$8, $F$8, IF(B481&lt;$G$9, $F$9, IF(B481&lt;$G$10, $F$10, $F$11)))))))))</f>
        <v>1</v>
      </c>
      <c r="D481">
        <f t="shared" si="7"/>
        <v>10</v>
      </c>
    </row>
    <row r="482" spans="1:4" x14ac:dyDescent="0.55000000000000004">
      <c r="A482">
        <v>1035</v>
      </c>
      <c r="B482">
        <v>111.46358812793601</v>
      </c>
      <c r="C482">
        <f>IF(B482&lt;$G$2, $F$2, IF(B482&lt;$G$3, $F$3, IF(B482&lt;$G$4, $F$4, IF(B482&lt;$G$5, $F$5, IF(B482&lt;$G$6, $F$6, IF(B482&lt;$G$7, $F$7, IF(B482&lt;$G$8, $F$8, IF(B482&lt;$G$9, $F$9, IF(B482&lt;$G$10, $F$10, $F$11)))))))))</f>
        <v>0.8</v>
      </c>
      <c r="D482">
        <f t="shared" si="7"/>
        <v>8</v>
      </c>
    </row>
    <row r="483" spans="1:4" x14ac:dyDescent="0.55000000000000004">
      <c r="A483">
        <v>1036</v>
      </c>
      <c r="B483">
        <v>367.83413204635298</v>
      </c>
      <c r="C483">
        <f>IF(B483&lt;$G$2, $F$2, IF(B483&lt;$G$3, $F$3, IF(B483&lt;$G$4, $F$4, IF(B483&lt;$G$5, $F$5, IF(B483&lt;$G$6, $F$6, IF(B483&lt;$G$7, $F$7, IF(B483&lt;$G$8, $F$8, IF(B483&lt;$G$9, $F$9, IF(B483&lt;$G$10, $F$10, $F$11)))))))))</f>
        <v>1</v>
      </c>
      <c r="D483">
        <f t="shared" si="7"/>
        <v>10</v>
      </c>
    </row>
    <row r="484" spans="1:4" x14ac:dyDescent="0.55000000000000004">
      <c r="A484">
        <v>1037</v>
      </c>
      <c r="B484">
        <v>9.2969848127967598</v>
      </c>
      <c r="C484">
        <f>IF(B484&lt;$G$2, $F$2, IF(B484&lt;$G$3, $F$3, IF(B484&lt;$G$4, $F$4, IF(B484&lt;$G$5, $F$5, IF(B484&lt;$G$6, $F$6, IF(B484&lt;$G$7, $F$7, IF(B484&lt;$G$8, $F$8, IF(B484&lt;$G$9, $F$9, IF(B484&lt;$G$10, $F$10, $F$11)))))))))</f>
        <v>0.3</v>
      </c>
      <c r="D484">
        <f t="shared" si="7"/>
        <v>3</v>
      </c>
    </row>
    <row r="485" spans="1:4" x14ac:dyDescent="0.55000000000000004">
      <c r="A485">
        <v>1038</v>
      </c>
      <c r="B485">
        <v>8.1713783344796607</v>
      </c>
      <c r="C485">
        <f>IF(B485&lt;$G$2, $F$2, IF(B485&lt;$G$3, $F$3, IF(B485&lt;$G$4, $F$4, IF(B485&lt;$G$5, $F$5, IF(B485&lt;$G$6, $F$6, IF(B485&lt;$G$7, $F$7, IF(B485&lt;$G$8, $F$8, IF(B485&lt;$G$9, $F$9, IF(B485&lt;$G$10, $F$10, $F$11)))))))))</f>
        <v>0.3</v>
      </c>
      <c r="D485">
        <f t="shared" si="7"/>
        <v>3</v>
      </c>
    </row>
    <row r="486" spans="1:4" x14ac:dyDescent="0.55000000000000004">
      <c r="A486">
        <v>1039</v>
      </c>
      <c r="B486">
        <v>31.590641026762601</v>
      </c>
      <c r="C486">
        <f>IF(B486&lt;$G$2, $F$2, IF(B486&lt;$G$3, $F$3, IF(B486&lt;$G$4, $F$4, IF(B486&lt;$G$5, $F$5, IF(B486&lt;$G$6, $F$6, IF(B486&lt;$G$7, $F$7, IF(B486&lt;$G$8, $F$8, IF(B486&lt;$G$9, $F$9, IF(B486&lt;$G$10, $F$10, $F$11)))))))))</f>
        <v>0.6</v>
      </c>
      <c r="D486">
        <f t="shared" si="7"/>
        <v>6</v>
      </c>
    </row>
    <row r="487" spans="1:4" x14ac:dyDescent="0.55000000000000004">
      <c r="A487">
        <v>1040</v>
      </c>
      <c r="B487">
        <v>81.794001586520906</v>
      </c>
      <c r="C487">
        <f>IF(B487&lt;$G$2, $F$2, IF(B487&lt;$G$3, $F$3, IF(B487&lt;$G$4, $F$4, IF(B487&lt;$G$5, $F$5, IF(B487&lt;$G$6, $F$6, IF(B487&lt;$G$7, $F$7, IF(B487&lt;$G$8, $F$8, IF(B487&lt;$G$9, $F$9, IF(B487&lt;$G$10, $F$10, $F$11)))))))))</f>
        <v>0.8</v>
      </c>
      <c r="D487">
        <f t="shared" si="7"/>
        <v>8</v>
      </c>
    </row>
    <row r="488" spans="1:4" x14ac:dyDescent="0.55000000000000004">
      <c r="A488">
        <v>1041</v>
      </c>
      <c r="B488">
        <v>22.986028516200701</v>
      </c>
      <c r="C488">
        <f>IF(B488&lt;$G$2, $F$2, IF(B488&lt;$G$3, $F$3, IF(B488&lt;$G$4, $F$4, IF(B488&lt;$G$5, $F$5, IF(B488&lt;$G$6, $F$6, IF(B488&lt;$G$7, $F$7, IF(B488&lt;$G$8, $F$8, IF(B488&lt;$G$9, $F$9, IF(B488&lt;$G$10, $F$10, $F$11)))))))))</f>
        <v>0.5</v>
      </c>
      <c r="D488">
        <f t="shared" si="7"/>
        <v>5</v>
      </c>
    </row>
    <row r="489" spans="1:4" x14ac:dyDescent="0.55000000000000004">
      <c r="A489">
        <v>1042</v>
      </c>
      <c r="B489">
        <v>156.638364921115</v>
      </c>
      <c r="C489">
        <f>IF(B489&lt;$G$2, $F$2, IF(B489&lt;$G$3, $F$3, IF(B489&lt;$G$4, $F$4, IF(B489&lt;$G$5, $F$5, IF(B489&lt;$G$6, $F$6, IF(B489&lt;$G$7, $F$7, IF(B489&lt;$G$8, $F$8, IF(B489&lt;$G$9, $F$9, IF(B489&lt;$G$10, $F$10, $F$11)))))))))</f>
        <v>0.9</v>
      </c>
      <c r="D489">
        <f t="shared" si="7"/>
        <v>9</v>
      </c>
    </row>
    <row r="490" spans="1:4" x14ac:dyDescent="0.55000000000000004">
      <c r="A490">
        <v>1043</v>
      </c>
      <c r="B490">
        <v>9438.1213622274008</v>
      </c>
      <c r="C490">
        <f>IF(B490&lt;$G$2, $F$2, IF(B490&lt;$G$3, $F$3, IF(B490&lt;$G$4, $F$4, IF(B490&lt;$G$5, $F$5, IF(B490&lt;$G$6, $F$6, IF(B490&lt;$G$7, $F$7, IF(B490&lt;$G$8, $F$8, IF(B490&lt;$G$9, $F$9, IF(B490&lt;$G$10, $F$10, $F$11)))))))))</f>
        <v>1</v>
      </c>
      <c r="D490">
        <f t="shared" si="7"/>
        <v>10</v>
      </c>
    </row>
    <row r="491" spans="1:4" x14ac:dyDescent="0.55000000000000004">
      <c r="A491">
        <v>1044</v>
      </c>
      <c r="B491">
        <v>664.78132512534296</v>
      </c>
      <c r="C491">
        <f>IF(B491&lt;$G$2, $F$2, IF(B491&lt;$G$3, $F$3, IF(B491&lt;$G$4, $F$4, IF(B491&lt;$G$5, $F$5, IF(B491&lt;$G$6, $F$6, IF(B491&lt;$G$7, $F$7, IF(B491&lt;$G$8, $F$8, IF(B491&lt;$G$9, $F$9, IF(B491&lt;$G$10, $F$10, $F$11)))))))))</f>
        <v>1</v>
      </c>
      <c r="D491">
        <f t="shared" si="7"/>
        <v>10</v>
      </c>
    </row>
    <row r="492" spans="1:4" x14ac:dyDescent="0.55000000000000004">
      <c r="A492">
        <v>1045</v>
      </c>
      <c r="B492">
        <v>84.276091034376705</v>
      </c>
      <c r="C492">
        <f>IF(B492&lt;$G$2, $F$2, IF(B492&lt;$G$3, $F$3, IF(B492&lt;$G$4, $F$4, IF(B492&lt;$G$5, $F$5, IF(B492&lt;$G$6, $F$6, IF(B492&lt;$G$7, $F$7, IF(B492&lt;$G$8, $F$8, IF(B492&lt;$G$9, $F$9, IF(B492&lt;$G$10, $F$10, $F$11)))))))))</f>
        <v>0.8</v>
      </c>
      <c r="D492">
        <f t="shared" si="7"/>
        <v>8</v>
      </c>
    </row>
    <row r="493" spans="1:4" x14ac:dyDescent="0.55000000000000004">
      <c r="A493">
        <v>1046</v>
      </c>
      <c r="B493">
        <v>358.85237096413101</v>
      </c>
      <c r="C493">
        <f>IF(B493&lt;$G$2, $F$2, IF(B493&lt;$G$3, $F$3, IF(B493&lt;$G$4, $F$4, IF(B493&lt;$G$5, $F$5, IF(B493&lt;$G$6, $F$6, IF(B493&lt;$G$7, $F$7, IF(B493&lt;$G$8, $F$8, IF(B493&lt;$G$9, $F$9, IF(B493&lt;$G$10, $F$10, $F$11)))))))))</f>
        <v>1</v>
      </c>
      <c r="D493">
        <f t="shared" si="7"/>
        <v>10</v>
      </c>
    </row>
    <row r="494" spans="1:4" x14ac:dyDescent="0.55000000000000004">
      <c r="A494">
        <v>1047</v>
      </c>
      <c r="B494">
        <v>58.106203468317098</v>
      </c>
      <c r="C494">
        <f>IF(B494&lt;$G$2, $F$2, IF(B494&lt;$G$3, $F$3, IF(B494&lt;$G$4, $F$4, IF(B494&lt;$G$5, $F$5, IF(B494&lt;$G$6, $F$6, IF(B494&lt;$G$7, $F$7, IF(B494&lt;$G$8, $F$8, IF(B494&lt;$G$9, $F$9, IF(B494&lt;$G$10, $F$10, $F$11)))))))))</f>
        <v>0.7</v>
      </c>
      <c r="D494">
        <f t="shared" si="7"/>
        <v>7</v>
      </c>
    </row>
    <row r="495" spans="1:4" x14ac:dyDescent="0.55000000000000004">
      <c r="A495">
        <v>1048</v>
      </c>
      <c r="B495">
        <v>183.523626393933</v>
      </c>
      <c r="C495">
        <f>IF(B495&lt;$G$2, $F$2, IF(B495&lt;$G$3, $F$3, IF(B495&lt;$G$4, $F$4, IF(B495&lt;$G$5, $F$5, IF(B495&lt;$G$6, $F$6, IF(B495&lt;$G$7, $F$7, IF(B495&lt;$G$8, $F$8, IF(B495&lt;$G$9, $F$9, IF(B495&lt;$G$10, $F$10, $F$11)))))))))</f>
        <v>0.9</v>
      </c>
      <c r="D495">
        <f t="shared" si="7"/>
        <v>9</v>
      </c>
    </row>
    <row r="496" spans="1:4" x14ac:dyDescent="0.55000000000000004">
      <c r="A496">
        <v>1049</v>
      </c>
      <c r="B496">
        <v>16.015482852677099</v>
      </c>
      <c r="C496">
        <f>IF(B496&lt;$G$2, $F$2, IF(B496&lt;$G$3, $F$3, IF(B496&lt;$G$4, $F$4, IF(B496&lt;$G$5, $F$5, IF(B496&lt;$G$6, $F$6, IF(B496&lt;$G$7, $F$7, IF(B496&lt;$G$8, $F$8, IF(B496&lt;$G$9, $F$9, IF(B496&lt;$G$10, $F$10, $F$11)))))))))</f>
        <v>0.4</v>
      </c>
      <c r="D496">
        <f t="shared" si="7"/>
        <v>4</v>
      </c>
    </row>
    <row r="497" spans="1:4" x14ac:dyDescent="0.55000000000000004">
      <c r="A497">
        <v>1050</v>
      </c>
      <c r="B497">
        <v>385.01679349690801</v>
      </c>
      <c r="C497">
        <f>IF(B497&lt;$G$2, $F$2, IF(B497&lt;$G$3, $F$3, IF(B497&lt;$G$4, $F$4, IF(B497&lt;$G$5, $F$5, IF(B497&lt;$G$6, $F$6, IF(B497&lt;$G$7, $F$7, IF(B497&lt;$G$8, $F$8, IF(B497&lt;$G$9, $F$9, IF(B497&lt;$G$10, $F$10, $F$11)))))))))</f>
        <v>1</v>
      </c>
      <c r="D497">
        <f t="shared" si="7"/>
        <v>10</v>
      </c>
    </row>
    <row r="498" spans="1:4" x14ac:dyDescent="0.55000000000000004">
      <c r="A498">
        <v>1051</v>
      </c>
      <c r="B498">
        <v>18.127261437250301</v>
      </c>
      <c r="C498">
        <f>IF(B498&lt;$G$2, $F$2, IF(B498&lt;$G$3, $F$3, IF(B498&lt;$G$4, $F$4, IF(B498&lt;$G$5, $F$5, IF(B498&lt;$G$6, $F$6, IF(B498&lt;$G$7, $F$7, IF(B498&lt;$G$8, $F$8, IF(B498&lt;$G$9, $F$9, IF(B498&lt;$G$10, $F$10, $F$11)))))))))</f>
        <v>0.5</v>
      </c>
      <c r="D498">
        <f t="shared" si="7"/>
        <v>5</v>
      </c>
    </row>
    <row r="499" spans="1:4" x14ac:dyDescent="0.55000000000000004">
      <c r="A499">
        <v>1052</v>
      </c>
      <c r="B499">
        <v>27.7327976890911</v>
      </c>
      <c r="C499">
        <f>IF(B499&lt;$G$2, $F$2, IF(B499&lt;$G$3, $F$3, IF(B499&lt;$G$4, $F$4, IF(B499&lt;$G$5, $F$5, IF(B499&lt;$G$6, $F$6, IF(B499&lt;$G$7, $F$7, IF(B499&lt;$G$8, $F$8, IF(B499&lt;$G$9, $F$9, IF(B499&lt;$G$10, $F$10, $F$11)))))))))</f>
        <v>0.6</v>
      </c>
      <c r="D499">
        <f t="shared" si="7"/>
        <v>6</v>
      </c>
    </row>
    <row r="500" spans="1:4" x14ac:dyDescent="0.55000000000000004">
      <c r="A500">
        <v>1053</v>
      </c>
      <c r="B500">
        <v>70.806957710797207</v>
      </c>
      <c r="C500">
        <f>IF(B500&lt;$G$2, $F$2, IF(B500&lt;$G$3, $F$3, IF(B500&lt;$G$4, $F$4, IF(B500&lt;$G$5, $F$5, IF(B500&lt;$G$6, $F$6, IF(B500&lt;$G$7, $F$7, IF(B500&lt;$G$8, $F$8, IF(B500&lt;$G$9, $F$9, IF(B500&lt;$G$10, $F$10, $F$11)))))))))</f>
        <v>0.8</v>
      </c>
      <c r="D500">
        <f t="shared" si="7"/>
        <v>8</v>
      </c>
    </row>
    <row r="501" spans="1:4" x14ac:dyDescent="0.55000000000000004">
      <c r="A501">
        <v>1054</v>
      </c>
      <c r="B501">
        <v>18.373788490609002</v>
      </c>
      <c r="C501">
        <f>IF(B501&lt;$G$2, $F$2, IF(B501&lt;$G$3, $F$3, IF(B501&lt;$G$4, $F$4, IF(B501&lt;$G$5, $F$5, IF(B501&lt;$G$6, $F$6, IF(B501&lt;$G$7, $F$7, IF(B501&lt;$G$8, $F$8, IF(B501&lt;$G$9, $F$9, IF(B501&lt;$G$10, $F$10, $F$11)))))))))</f>
        <v>0.5</v>
      </c>
      <c r="D501">
        <f t="shared" si="7"/>
        <v>5</v>
      </c>
    </row>
    <row r="502" spans="1:4" x14ac:dyDescent="0.55000000000000004">
      <c r="A502">
        <v>1055</v>
      </c>
      <c r="B502">
        <v>20.829077534651699</v>
      </c>
      <c r="C502">
        <f>IF(B502&lt;$G$2, $F$2, IF(B502&lt;$G$3, $F$3, IF(B502&lt;$G$4, $F$4, IF(B502&lt;$G$5, $F$5, IF(B502&lt;$G$6, $F$6, IF(B502&lt;$G$7, $F$7, IF(B502&lt;$G$8, $F$8, IF(B502&lt;$G$9, $F$9, IF(B502&lt;$G$10, $F$10, $F$11)))))))))</f>
        <v>0.5</v>
      </c>
      <c r="D502">
        <f t="shared" si="7"/>
        <v>5</v>
      </c>
    </row>
    <row r="503" spans="1:4" x14ac:dyDescent="0.55000000000000004">
      <c r="A503">
        <v>1056</v>
      </c>
      <c r="B503">
        <v>22.445189073590701</v>
      </c>
      <c r="C503">
        <f>IF(B503&lt;$G$2, $F$2, IF(B503&lt;$G$3, $F$3, IF(B503&lt;$G$4, $F$4, IF(B503&lt;$G$5, $F$5, IF(B503&lt;$G$6, $F$6, IF(B503&lt;$G$7, $F$7, IF(B503&lt;$G$8, $F$8, IF(B503&lt;$G$9, $F$9, IF(B503&lt;$G$10, $F$10, $F$11)))))))))</f>
        <v>0.5</v>
      </c>
      <c r="D503">
        <f t="shared" si="7"/>
        <v>5</v>
      </c>
    </row>
    <row r="504" spans="1:4" x14ac:dyDescent="0.55000000000000004">
      <c r="A504">
        <v>1057</v>
      </c>
      <c r="B504">
        <v>69.284841636560202</v>
      </c>
      <c r="C504">
        <f>IF(B504&lt;$G$2, $F$2, IF(B504&lt;$G$3, $F$3, IF(B504&lt;$G$4, $F$4, IF(B504&lt;$G$5, $F$5, IF(B504&lt;$G$6, $F$6, IF(B504&lt;$G$7, $F$7, IF(B504&lt;$G$8, $F$8, IF(B504&lt;$G$9, $F$9, IF(B504&lt;$G$10, $F$10, $F$11)))))))))</f>
        <v>0.8</v>
      </c>
      <c r="D504">
        <f t="shared" si="7"/>
        <v>8</v>
      </c>
    </row>
    <row r="505" spans="1:4" x14ac:dyDescent="0.55000000000000004">
      <c r="A505">
        <v>1058</v>
      </c>
      <c r="B505">
        <v>26.8187279648062</v>
      </c>
      <c r="C505">
        <f>IF(B505&lt;$G$2, $F$2, IF(B505&lt;$G$3, $F$3, IF(B505&lt;$G$4, $F$4, IF(B505&lt;$G$5, $F$5, IF(B505&lt;$G$6, $F$6, IF(B505&lt;$G$7, $F$7, IF(B505&lt;$G$8, $F$8, IF(B505&lt;$G$9, $F$9, IF(B505&lt;$G$10, $F$10, $F$11)))))))))</f>
        <v>0.6</v>
      </c>
      <c r="D505">
        <f t="shared" si="7"/>
        <v>6</v>
      </c>
    </row>
    <row r="506" spans="1:4" x14ac:dyDescent="0.55000000000000004">
      <c r="A506">
        <v>1059</v>
      </c>
      <c r="B506">
        <v>106.775395688806</v>
      </c>
      <c r="C506">
        <f>IF(B506&lt;$G$2, $F$2, IF(B506&lt;$G$3, $F$3, IF(B506&lt;$G$4, $F$4, IF(B506&lt;$G$5, $F$5, IF(B506&lt;$G$6, $F$6, IF(B506&lt;$G$7, $F$7, IF(B506&lt;$G$8, $F$8, IF(B506&lt;$G$9, $F$9, IF(B506&lt;$G$10, $F$10, $F$11)))))))))</f>
        <v>0.8</v>
      </c>
      <c r="D506">
        <f t="shared" si="7"/>
        <v>8</v>
      </c>
    </row>
    <row r="507" spans="1:4" x14ac:dyDescent="0.55000000000000004">
      <c r="A507">
        <v>1060</v>
      </c>
      <c r="B507">
        <v>58.8823368494539</v>
      </c>
      <c r="C507">
        <f>IF(B507&lt;$G$2, $F$2, IF(B507&lt;$G$3, $F$3, IF(B507&lt;$G$4, $F$4, IF(B507&lt;$G$5, $F$5, IF(B507&lt;$G$6, $F$6, IF(B507&lt;$G$7, $F$7, IF(B507&lt;$G$8, $F$8, IF(B507&lt;$G$9, $F$9, IF(B507&lt;$G$10, $F$10, $F$11)))))))))</f>
        <v>0.7</v>
      </c>
      <c r="D507">
        <f t="shared" si="7"/>
        <v>7</v>
      </c>
    </row>
    <row r="508" spans="1:4" x14ac:dyDescent="0.55000000000000004">
      <c r="A508">
        <v>1061</v>
      </c>
      <c r="B508">
        <v>30.235265071776301</v>
      </c>
      <c r="C508">
        <f>IF(B508&lt;$G$2, $F$2, IF(B508&lt;$G$3, $F$3, IF(B508&lt;$G$4, $F$4, IF(B508&lt;$G$5, $F$5, IF(B508&lt;$G$6, $F$6, IF(B508&lt;$G$7, $F$7, IF(B508&lt;$G$8, $F$8, IF(B508&lt;$G$9, $F$9, IF(B508&lt;$G$10, $F$10, $F$11)))))))))</f>
        <v>0.6</v>
      </c>
      <c r="D508">
        <f t="shared" si="7"/>
        <v>6</v>
      </c>
    </row>
    <row r="509" spans="1:4" x14ac:dyDescent="0.55000000000000004">
      <c r="A509">
        <v>1062</v>
      </c>
      <c r="B509">
        <v>41.752479646553901</v>
      </c>
      <c r="C509">
        <f>IF(B509&lt;$G$2, $F$2, IF(B509&lt;$G$3, $F$3, IF(B509&lt;$G$4, $F$4, IF(B509&lt;$G$5, $F$5, IF(B509&lt;$G$6, $F$6, IF(B509&lt;$G$7, $F$7, IF(B509&lt;$G$8, $F$8, IF(B509&lt;$G$9, $F$9, IF(B509&lt;$G$10, $F$10, $F$11)))))))))</f>
        <v>0.7</v>
      </c>
      <c r="D509">
        <f t="shared" si="7"/>
        <v>7</v>
      </c>
    </row>
    <row r="510" spans="1:4" x14ac:dyDescent="0.55000000000000004">
      <c r="A510">
        <v>1063</v>
      </c>
      <c r="B510">
        <v>79.623781913379403</v>
      </c>
      <c r="C510">
        <f>IF(B510&lt;$G$2, $F$2, IF(B510&lt;$G$3, $F$3, IF(B510&lt;$G$4, $F$4, IF(B510&lt;$G$5, $F$5, IF(B510&lt;$G$6, $F$6, IF(B510&lt;$G$7, $F$7, IF(B510&lt;$G$8, $F$8, IF(B510&lt;$G$9, $F$9, IF(B510&lt;$G$10, $F$10, $F$11)))))))))</f>
        <v>0.8</v>
      </c>
      <c r="D510">
        <f t="shared" si="7"/>
        <v>8</v>
      </c>
    </row>
    <row r="511" spans="1:4" x14ac:dyDescent="0.55000000000000004">
      <c r="A511">
        <v>1064</v>
      </c>
      <c r="B511">
        <v>48.580858956175199</v>
      </c>
      <c r="C511">
        <f>IF(B511&lt;$G$2, $F$2, IF(B511&lt;$G$3, $F$3, IF(B511&lt;$G$4, $F$4, IF(B511&lt;$G$5, $F$5, IF(B511&lt;$G$6, $F$6, IF(B511&lt;$G$7, $F$7, IF(B511&lt;$G$8, $F$8, IF(B511&lt;$G$9, $F$9, IF(B511&lt;$G$10, $F$10, $F$11)))))))))</f>
        <v>0.7</v>
      </c>
      <c r="D511">
        <f t="shared" si="7"/>
        <v>7</v>
      </c>
    </row>
    <row r="512" spans="1:4" x14ac:dyDescent="0.55000000000000004">
      <c r="A512">
        <v>1065</v>
      </c>
      <c r="B512">
        <v>491.06784814307298</v>
      </c>
      <c r="C512">
        <f>IF(B512&lt;$G$2, $F$2, IF(B512&lt;$G$3, $F$3, IF(B512&lt;$G$4, $F$4, IF(B512&lt;$G$5, $F$5, IF(B512&lt;$G$6, $F$6, IF(B512&lt;$G$7, $F$7, IF(B512&lt;$G$8, $F$8, IF(B512&lt;$G$9, $F$9, IF(B512&lt;$G$10, $F$10, $F$11)))))))))</f>
        <v>1</v>
      </c>
      <c r="D512">
        <f t="shared" si="7"/>
        <v>10</v>
      </c>
    </row>
    <row r="513" spans="1:4" x14ac:dyDescent="0.55000000000000004">
      <c r="A513">
        <v>1066</v>
      </c>
      <c r="B513">
        <v>81.392443126817398</v>
      </c>
      <c r="C513">
        <f>IF(B513&lt;$G$2, $F$2, IF(B513&lt;$G$3, $F$3, IF(B513&lt;$G$4, $F$4, IF(B513&lt;$G$5, $F$5, IF(B513&lt;$G$6, $F$6, IF(B513&lt;$G$7, $F$7, IF(B513&lt;$G$8, $F$8, IF(B513&lt;$G$9, $F$9, IF(B513&lt;$G$10, $F$10, $F$11)))))))))</f>
        <v>0.8</v>
      </c>
      <c r="D513">
        <f t="shared" si="7"/>
        <v>8</v>
      </c>
    </row>
    <row r="514" spans="1:4" x14ac:dyDescent="0.55000000000000004">
      <c r="A514">
        <v>1067</v>
      </c>
      <c r="B514">
        <v>48.489067662690999</v>
      </c>
      <c r="C514">
        <f>IF(B514&lt;$G$2, $F$2, IF(B514&lt;$G$3, $F$3, IF(B514&lt;$G$4, $F$4, IF(B514&lt;$G$5, $F$5, IF(B514&lt;$G$6, $F$6, IF(B514&lt;$G$7, $F$7, IF(B514&lt;$G$8, $F$8, IF(B514&lt;$G$9, $F$9, IF(B514&lt;$G$10, $F$10, $F$11)))))))))</f>
        <v>0.7</v>
      </c>
      <c r="D514">
        <f t="shared" si="7"/>
        <v>7</v>
      </c>
    </row>
    <row r="515" spans="1:4" x14ac:dyDescent="0.55000000000000004">
      <c r="A515">
        <v>1068</v>
      </c>
      <c r="B515">
        <v>21.675732011182799</v>
      </c>
      <c r="C515">
        <f>IF(B515&lt;$G$2, $F$2, IF(B515&lt;$G$3, $F$3, IF(B515&lt;$G$4, $F$4, IF(B515&lt;$G$5, $F$5, IF(B515&lt;$G$6, $F$6, IF(B515&lt;$G$7, $F$7, IF(B515&lt;$G$8, $F$8, IF(B515&lt;$G$9, $F$9, IF(B515&lt;$G$10, $F$10, $F$11)))))))))</f>
        <v>0.5</v>
      </c>
      <c r="D515">
        <f t="shared" ref="D515:D578" si="8">C515*10</f>
        <v>5</v>
      </c>
    </row>
    <row r="516" spans="1:4" x14ac:dyDescent="0.55000000000000004">
      <c r="A516">
        <v>1069</v>
      </c>
      <c r="B516">
        <v>39.190538303812801</v>
      </c>
      <c r="C516">
        <f>IF(B516&lt;$G$2, $F$2, IF(B516&lt;$G$3, $F$3, IF(B516&lt;$G$4, $F$4, IF(B516&lt;$G$5, $F$5, IF(B516&lt;$G$6, $F$6, IF(B516&lt;$G$7, $F$7, IF(B516&lt;$G$8, $F$8, IF(B516&lt;$G$9, $F$9, IF(B516&lt;$G$10, $F$10, $F$11)))))))))</f>
        <v>0.6</v>
      </c>
      <c r="D516">
        <f t="shared" si="8"/>
        <v>6</v>
      </c>
    </row>
    <row r="517" spans="1:4" x14ac:dyDescent="0.55000000000000004">
      <c r="A517">
        <v>1070</v>
      </c>
      <c r="B517">
        <v>25.772232721742402</v>
      </c>
      <c r="C517">
        <f>IF(B517&lt;$G$2, $F$2, IF(B517&lt;$G$3, $F$3, IF(B517&lt;$G$4, $F$4, IF(B517&lt;$G$5, $F$5, IF(B517&lt;$G$6, $F$6, IF(B517&lt;$G$7, $F$7, IF(B517&lt;$G$8, $F$8, IF(B517&lt;$G$9, $F$9, IF(B517&lt;$G$10, $F$10, $F$11)))))))))</f>
        <v>0.6</v>
      </c>
      <c r="D517">
        <f t="shared" si="8"/>
        <v>6</v>
      </c>
    </row>
    <row r="518" spans="1:4" x14ac:dyDescent="0.55000000000000004">
      <c r="A518">
        <v>1071</v>
      </c>
      <c r="B518">
        <v>51.990878549645601</v>
      </c>
      <c r="C518">
        <f>IF(B518&lt;$G$2, $F$2, IF(B518&lt;$G$3, $F$3, IF(B518&lt;$G$4, $F$4, IF(B518&lt;$G$5, $F$5, IF(B518&lt;$G$6, $F$6, IF(B518&lt;$G$7, $F$7, IF(B518&lt;$G$8, $F$8, IF(B518&lt;$G$9, $F$9, IF(B518&lt;$G$10, $F$10, $F$11)))))))))</f>
        <v>0.7</v>
      </c>
      <c r="D518">
        <f t="shared" si="8"/>
        <v>7</v>
      </c>
    </row>
    <row r="519" spans="1:4" x14ac:dyDescent="0.55000000000000004">
      <c r="A519">
        <v>1072</v>
      </c>
      <c r="B519">
        <v>544.62675655415705</v>
      </c>
      <c r="C519">
        <f>IF(B519&lt;$G$2, $F$2, IF(B519&lt;$G$3, $F$3, IF(B519&lt;$G$4, $F$4, IF(B519&lt;$G$5, $F$5, IF(B519&lt;$G$6, $F$6, IF(B519&lt;$G$7, $F$7, IF(B519&lt;$G$8, $F$8, IF(B519&lt;$G$9, $F$9, IF(B519&lt;$G$10, $F$10, $F$11)))))))))</f>
        <v>1</v>
      </c>
      <c r="D519">
        <f t="shared" si="8"/>
        <v>10</v>
      </c>
    </row>
    <row r="520" spans="1:4" x14ac:dyDescent="0.55000000000000004">
      <c r="A520">
        <v>1073</v>
      </c>
      <c r="B520">
        <v>232.30635199284399</v>
      </c>
      <c r="C520">
        <f>IF(B520&lt;$G$2, $F$2, IF(B520&lt;$G$3, $F$3, IF(B520&lt;$G$4, $F$4, IF(B520&lt;$G$5, $F$5, IF(B520&lt;$G$6, $F$6, IF(B520&lt;$G$7, $F$7, IF(B520&lt;$G$8, $F$8, IF(B520&lt;$G$9, $F$9, IF(B520&lt;$G$10, $F$10, $F$11)))))))))</f>
        <v>0.9</v>
      </c>
      <c r="D520">
        <f t="shared" si="8"/>
        <v>9</v>
      </c>
    </row>
    <row r="521" spans="1:4" x14ac:dyDescent="0.55000000000000004">
      <c r="A521">
        <v>1074</v>
      </c>
      <c r="B521">
        <v>75.715069194495399</v>
      </c>
      <c r="C521">
        <f>IF(B521&lt;$G$2, $F$2, IF(B521&lt;$G$3, $F$3, IF(B521&lt;$G$4, $F$4, IF(B521&lt;$G$5, $F$5, IF(B521&lt;$G$6, $F$6, IF(B521&lt;$G$7, $F$7, IF(B521&lt;$G$8, $F$8, IF(B521&lt;$G$9, $F$9, IF(B521&lt;$G$10, $F$10, $F$11)))))))))</f>
        <v>0.8</v>
      </c>
      <c r="D521">
        <f t="shared" si="8"/>
        <v>8</v>
      </c>
    </row>
    <row r="522" spans="1:4" x14ac:dyDescent="0.55000000000000004">
      <c r="A522">
        <v>1075</v>
      </c>
      <c r="B522">
        <v>35.252605551974497</v>
      </c>
      <c r="C522">
        <f>IF(B522&lt;$G$2, $F$2, IF(B522&lt;$G$3, $F$3, IF(B522&lt;$G$4, $F$4, IF(B522&lt;$G$5, $F$5, IF(B522&lt;$G$6, $F$6, IF(B522&lt;$G$7, $F$7, IF(B522&lt;$G$8, $F$8, IF(B522&lt;$G$9, $F$9, IF(B522&lt;$G$10, $F$10, $F$11)))))))))</f>
        <v>0.6</v>
      </c>
      <c r="D522">
        <f t="shared" si="8"/>
        <v>6</v>
      </c>
    </row>
    <row r="523" spans="1:4" x14ac:dyDescent="0.55000000000000004">
      <c r="A523">
        <v>1076</v>
      </c>
      <c r="B523">
        <v>46.050645940240102</v>
      </c>
      <c r="C523">
        <f>IF(B523&lt;$G$2, $F$2, IF(B523&lt;$G$3, $F$3, IF(B523&lt;$G$4, $F$4, IF(B523&lt;$G$5, $F$5, IF(B523&lt;$G$6, $F$6, IF(B523&lt;$G$7, $F$7, IF(B523&lt;$G$8, $F$8, IF(B523&lt;$G$9, $F$9, IF(B523&lt;$G$10, $F$10, $F$11)))))))))</f>
        <v>0.7</v>
      </c>
      <c r="D523">
        <f t="shared" si="8"/>
        <v>7</v>
      </c>
    </row>
    <row r="524" spans="1:4" x14ac:dyDescent="0.55000000000000004">
      <c r="A524">
        <v>1077</v>
      </c>
      <c r="B524">
        <v>18.100210882371499</v>
      </c>
      <c r="C524">
        <f>IF(B524&lt;$G$2, $F$2, IF(B524&lt;$G$3, $F$3, IF(B524&lt;$G$4, $F$4, IF(B524&lt;$G$5, $F$5, IF(B524&lt;$G$6, $F$6, IF(B524&lt;$G$7, $F$7, IF(B524&lt;$G$8, $F$8, IF(B524&lt;$G$9, $F$9, IF(B524&lt;$G$10, $F$10, $F$11)))))))))</f>
        <v>0.4</v>
      </c>
      <c r="D524">
        <f t="shared" si="8"/>
        <v>4</v>
      </c>
    </row>
    <row r="525" spans="1:4" x14ac:dyDescent="0.55000000000000004">
      <c r="A525">
        <v>1078</v>
      </c>
      <c r="B525">
        <v>40.567466353124701</v>
      </c>
      <c r="C525">
        <f>IF(B525&lt;$G$2, $F$2, IF(B525&lt;$G$3, $F$3, IF(B525&lt;$G$4, $F$4, IF(B525&lt;$G$5, $F$5, IF(B525&lt;$G$6, $F$6, IF(B525&lt;$G$7, $F$7, IF(B525&lt;$G$8, $F$8, IF(B525&lt;$G$9, $F$9, IF(B525&lt;$G$10, $F$10, $F$11)))))))))</f>
        <v>0.6</v>
      </c>
      <c r="D525">
        <f t="shared" si="8"/>
        <v>6</v>
      </c>
    </row>
    <row r="526" spans="1:4" x14ac:dyDescent="0.55000000000000004">
      <c r="A526">
        <v>1079</v>
      </c>
      <c r="B526">
        <v>8.5525184899153306</v>
      </c>
      <c r="C526">
        <f>IF(B526&lt;$G$2, $F$2, IF(B526&lt;$G$3, $F$3, IF(B526&lt;$G$4, $F$4, IF(B526&lt;$G$5, $F$5, IF(B526&lt;$G$6, $F$6, IF(B526&lt;$G$7, $F$7, IF(B526&lt;$G$8, $F$8, IF(B526&lt;$G$9, $F$9, IF(B526&lt;$G$10, $F$10, $F$11)))))))))</f>
        <v>0.3</v>
      </c>
      <c r="D526">
        <f t="shared" si="8"/>
        <v>3</v>
      </c>
    </row>
    <row r="527" spans="1:4" x14ac:dyDescent="0.55000000000000004">
      <c r="A527">
        <v>1080</v>
      </c>
      <c r="B527">
        <v>50.510368789324303</v>
      </c>
      <c r="C527">
        <f>IF(B527&lt;$G$2, $F$2, IF(B527&lt;$G$3, $F$3, IF(B527&lt;$G$4, $F$4, IF(B527&lt;$G$5, $F$5, IF(B527&lt;$G$6, $F$6, IF(B527&lt;$G$7, $F$7, IF(B527&lt;$G$8, $F$8, IF(B527&lt;$G$9, $F$9, IF(B527&lt;$G$10, $F$10, $F$11)))))))))</f>
        <v>0.7</v>
      </c>
      <c r="D527">
        <f t="shared" si="8"/>
        <v>7</v>
      </c>
    </row>
    <row r="528" spans="1:4" x14ac:dyDescent="0.55000000000000004">
      <c r="A528">
        <v>1081</v>
      </c>
      <c r="B528">
        <v>55.872570873192501</v>
      </c>
      <c r="C528">
        <f>IF(B528&lt;$G$2, $F$2, IF(B528&lt;$G$3, $F$3, IF(B528&lt;$G$4, $F$4, IF(B528&lt;$G$5, $F$5, IF(B528&lt;$G$6, $F$6, IF(B528&lt;$G$7, $F$7, IF(B528&lt;$G$8, $F$8, IF(B528&lt;$G$9, $F$9, IF(B528&lt;$G$10, $F$10, $F$11)))))))))</f>
        <v>0.7</v>
      </c>
      <c r="D528">
        <f t="shared" si="8"/>
        <v>7</v>
      </c>
    </row>
    <row r="529" spans="1:4" x14ac:dyDescent="0.55000000000000004">
      <c r="A529">
        <v>1082</v>
      </c>
      <c r="B529">
        <v>1968.6380342592099</v>
      </c>
      <c r="C529">
        <f>IF(B529&lt;$G$2, $F$2, IF(B529&lt;$G$3, $F$3, IF(B529&lt;$G$4, $F$4, IF(B529&lt;$G$5, $F$5, IF(B529&lt;$G$6, $F$6, IF(B529&lt;$G$7, $F$7, IF(B529&lt;$G$8, $F$8, IF(B529&lt;$G$9, $F$9, IF(B529&lt;$G$10, $F$10, $F$11)))))))))</f>
        <v>1</v>
      </c>
      <c r="D529">
        <f t="shared" si="8"/>
        <v>10</v>
      </c>
    </row>
    <row r="530" spans="1:4" x14ac:dyDescent="0.55000000000000004">
      <c r="A530">
        <v>1083</v>
      </c>
      <c r="B530">
        <v>14.087179660526999</v>
      </c>
      <c r="C530">
        <f>IF(B530&lt;$G$2, $F$2, IF(B530&lt;$G$3, $F$3, IF(B530&lt;$G$4, $F$4, IF(B530&lt;$G$5, $F$5, IF(B530&lt;$G$6, $F$6, IF(B530&lt;$G$7, $F$7, IF(B530&lt;$G$8, $F$8, IF(B530&lt;$G$9, $F$9, IF(B530&lt;$G$10, $F$10, $F$11)))))))))</f>
        <v>0.4</v>
      </c>
      <c r="D530">
        <f t="shared" si="8"/>
        <v>4</v>
      </c>
    </row>
    <row r="531" spans="1:4" x14ac:dyDescent="0.55000000000000004">
      <c r="A531">
        <v>1084</v>
      </c>
      <c r="B531">
        <v>18.106676500296299</v>
      </c>
      <c r="C531">
        <f>IF(B531&lt;$G$2, $F$2, IF(B531&lt;$G$3, $F$3, IF(B531&lt;$G$4, $F$4, IF(B531&lt;$G$5, $F$5, IF(B531&lt;$G$6, $F$6, IF(B531&lt;$G$7, $F$7, IF(B531&lt;$G$8, $F$8, IF(B531&lt;$G$9, $F$9, IF(B531&lt;$G$10, $F$10, $F$11)))))))))</f>
        <v>0.5</v>
      </c>
      <c r="D531">
        <f t="shared" si="8"/>
        <v>5</v>
      </c>
    </row>
    <row r="532" spans="1:4" x14ac:dyDescent="0.55000000000000004">
      <c r="A532">
        <v>1085</v>
      </c>
      <c r="B532">
        <v>331.43095491263398</v>
      </c>
      <c r="C532">
        <f>IF(B532&lt;$G$2, $F$2, IF(B532&lt;$G$3, $F$3, IF(B532&lt;$G$4, $F$4, IF(B532&lt;$G$5, $F$5, IF(B532&lt;$G$6, $F$6, IF(B532&lt;$G$7, $F$7, IF(B532&lt;$G$8, $F$8, IF(B532&lt;$G$9, $F$9, IF(B532&lt;$G$10, $F$10, $F$11)))))))))</f>
        <v>0.9</v>
      </c>
      <c r="D532">
        <f t="shared" si="8"/>
        <v>9</v>
      </c>
    </row>
    <row r="533" spans="1:4" x14ac:dyDescent="0.55000000000000004">
      <c r="A533">
        <v>1086</v>
      </c>
      <c r="B533">
        <v>19.204734766527299</v>
      </c>
      <c r="C533">
        <f>IF(B533&lt;$G$2, $F$2, IF(B533&lt;$G$3, $F$3, IF(B533&lt;$G$4, $F$4, IF(B533&lt;$G$5, $F$5, IF(B533&lt;$G$6, $F$6, IF(B533&lt;$G$7, $F$7, IF(B533&lt;$G$8, $F$8, IF(B533&lt;$G$9, $F$9, IF(B533&lt;$G$10, $F$10, $F$11)))))))))</f>
        <v>0.5</v>
      </c>
      <c r="D533">
        <f t="shared" si="8"/>
        <v>5</v>
      </c>
    </row>
    <row r="534" spans="1:4" x14ac:dyDescent="0.55000000000000004">
      <c r="A534">
        <v>1087</v>
      </c>
      <c r="B534">
        <v>25.362843125884499</v>
      </c>
      <c r="C534">
        <f>IF(B534&lt;$G$2, $F$2, IF(B534&lt;$G$3, $F$3, IF(B534&lt;$G$4, $F$4, IF(B534&lt;$G$5, $F$5, IF(B534&lt;$G$6, $F$6, IF(B534&lt;$G$7, $F$7, IF(B534&lt;$G$8, $F$8, IF(B534&lt;$G$9, $F$9, IF(B534&lt;$G$10, $F$10, $F$11)))))))))</f>
        <v>0.5</v>
      </c>
      <c r="D534">
        <f t="shared" si="8"/>
        <v>5</v>
      </c>
    </row>
    <row r="535" spans="1:4" x14ac:dyDescent="0.55000000000000004">
      <c r="A535">
        <v>1088</v>
      </c>
      <c r="B535">
        <v>380.798380881056</v>
      </c>
      <c r="C535">
        <f>IF(B535&lt;$G$2, $F$2, IF(B535&lt;$G$3, $F$3, IF(B535&lt;$G$4, $F$4, IF(B535&lt;$G$5, $F$5, IF(B535&lt;$G$6, $F$6, IF(B535&lt;$G$7, $F$7, IF(B535&lt;$G$8, $F$8, IF(B535&lt;$G$9, $F$9, IF(B535&lt;$G$10, $F$10, $F$11)))))))))</f>
        <v>1</v>
      </c>
      <c r="D535">
        <f t="shared" si="8"/>
        <v>10</v>
      </c>
    </row>
    <row r="536" spans="1:4" x14ac:dyDescent="0.55000000000000004">
      <c r="A536">
        <v>1089</v>
      </c>
      <c r="B536">
        <v>399.126838801502</v>
      </c>
      <c r="C536">
        <f>IF(B536&lt;$G$2, $F$2, IF(B536&lt;$G$3, $F$3, IF(B536&lt;$G$4, $F$4, IF(B536&lt;$G$5, $F$5, IF(B536&lt;$G$6, $F$6, IF(B536&lt;$G$7, $F$7, IF(B536&lt;$G$8, $F$8, IF(B536&lt;$G$9, $F$9, IF(B536&lt;$G$10, $F$10, $F$11)))))))))</f>
        <v>1</v>
      </c>
      <c r="D536">
        <f t="shared" si="8"/>
        <v>10</v>
      </c>
    </row>
    <row r="537" spans="1:4" x14ac:dyDescent="0.55000000000000004">
      <c r="A537">
        <v>1090</v>
      </c>
      <c r="B537">
        <v>29.0642888343958</v>
      </c>
      <c r="C537">
        <f>IF(B537&lt;$G$2, $F$2, IF(B537&lt;$G$3, $F$3, IF(B537&lt;$G$4, $F$4, IF(B537&lt;$G$5, $F$5, IF(B537&lt;$G$6, $F$6, IF(B537&lt;$G$7, $F$7, IF(B537&lt;$G$8, $F$8, IF(B537&lt;$G$9, $F$9, IF(B537&lt;$G$10, $F$10, $F$11)))))))))</f>
        <v>0.6</v>
      </c>
      <c r="D537">
        <f t="shared" si="8"/>
        <v>6</v>
      </c>
    </row>
    <row r="538" spans="1:4" x14ac:dyDescent="0.55000000000000004">
      <c r="A538">
        <v>1091</v>
      </c>
      <c r="B538">
        <v>14.072902696063901</v>
      </c>
      <c r="C538">
        <f>IF(B538&lt;$G$2, $F$2, IF(B538&lt;$G$3, $F$3, IF(B538&lt;$G$4, $F$4, IF(B538&lt;$G$5, $F$5, IF(B538&lt;$G$6, $F$6, IF(B538&lt;$G$7, $F$7, IF(B538&lt;$G$8, $F$8, IF(B538&lt;$G$9, $F$9, IF(B538&lt;$G$10, $F$10, $F$11)))))))))</f>
        <v>0.4</v>
      </c>
      <c r="D538">
        <f t="shared" si="8"/>
        <v>4</v>
      </c>
    </row>
    <row r="539" spans="1:4" x14ac:dyDescent="0.55000000000000004">
      <c r="A539">
        <v>1092</v>
      </c>
      <c r="B539">
        <v>12.9133472916598</v>
      </c>
      <c r="C539">
        <f>IF(B539&lt;$G$2, $F$2, IF(B539&lt;$G$3, $F$3, IF(B539&lt;$G$4, $F$4, IF(B539&lt;$G$5, $F$5, IF(B539&lt;$G$6, $F$6, IF(B539&lt;$G$7, $F$7, IF(B539&lt;$G$8, $F$8, IF(B539&lt;$G$9, $F$9, IF(B539&lt;$G$10, $F$10, $F$11)))))))))</f>
        <v>0.4</v>
      </c>
      <c r="D539">
        <f t="shared" si="8"/>
        <v>4</v>
      </c>
    </row>
    <row r="540" spans="1:4" x14ac:dyDescent="0.55000000000000004">
      <c r="A540">
        <v>1093</v>
      </c>
      <c r="B540">
        <v>65.214835862389407</v>
      </c>
      <c r="C540">
        <f>IF(B540&lt;$G$2, $F$2, IF(B540&lt;$G$3, $F$3, IF(B540&lt;$G$4, $F$4, IF(B540&lt;$G$5, $F$5, IF(B540&lt;$G$6, $F$6, IF(B540&lt;$G$7, $F$7, IF(B540&lt;$G$8, $F$8, IF(B540&lt;$G$9, $F$9, IF(B540&lt;$G$10, $F$10, $F$11)))))))))</f>
        <v>0.8</v>
      </c>
      <c r="D540">
        <f t="shared" si="8"/>
        <v>8</v>
      </c>
    </row>
    <row r="541" spans="1:4" x14ac:dyDescent="0.55000000000000004">
      <c r="A541">
        <v>1094</v>
      </c>
      <c r="B541">
        <v>687.392295369002</v>
      </c>
      <c r="C541">
        <f>IF(B541&lt;$G$2, $F$2, IF(B541&lt;$G$3, $F$3, IF(B541&lt;$G$4, $F$4, IF(B541&lt;$G$5, $F$5, IF(B541&lt;$G$6, $F$6, IF(B541&lt;$G$7, $F$7, IF(B541&lt;$G$8, $F$8, IF(B541&lt;$G$9, $F$9, IF(B541&lt;$G$10, $F$10, $F$11)))))))))</f>
        <v>1</v>
      </c>
      <c r="D541">
        <f t="shared" si="8"/>
        <v>10</v>
      </c>
    </row>
    <row r="542" spans="1:4" x14ac:dyDescent="0.55000000000000004">
      <c r="A542">
        <v>1095</v>
      </c>
      <c r="B542">
        <v>287.52500870947301</v>
      </c>
      <c r="C542">
        <f>IF(B542&lt;$G$2, $F$2, IF(B542&lt;$G$3, $F$3, IF(B542&lt;$G$4, $F$4, IF(B542&lt;$G$5, $F$5, IF(B542&lt;$G$6, $F$6, IF(B542&lt;$G$7, $F$7, IF(B542&lt;$G$8, $F$8, IF(B542&lt;$G$9, $F$9, IF(B542&lt;$G$10, $F$10, $F$11)))))))))</f>
        <v>0.9</v>
      </c>
      <c r="D542">
        <f t="shared" si="8"/>
        <v>9</v>
      </c>
    </row>
    <row r="543" spans="1:4" x14ac:dyDescent="0.55000000000000004">
      <c r="A543">
        <v>1096</v>
      </c>
      <c r="B543">
        <v>4.30157180958129</v>
      </c>
      <c r="C543">
        <f>IF(B543&lt;$G$2, $F$2, IF(B543&lt;$G$3, $F$3, IF(B543&lt;$G$4, $F$4, IF(B543&lt;$G$5, $F$5, IF(B543&lt;$G$6, $F$6, IF(B543&lt;$G$7, $F$7, IF(B543&lt;$G$8, $F$8, IF(B543&lt;$G$9, $F$9, IF(B543&lt;$G$10, $F$10, $F$11)))))))))</f>
        <v>0.2</v>
      </c>
      <c r="D543">
        <f t="shared" si="8"/>
        <v>2</v>
      </c>
    </row>
    <row r="544" spans="1:4" x14ac:dyDescent="0.55000000000000004">
      <c r="A544">
        <v>1097</v>
      </c>
      <c r="B544">
        <v>13.07069834953</v>
      </c>
      <c r="C544">
        <f>IF(B544&lt;$G$2, $F$2, IF(B544&lt;$G$3, $F$3, IF(B544&lt;$G$4, $F$4, IF(B544&lt;$G$5, $F$5, IF(B544&lt;$G$6, $F$6, IF(B544&lt;$G$7, $F$7, IF(B544&lt;$G$8, $F$8, IF(B544&lt;$G$9, $F$9, IF(B544&lt;$G$10, $F$10, $F$11)))))))))</f>
        <v>0.4</v>
      </c>
      <c r="D544">
        <f t="shared" si="8"/>
        <v>4</v>
      </c>
    </row>
    <row r="545" spans="1:4" x14ac:dyDescent="0.55000000000000004">
      <c r="A545">
        <v>1098</v>
      </c>
      <c r="B545">
        <v>86.109158059380903</v>
      </c>
      <c r="C545">
        <f>IF(B545&lt;$G$2, $F$2, IF(B545&lt;$G$3, $F$3, IF(B545&lt;$G$4, $F$4, IF(B545&lt;$G$5, $F$5, IF(B545&lt;$G$6, $F$6, IF(B545&lt;$G$7, $F$7, IF(B545&lt;$G$8, $F$8, IF(B545&lt;$G$9, $F$9, IF(B545&lt;$G$10, $F$10, $F$11)))))))))</f>
        <v>0.8</v>
      </c>
      <c r="D545">
        <f t="shared" si="8"/>
        <v>8</v>
      </c>
    </row>
    <row r="546" spans="1:4" x14ac:dyDescent="0.55000000000000004">
      <c r="A546">
        <v>1099</v>
      </c>
      <c r="B546">
        <v>73.044435029641505</v>
      </c>
      <c r="C546">
        <f>IF(B546&lt;$G$2, $F$2, IF(B546&lt;$G$3, $F$3, IF(B546&lt;$G$4, $F$4, IF(B546&lt;$G$5, $F$5, IF(B546&lt;$G$6, $F$6, IF(B546&lt;$G$7, $F$7, IF(B546&lt;$G$8, $F$8, IF(B546&lt;$G$9, $F$9, IF(B546&lt;$G$10, $F$10, $F$11)))))))))</f>
        <v>0.8</v>
      </c>
      <c r="D546">
        <f t="shared" si="8"/>
        <v>8</v>
      </c>
    </row>
    <row r="547" spans="1:4" x14ac:dyDescent="0.55000000000000004">
      <c r="A547">
        <v>1100</v>
      </c>
      <c r="B547">
        <v>279.80530908789001</v>
      </c>
      <c r="C547">
        <f>IF(B547&lt;$G$2, $F$2, IF(B547&lt;$G$3, $F$3, IF(B547&lt;$G$4, $F$4, IF(B547&lt;$G$5, $F$5, IF(B547&lt;$G$6, $F$6, IF(B547&lt;$G$7, $F$7, IF(B547&lt;$G$8, $F$8, IF(B547&lt;$G$9, $F$9, IF(B547&lt;$G$10, $F$10, $F$11)))))))))</f>
        <v>0.9</v>
      </c>
      <c r="D547">
        <f t="shared" si="8"/>
        <v>9</v>
      </c>
    </row>
    <row r="548" spans="1:4" x14ac:dyDescent="0.55000000000000004">
      <c r="A548">
        <v>1101</v>
      </c>
      <c r="B548">
        <v>10.920130538977199</v>
      </c>
      <c r="C548">
        <f>IF(B548&lt;$G$2, $F$2, IF(B548&lt;$G$3, $F$3, IF(B548&lt;$G$4, $F$4, IF(B548&lt;$G$5, $F$5, IF(B548&lt;$G$6, $F$6, IF(B548&lt;$G$7, $F$7, IF(B548&lt;$G$8, $F$8, IF(B548&lt;$G$9, $F$9, IF(B548&lt;$G$10, $F$10, $F$11)))))))))</f>
        <v>0.4</v>
      </c>
      <c r="D548">
        <f t="shared" si="8"/>
        <v>4</v>
      </c>
    </row>
    <row r="549" spans="1:4" x14ac:dyDescent="0.55000000000000004">
      <c r="A549">
        <v>1102</v>
      </c>
      <c r="B549">
        <v>14.035729613229</v>
      </c>
      <c r="C549">
        <f>IF(B549&lt;$G$2, $F$2, IF(B549&lt;$G$3, $F$3, IF(B549&lt;$G$4, $F$4, IF(B549&lt;$G$5, $F$5, IF(B549&lt;$G$6, $F$6, IF(B549&lt;$G$7, $F$7, IF(B549&lt;$G$8, $F$8, IF(B549&lt;$G$9, $F$9, IF(B549&lt;$G$10, $F$10, $F$11)))))))))</f>
        <v>0.4</v>
      </c>
      <c r="D549">
        <f t="shared" si="8"/>
        <v>4</v>
      </c>
    </row>
    <row r="550" spans="1:4" x14ac:dyDescent="0.55000000000000004">
      <c r="A550">
        <v>1103</v>
      </c>
      <c r="B550">
        <v>15.248715829264601</v>
      </c>
      <c r="C550">
        <f>IF(B550&lt;$G$2, $F$2, IF(B550&lt;$G$3, $F$3, IF(B550&lt;$G$4, $F$4, IF(B550&lt;$G$5, $F$5, IF(B550&lt;$G$6, $F$6, IF(B550&lt;$G$7, $F$7, IF(B550&lt;$G$8, $F$8, IF(B550&lt;$G$9, $F$9, IF(B550&lt;$G$10, $F$10, $F$11)))))))))</f>
        <v>0.4</v>
      </c>
      <c r="D550">
        <f t="shared" si="8"/>
        <v>4</v>
      </c>
    </row>
    <row r="551" spans="1:4" x14ac:dyDescent="0.55000000000000004">
      <c r="A551">
        <v>1104</v>
      </c>
      <c r="B551">
        <v>24.1827022596235</v>
      </c>
      <c r="C551">
        <f>IF(B551&lt;$G$2, $F$2, IF(B551&lt;$G$3, $F$3, IF(B551&lt;$G$4, $F$4, IF(B551&lt;$G$5, $F$5, IF(B551&lt;$G$6, $F$6, IF(B551&lt;$G$7, $F$7, IF(B551&lt;$G$8, $F$8, IF(B551&lt;$G$9, $F$9, IF(B551&lt;$G$10, $F$10, $F$11)))))))))</f>
        <v>0.5</v>
      </c>
      <c r="D551">
        <f t="shared" si="8"/>
        <v>5</v>
      </c>
    </row>
    <row r="552" spans="1:4" x14ac:dyDescent="0.55000000000000004">
      <c r="A552">
        <v>1105</v>
      </c>
      <c r="B552">
        <v>36.469894103926698</v>
      </c>
      <c r="C552">
        <f>IF(B552&lt;$G$2, $F$2, IF(B552&lt;$G$3, $F$3, IF(B552&lt;$G$4, $F$4, IF(B552&lt;$G$5, $F$5, IF(B552&lt;$G$6, $F$6, IF(B552&lt;$G$7, $F$7, IF(B552&lt;$G$8, $F$8, IF(B552&lt;$G$9, $F$9, IF(B552&lt;$G$10, $F$10, $F$11)))))))))</f>
        <v>0.6</v>
      </c>
      <c r="D552">
        <f t="shared" si="8"/>
        <v>6</v>
      </c>
    </row>
    <row r="553" spans="1:4" x14ac:dyDescent="0.55000000000000004">
      <c r="A553">
        <v>1106</v>
      </c>
      <c r="B553">
        <v>24.493764251183499</v>
      </c>
      <c r="C553">
        <f>IF(B553&lt;$G$2, $F$2, IF(B553&lt;$G$3, $F$3, IF(B553&lt;$G$4, $F$4, IF(B553&lt;$G$5, $F$5, IF(B553&lt;$G$6, $F$6, IF(B553&lt;$G$7, $F$7, IF(B553&lt;$G$8, $F$8, IF(B553&lt;$G$9, $F$9, IF(B553&lt;$G$10, $F$10, $F$11)))))))))</f>
        <v>0.5</v>
      </c>
      <c r="D553">
        <f t="shared" si="8"/>
        <v>5</v>
      </c>
    </row>
    <row r="554" spans="1:4" x14ac:dyDescent="0.55000000000000004">
      <c r="A554">
        <v>1107</v>
      </c>
      <c r="B554">
        <v>13.992797636174901</v>
      </c>
      <c r="C554">
        <f>IF(B554&lt;$G$2, $F$2, IF(B554&lt;$G$3, $F$3, IF(B554&lt;$G$4, $F$4, IF(B554&lt;$G$5, $F$5, IF(B554&lt;$G$6, $F$6, IF(B554&lt;$G$7, $F$7, IF(B554&lt;$G$8, $F$8, IF(B554&lt;$G$9, $F$9, IF(B554&lt;$G$10, $F$10, $F$11)))))))))</f>
        <v>0.4</v>
      </c>
      <c r="D554">
        <f t="shared" si="8"/>
        <v>4</v>
      </c>
    </row>
    <row r="555" spans="1:4" x14ac:dyDescent="0.55000000000000004">
      <c r="A555">
        <v>1108</v>
      </c>
      <c r="B555">
        <v>93.333148939209494</v>
      </c>
      <c r="C555">
        <f>IF(B555&lt;$G$2, $F$2, IF(B555&lt;$G$3, $F$3, IF(B555&lt;$G$4, $F$4, IF(B555&lt;$G$5, $F$5, IF(B555&lt;$G$6, $F$6, IF(B555&lt;$G$7, $F$7, IF(B555&lt;$G$8, $F$8, IF(B555&lt;$G$9, $F$9, IF(B555&lt;$G$10, $F$10, $F$11)))))))))</f>
        <v>0.8</v>
      </c>
      <c r="D555">
        <f t="shared" si="8"/>
        <v>8</v>
      </c>
    </row>
    <row r="556" spans="1:4" x14ac:dyDescent="0.55000000000000004">
      <c r="A556">
        <v>1109</v>
      </c>
      <c r="B556">
        <v>116.733893013827</v>
      </c>
      <c r="C556">
        <f>IF(B556&lt;$G$2, $F$2, IF(B556&lt;$G$3, $F$3, IF(B556&lt;$G$4, $F$4, IF(B556&lt;$G$5, $F$5, IF(B556&lt;$G$6, $F$6, IF(B556&lt;$G$7, $F$7, IF(B556&lt;$G$8, $F$8, IF(B556&lt;$G$9, $F$9, IF(B556&lt;$G$10, $F$10, $F$11)))))))))</f>
        <v>0.9</v>
      </c>
      <c r="D556">
        <f t="shared" si="8"/>
        <v>9</v>
      </c>
    </row>
    <row r="557" spans="1:4" x14ac:dyDescent="0.55000000000000004">
      <c r="A557">
        <v>1110</v>
      </c>
      <c r="B557">
        <v>399.50596076431202</v>
      </c>
      <c r="C557">
        <f>IF(B557&lt;$G$2, $F$2, IF(B557&lt;$G$3, $F$3, IF(B557&lt;$G$4, $F$4, IF(B557&lt;$G$5, $F$5, IF(B557&lt;$G$6, $F$6, IF(B557&lt;$G$7, $F$7, IF(B557&lt;$G$8, $F$8, IF(B557&lt;$G$9, $F$9, IF(B557&lt;$G$10, $F$10, $F$11)))))))))</f>
        <v>1</v>
      </c>
      <c r="D557">
        <f t="shared" si="8"/>
        <v>10</v>
      </c>
    </row>
    <row r="558" spans="1:4" x14ac:dyDescent="0.55000000000000004">
      <c r="A558">
        <v>1111</v>
      </c>
      <c r="B558">
        <v>678.00288787632405</v>
      </c>
      <c r="C558">
        <f>IF(B558&lt;$G$2, $F$2, IF(B558&lt;$G$3, $F$3, IF(B558&lt;$G$4, $F$4, IF(B558&lt;$G$5, $F$5, IF(B558&lt;$G$6, $F$6, IF(B558&lt;$G$7, $F$7, IF(B558&lt;$G$8, $F$8, IF(B558&lt;$G$9, $F$9, IF(B558&lt;$G$10, $F$10, $F$11)))))))))</f>
        <v>1</v>
      </c>
      <c r="D558">
        <f t="shared" si="8"/>
        <v>10</v>
      </c>
    </row>
    <row r="559" spans="1:4" x14ac:dyDescent="0.55000000000000004">
      <c r="A559">
        <v>1112</v>
      </c>
      <c r="B559">
        <v>104.961259744109</v>
      </c>
      <c r="C559">
        <f>IF(B559&lt;$G$2, $F$2, IF(B559&lt;$G$3, $F$3, IF(B559&lt;$G$4, $F$4, IF(B559&lt;$G$5, $F$5, IF(B559&lt;$G$6, $F$6, IF(B559&lt;$G$7, $F$7, IF(B559&lt;$G$8, $F$8, IF(B559&lt;$G$9, $F$9, IF(B559&lt;$G$10, $F$10, $F$11)))))))))</f>
        <v>0.8</v>
      </c>
      <c r="D559">
        <f t="shared" si="8"/>
        <v>8</v>
      </c>
    </row>
    <row r="560" spans="1:4" x14ac:dyDescent="0.55000000000000004">
      <c r="A560">
        <v>1113</v>
      </c>
      <c r="B560">
        <v>1035.1720845786199</v>
      </c>
      <c r="C560">
        <f>IF(B560&lt;$G$2, $F$2, IF(B560&lt;$G$3, $F$3, IF(B560&lt;$G$4, $F$4, IF(B560&lt;$G$5, $F$5, IF(B560&lt;$G$6, $F$6, IF(B560&lt;$G$7, $F$7, IF(B560&lt;$G$8, $F$8, IF(B560&lt;$G$9, $F$9, IF(B560&lt;$G$10, $F$10, $F$11)))))))))</f>
        <v>1</v>
      </c>
      <c r="D560">
        <f t="shared" si="8"/>
        <v>10</v>
      </c>
    </row>
    <row r="561" spans="1:4" x14ac:dyDescent="0.55000000000000004">
      <c r="A561">
        <v>1114</v>
      </c>
      <c r="B561">
        <v>58.090395479856099</v>
      </c>
      <c r="C561">
        <f>IF(B561&lt;$G$2, $F$2, IF(B561&lt;$G$3, $F$3, IF(B561&lt;$G$4, $F$4, IF(B561&lt;$G$5, $F$5, IF(B561&lt;$G$6, $F$6, IF(B561&lt;$G$7, $F$7, IF(B561&lt;$G$8, $F$8, IF(B561&lt;$G$9, $F$9, IF(B561&lt;$G$10, $F$10, $F$11)))))))))</f>
        <v>0.7</v>
      </c>
      <c r="D561">
        <f t="shared" si="8"/>
        <v>7</v>
      </c>
    </row>
    <row r="562" spans="1:4" x14ac:dyDescent="0.55000000000000004">
      <c r="A562">
        <v>1115</v>
      </c>
      <c r="B562">
        <v>32.231142817417599</v>
      </c>
      <c r="C562">
        <f>IF(B562&lt;$G$2, $F$2, IF(B562&lt;$G$3, $F$3, IF(B562&lt;$G$4, $F$4, IF(B562&lt;$G$5, $F$5, IF(B562&lt;$G$6, $F$6, IF(B562&lt;$G$7, $F$7, IF(B562&lt;$G$8, $F$8, IF(B562&lt;$G$9, $F$9, IF(B562&lt;$G$10, $F$10, $F$11)))))))))</f>
        <v>0.6</v>
      </c>
      <c r="D562">
        <f t="shared" si="8"/>
        <v>6</v>
      </c>
    </row>
    <row r="563" spans="1:4" x14ac:dyDescent="0.55000000000000004">
      <c r="A563">
        <v>1116</v>
      </c>
      <c r="B563">
        <v>186.33510422966401</v>
      </c>
      <c r="C563">
        <f>IF(B563&lt;$G$2, $F$2, IF(B563&lt;$G$3, $F$3, IF(B563&lt;$G$4, $F$4, IF(B563&lt;$G$5, $F$5, IF(B563&lt;$G$6, $F$6, IF(B563&lt;$G$7, $F$7, IF(B563&lt;$G$8, $F$8, IF(B563&lt;$G$9, $F$9, IF(B563&lt;$G$10, $F$10, $F$11)))))))))</f>
        <v>0.9</v>
      </c>
      <c r="D563">
        <f t="shared" si="8"/>
        <v>9</v>
      </c>
    </row>
    <row r="564" spans="1:4" x14ac:dyDescent="0.55000000000000004">
      <c r="A564">
        <v>1117</v>
      </c>
      <c r="B564">
        <v>31.8560201904405</v>
      </c>
      <c r="C564">
        <f>IF(B564&lt;$G$2, $F$2, IF(B564&lt;$G$3, $F$3, IF(B564&lt;$G$4, $F$4, IF(B564&lt;$G$5, $F$5, IF(B564&lt;$G$6, $F$6, IF(B564&lt;$G$7, $F$7, IF(B564&lt;$G$8, $F$8, IF(B564&lt;$G$9, $F$9, IF(B564&lt;$G$10, $F$10, $F$11)))))))))</f>
        <v>0.6</v>
      </c>
      <c r="D564">
        <f t="shared" si="8"/>
        <v>6</v>
      </c>
    </row>
    <row r="565" spans="1:4" x14ac:dyDescent="0.55000000000000004">
      <c r="A565">
        <v>1118</v>
      </c>
      <c r="B565">
        <v>205.01912843138501</v>
      </c>
      <c r="C565">
        <f>IF(B565&lt;$G$2, $F$2, IF(B565&lt;$G$3, $F$3, IF(B565&lt;$G$4, $F$4, IF(B565&lt;$G$5, $F$5, IF(B565&lt;$G$6, $F$6, IF(B565&lt;$G$7, $F$7, IF(B565&lt;$G$8, $F$8, IF(B565&lt;$G$9, $F$9, IF(B565&lt;$G$10, $F$10, $F$11)))))))))</f>
        <v>0.9</v>
      </c>
      <c r="D565">
        <f t="shared" si="8"/>
        <v>9</v>
      </c>
    </row>
    <row r="566" spans="1:4" x14ac:dyDescent="0.55000000000000004">
      <c r="A566">
        <v>1119</v>
      </c>
      <c r="B566">
        <v>64.763378702681607</v>
      </c>
      <c r="C566">
        <f>IF(B566&lt;$G$2, $F$2, IF(B566&lt;$G$3, $F$3, IF(B566&lt;$G$4, $F$4, IF(B566&lt;$G$5, $F$5, IF(B566&lt;$G$6, $F$6, IF(B566&lt;$G$7, $F$7, IF(B566&lt;$G$8, $F$8, IF(B566&lt;$G$9, $F$9, IF(B566&lt;$G$10, $F$10, $F$11)))))))))</f>
        <v>0.8</v>
      </c>
      <c r="D566">
        <f t="shared" si="8"/>
        <v>8</v>
      </c>
    </row>
    <row r="567" spans="1:4" x14ac:dyDescent="0.55000000000000004">
      <c r="A567">
        <v>1120</v>
      </c>
      <c r="B567">
        <v>40.247884122716698</v>
      </c>
      <c r="C567">
        <f>IF(B567&lt;$G$2, $F$2, IF(B567&lt;$G$3, $F$3, IF(B567&lt;$G$4, $F$4, IF(B567&lt;$G$5, $F$5, IF(B567&lt;$G$6, $F$6, IF(B567&lt;$G$7, $F$7, IF(B567&lt;$G$8, $F$8, IF(B567&lt;$G$9, $F$9, IF(B567&lt;$G$10, $F$10, $F$11)))))))))</f>
        <v>0.6</v>
      </c>
      <c r="D567">
        <f t="shared" si="8"/>
        <v>6</v>
      </c>
    </row>
    <row r="568" spans="1:4" x14ac:dyDescent="0.55000000000000004">
      <c r="A568">
        <v>1121</v>
      </c>
      <c r="B568">
        <v>65.716241657624195</v>
      </c>
      <c r="C568">
        <f>IF(B568&lt;$G$2, $F$2, IF(B568&lt;$G$3, $F$3, IF(B568&lt;$G$4, $F$4, IF(B568&lt;$G$5, $F$5, IF(B568&lt;$G$6, $F$6, IF(B568&lt;$G$7, $F$7, IF(B568&lt;$G$8, $F$8, IF(B568&lt;$G$9, $F$9, IF(B568&lt;$G$10, $F$10, $F$11)))))))))</f>
        <v>0.8</v>
      </c>
      <c r="D568">
        <f t="shared" si="8"/>
        <v>8</v>
      </c>
    </row>
    <row r="569" spans="1:4" x14ac:dyDescent="0.55000000000000004">
      <c r="A569">
        <v>1122</v>
      </c>
      <c r="B569">
        <v>16.145438861102601</v>
      </c>
      <c r="C569">
        <f>IF(B569&lt;$G$2, $F$2, IF(B569&lt;$G$3, $F$3, IF(B569&lt;$G$4, $F$4, IF(B569&lt;$G$5, $F$5, IF(B569&lt;$G$6, $F$6, IF(B569&lt;$G$7, $F$7, IF(B569&lt;$G$8, $F$8, IF(B569&lt;$G$9, $F$9, IF(B569&lt;$G$10, $F$10, $F$11)))))))))</f>
        <v>0.4</v>
      </c>
      <c r="D569">
        <f t="shared" si="8"/>
        <v>4</v>
      </c>
    </row>
    <row r="570" spans="1:4" x14ac:dyDescent="0.55000000000000004">
      <c r="A570">
        <v>1123</v>
      </c>
      <c r="B570">
        <v>47.310842872691303</v>
      </c>
      <c r="C570">
        <f>IF(B570&lt;$G$2, $F$2, IF(B570&lt;$G$3, $F$3, IF(B570&lt;$G$4, $F$4, IF(B570&lt;$G$5, $F$5, IF(B570&lt;$G$6, $F$6, IF(B570&lt;$G$7, $F$7, IF(B570&lt;$G$8, $F$8, IF(B570&lt;$G$9, $F$9, IF(B570&lt;$G$10, $F$10, $F$11)))))))))</f>
        <v>0.7</v>
      </c>
      <c r="D570">
        <f t="shared" si="8"/>
        <v>7</v>
      </c>
    </row>
    <row r="571" spans="1:4" x14ac:dyDescent="0.55000000000000004">
      <c r="A571">
        <v>1124</v>
      </c>
      <c r="B571">
        <v>22.876615934267701</v>
      </c>
      <c r="C571">
        <f>IF(B571&lt;$G$2, $F$2, IF(B571&lt;$G$3, $F$3, IF(B571&lt;$G$4, $F$4, IF(B571&lt;$G$5, $F$5, IF(B571&lt;$G$6, $F$6, IF(B571&lt;$G$7, $F$7, IF(B571&lt;$G$8, $F$8, IF(B571&lt;$G$9, $F$9, IF(B571&lt;$G$10, $F$10, $F$11)))))))))</f>
        <v>0.5</v>
      </c>
      <c r="D571">
        <f t="shared" si="8"/>
        <v>5</v>
      </c>
    </row>
    <row r="572" spans="1:4" x14ac:dyDescent="0.55000000000000004">
      <c r="A572">
        <v>1125</v>
      </c>
      <c r="B572">
        <v>349.97267118155099</v>
      </c>
      <c r="C572">
        <f>IF(B572&lt;$G$2, $F$2, IF(B572&lt;$G$3, $F$3, IF(B572&lt;$G$4, $F$4, IF(B572&lt;$G$5, $F$5, IF(B572&lt;$G$6, $F$6, IF(B572&lt;$G$7, $F$7, IF(B572&lt;$G$8, $F$8, IF(B572&lt;$G$9, $F$9, IF(B572&lt;$G$10, $F$10, $F$11)))))))))</f>
        <v>0.9</v>
      </c>
      <c r="D572">
        <f t="shared" si="8"/>
        <v>9</v>
      </c>
    </row>
    <row r="573" spans="1:4" x14ac:dyDescent="0.55000000000000004">
      <c r="A573">
        <v>1126</v>
      </c>
      <c r="B573">
        <v>6.7958353205968702</v>
      </c>
      <c r="C573">
        <f>IF(B573&lt;$G$2, $F$2, IF(B573&lt;$G$3, $F$3, IF(B573&lt;$G$4, $F$4, IF(B573&lt;$G$5, $F$5, IF(B573&lt;$G$6, $F$6, IF(B573&lt;$G$7, $F$7, IF(B573&lt;$G$8, $F$8, IF(B573&lt;$G$9, $F$9, IF(B573&lt;$G$10, $F$10, $F$11)))))))))</f>
        <v>0.3</v>
      </c>
      <c r="D573">
        <f t="shared" si="8"/>
        <v>3</v>
      </c>
    </row>
    <row r="574" spans="1:4" x14ac:dyDescent="0.55000000000000004">
      <c r="A574">
        <v>1127</v>
      </c>
      <c r="B574">
        <v>17.347610905467999</v>
      </c>
      <c r="C574">
        <f>IF(B574&lt;$G$2, $F$2, IF(B574&lt;$G$3, $F$3, IF(B574&lt;$G$4, $F$4, IF(B574&lt;$G$5, $F$5, IF(B574&lt;$G$6, $F$6, IF(B574&lt;$G$7, $F$7, IF(B574&lt;$G$8, $F$8, IF(B574&lt;$G$9, $F$9, IF(B574&lt;$G$10, $F$10, $F$11)))))))))</f>
        <v>0.4</v>
      </c>
      <c r="D574">
        <f t="shared" si="8"/>
        <v>4</v>
      </c>
    </row>
    <row r="575" spans="1:4" x14ac:dyDescent="0.55000000000000004">
      <c r="A575">
        <v>1128</v>
      </c>
      <c r="B575">
        <v>32.5346867483183</v>
      </c>
      <c r="C575">
        <f>IF(B575&lt;$G$2, $F$2, IF(B575&lt;$G$3, $F$3, IF(B575&lt;$G$4, $F$4, IF(B575&lt;$G$5, $F$5, IF(B575&lt;$G$6, $F$6, IF(B575&lt;$G$7, $F$7, IF(B575&lt;$G$8, $F$8, IF(B575&lt;$G$9, $F$9, IF(B575&lt;$G$10, $F$10, $F$11)))))))))</f>
        <v>0.6</v>
      </c>
      <c r="D575">
        <f t="shared" si="8"/>
        <v>6</v>
      </c>
    </row>
    <row r="576" spans="1:4" x14ac:dyDescent="0.55000000000000004">
      <c r="A576">
        <v>1129</v>
      </c>
      <c r="B576">
        <v>4.2236977593502898</v>
      </c>
      <c r="C576">
        <f>IF(B576&lt;$G$2, $F$2, IF(B576&lt;$G$3, $F$3, IF(B576&lt;$G$4, $F$4, IF(B576&lt;$G$5, $F$5, IF(B576&lt;$G$6, $F$6, IF(B576&lt;$G$7, $F$7, IF(B576&lt;$G$8, $F$8, IF(B576&lt;$G$9, $F$9, IF(B576&lt;$G$10, $F$10, $F$11)))))))))</f>
        <v>0.2</v>
      </c>
      <c r="D576">
        <f t="shared" si="8"/>
        <v>2</v>
      </c>
    </row>
    <row r="577" spans="1:4" x14ac:dyDescent="0.55000000000000004">
      <c r="A577">
        <v>1130</v>
      </c>
      <c r="B577">
        <v>4.9518407954007202</v>
      </c>
      <c r="C577">
        <f>IF(B577&lt;$G$2, $F$2, IF(B577&lt;$G$3, $F$3, IF(B577&lt;$G$4, $F$4, IF(B577&lt;$G$5, $F$5, IF(B577&lt;$G$6, $F$6, IF(B577&lt;$G$7, $F$7, IF(B577&lt;$G$8, $F$8, IF(B577&lt;$G$9, $F$9, IF(B577&lt;$G$10, $F$10, $F$11)))))))))</f>
        <v>0.2</v>
      </c>
      <c r="D577">
        <f t="shared" si="8"/>
        <v>2</v>
      </c>
    </row>
    <row r="578" spans="1:4" x14ac:dyDescent="0.55000000000000004">
      <c r="A578">
        <v>1131</v>
      </c>
      <c r="B578">
        <v>446.775819789043</v>
      </c>
      <c r="C578">
        <f>IF(B578&lt;$G$2, $F$2, IF(B578&lt;$G$3, $F$3, IF(B578&lt;$G$4, $F$4, IF(B578&lt;$G$5, $F$5, IF(B578&lt;$G$6, $F$6, IF(B578&lt;$G$7, $F$7, IF(B578&lt;$G$8, $F$8, IF(B578&lt;$G$9, $F$9, IF(B578&lt;$G$10, $F$10, $F$11)))))))))</f>
        <v>1</v>
      </c>
      <c r="D578">
        <f t="shared" si="8"/>
        <v>10</v>
      </c>
    </row>
    <row r="579" spans="1:4" x14ac:dyDescent="0.55000000000000004">
      <c r="A579">
        <v>1132</v>
      </c>
      <c r="B579">
        <v>4.9265011355865598</v>
      </c>
      <c r="C579">
        <f>IF(B579&lt;$G$2, $F$2, IF(B579&lt;$G$3, $F$3, IF(B579&lt;$G$4, $F$4, IF(B579&lt;$G$5, $F$5, IF(B579&lt;$G$6, $F$6, IF(B579&lt;$G$7, $F$7, IF(B579&lt;$G$8, $F$8, IF(B579&lt;$G$9, $F$9, IF(B579&lt;$G$10, $F$10, $F$11)))))))))</f>
        <v>0.2</v>
      </c>
      <c r="D579">
        <f t="shared" ref="D579:D642" si="9">C579*10</f>
        <v>2</v>
      </c>
    </row>
    <row r="580" spans="1:4" x14ac:dyDescent="0.55000000000000004">
      <c r="A580">
        <v>1133</v>
      </c>
      <c r="B580">
        <v>110.818768357948</v>
      </c>
      <c r="C580">
        <f>IF(B580&lt;$G$2, $F$2, IF(B580&lt;$G$3, $F$3, IF(B580&lt;$G$4, $F$4, IF(B580&lt;$G$5, $F$5, IF(B580&lt;$G$6, $F$6, IF(B580&lt;$G$7, $F$7, IF(B580&lt;$G$8, $F$8, IF(B580&lt;$G$9, $F$9, IF(B580&lt;$G$10, $F$10, $F$11)))))))))</f>
        <v>0.8</v>
      </c>
      <c r="D580">
        <f t="shared" si="9"/>
        <v>8</v>
      </c>
    </row>
    <row r="581" spans="1:4" x14ac:dyDescent="0.55000000000000004">
      <c r="A581">
        <v>1134</v>
      </c>
      <c r="B581">
        <v>221.48014903607699</v>
      </c>
      <c r="C581">
        <f>IF(B581&lt;$G$2, $F$2, IF(B581&lt;$G$3, $F$3, IF(B581&lt;$G$4, $F$4, IF(B581&lt;$G$5, $F$5, IF(B581&lt;$G$6, $F$6, IF(B581&lt;$G$7, $F$7, IF(B581&lt;$G$8, $F$8, IF(B581&lt;$G$9, $F$9, IF(B581&lt;$G$10, $F$10, $F$11)))))))))</f>
        <v>0.9</v>
      </c>
      <c r="D581">
        <f t="shared" si="9"/>
        <v>9</v>
      </c>
    </row>
    <row r="582" spans="1:4" x14ac:dyDescent="0.55000000000000004">
      <c r="A582">
        <v>1135</v>
      </c>
      <c r="B582">
        <v>182.55347355523699</v>
      </c>
      <c r="C582">
        <f>IF(B582&lt;$G$2, $F$2, IF(B582&lt;$G$3, $F$3, IF(B582&lt;$G$4, $F$4, IF(B582&lt;$G$5, $F$5, IF(B582&lt;$G$6, $F$6, IF(B582&lt;$G$7, $F$7, IF(B582&lt;$G$8, $F$8, IF(B582&lt;$G$9, $F$9, IF(B582&lt;$G$10, $F$10, $F$11)))))))))</f>
        <v>0.9</v>
      </c>
      <c r="D582">
        <f t="shared" si="9"/>
        <v>9</v>
      </c>
    </row>
    <row r="583" spans="1:4" x14ac:dyDescent="0.55000000000000004">
      <c r="A583">
        <v>1136</v>
      </c>
      <c r="B583">
        <v>25.7001159657204</v>
      </c>
      <c r="C583">
        <f>IF(B583&lt;$G$2, $F$2, IF(B583&lt;$G$3, $F$3, IF(B583&lt;$G$4, $F$4, IF(B583&lt;$G$5, $F$5, IF(B583&lt;$G$6, $F$6, IF(B583&lt;$G$7, $F$7, IF(B583&lt;$G$8, $F$8, IF(B583&lt;$G$9, $F$9, IF(B583&lt;$G$10, $F$10, $F$11)))))))))</f>
        <v>0.5</v>
      </c>
      <c r="D583">
        <f t="shared" si="9"/>
        <v>5</v>
      </c>
    </row>
    <row r="584" spans="1:4" x14ac:dyDescent="0.55000000000000004">
      <c r="A584">
        <v>1137</v>
      </c>
      <c r="B584">
        <v>46.0523515676255</v>
      </c>
      <c r="C584">
        <f>IF(B584&lt;$G$2, $F$2, IF(B584&lt;$G$3, $F$3, IF(B584&lt;$G$4, $F$4, IF(B584&lt;$G$5, $F$5, IF(B584&lt;$G$6, $F$6, IF(B584&lt;$G$7, $F$7, IF(B584&lt;$G$8, $F$8, IF(B584&lt;$G$9, $F$9, IF(B584&lt;$G$10, $F$10, $F$11)))))))))</f>
        <v>0.7</v>
      </c>
      <c r="D584">
        <f t="shared" si="9"/>
        <v>7</v>
      </c>
    </row>
    <row r="585" spans="1:4" x14ac:dyDescent="0.55000000000000004">
      <c r="A585">
        <v>1138</v>
      </c>
      <c r="B585">
        <v>27.719307294235801</v>
      </c>
      <c r="C585">
        <f>IF(B585&lt;$G$2, $F$2, IF(B585&lt;$G$3, $F$3, IF(B585&lt;$G$4, $F$4, IF(B585&lt;$G$5, $F$5, IF(B585&lt;$G$6, $F$6, IF(B585&lt;$G$7, $F$7, IF(B585&lt;$G$8, $F$8, IF(B585&lt;$G$9, $F$9, IF(B585&lt;$G$10, $F$10, $F$11)))))))))</f>
        <v>0.6</v>
      </c>
      <c r="D585">
        <f t="shared" si="9"/>
        <v>6</v>
      </c>
    </row>
    <row r="586" spans="1:4" x14ac:dyDescent="0.55000000000000004">
      <c r="A586">
        <v>1139</v>
      </c>
      <c r="B586">
        <v>7.77543538572366</v>
      </c>
      <c r="C586">
        <f>IF(B586&lt;$G$2, $F$2, IF(B586&lt;$G$3, $F$3, IF(B586&lt;$G$4, $F$4, IF(B586&lt;$G$5, $F$5, IF(B586&lt;$G$6, $F$6, IF(B586&lt;$G$7, $F$7, IF(B586&lt;$G$8, $F$8, IF(B586&lt;$G$9, $F$9, IF(B586&lt;$G$10, $F$10, $F$11)))))))))</f>
        <v>0.3</v>
      </c>
      <c r="D586">
        <f t="shared" si="9"/>
        <v>3</v>
      </c>
    </row>
    <row r="587" spans="1:4" x14ac:dyDescent="0.55000000000000004">
      <c r="A587">
        <v>1140</v>
      </c>
      <c r="B587">
        <v>14.488906378896001</v>
      </c>
      <c r="C587">
        <f>IF(B587&lt;$G$2, $F$2, IF(B587&lt;$G$3, $F$3, IF(B587&lt;$G$4, $F$4, IF(B587&lt;$G$5, $F$5, IF(B587&lt;$G$6, $F$6, IF(B587&lt;$G$7, $F$7, IF(B587&lt;$G$8, $F$8, IF(B587&lt;$G$9, $F$9, IF(B587&lt;$G$10, $F$10, $F$11)))))))))</f>
        <v>0.4</v>
      </c>
      <c r="D587">
        <f t="shared" si="9"/>
        <v>4</v>
      </c>
    </row>
    <row r="588" spans="1:4" x14ac:dyDescent="0.55000000000000004">
      <c r="A588">
        <v>1141</v>
      </c>
      <c r="B588">
        <v>28.286683215634898</v>
      </c>
      <c r="C588">
        <f>IF(B588&lt;$G$2, $F$2, IF(B588&lt;$G$3, $F$3, IF(B588&lt;$G$4, $F$4, IF(B588&lt;$G$5, $F$5, IF(B588&lt;$G$6, $F$6, IF(B588&lt;$G$7, $F$7, IF(B588&lt;$G$8, $F$8, IF(B588&lt;$G$9, $F$9, IF(B588&lt;$G$10, $F$10, $F$11)))))))))</f>
        <v>0.6</v>
      </c>
      <c r="D588">
        <f t="shared" si="9"/>
        <v>6</v>
      </c>
    </row>
    <row r="589" spans="1:4" x14ac:dyDescent="0.55000000000000004">
      <c r="A589">
        <v>1142</v>
      </c>
      <c r="B589">
        <v>57.867679582054301</v>
      </c>
      <c r="C589">
        <f>IF(B589&lt;$G$2, $F$2, IF(B589&lt;$G$3, $F$3, IF(B589&lt;$G$4, $F$4, IF(B589&lt;$G$5, $F$5, IF(B589&lt;$G$6, $F$6, IF(B589&lt;$G$7, $F$7, IF(B589&lt;$G$8, $F$8, IF(B589&lt;$G$9, $F$9, IF(B589&lt;$G$10, $F$10, $F$11)))))))))</f>
        <v>0.7</v>
      </c>
      <c r="D589">
        <f t="shared" si="9"/>
        <v>7</v>
      </c>
    </row>
    <row r="590" spans="1:4" x14ac:dyDescent="0.55000000000000004">
      <c r="A590">
        <v>1143</v>
      </c>
      <c r="B590">
        <v>22.410252590560201</v>
      </c>
      <c r="C590">
        <f>IF(B590&lt;$G$2, $F$2, IF(B590&lt;$G$3, $F$3, IF(B590&lt;$G$4, $F$4, IF(B590&lt;$G$5, $F$5, IF(B590&lt;$G$6, $F$6, IF(B590&lt;$G$7, $F$7, IF(B590&lt;$G$8, $F$8, IF(B590&lt;$G$9, $F$9, IF(B590&lt;$G$10, $F$10, $F$11)))))))))</f>
        <v>0.5</v>
      </c>
      <c r="D590">
        <f t="shared" si="9"/>
        <v>5</v>
      </c>
    </row>
    <row r="591" spans="1:4" x14ac:dyDescent="0.55000000000000004">
      <c r="A591">
        <v>1144</v>
      </c>
      <c r="B591">
        <v>95.245362504594198</v>
      </c>
      <c r="C591">
        <f>IF(B591&lt;$G$2, $F$2, IF(B591&lt;$G$3, $F$3, IF(B591&lt;$G$4, $F$4, IF(B591&lt;$G$5, $F$5, IF(B591&lt;$G$6, $F$6, IF(B591&lt;$G$7, $F$7, IF(B591&lt;$G$8, $F$8, IF(B591&lt;$G$9, $F$9, IF(B591&lt;$G$10, $F$10, $F$11)))))))))</f>
        <v>0.8</v>
      </c>
      <c r="D591">
        <f t="shared" si="9"/>
        <v>8</v>
      </c>
    </row>
    <row r="592" spans="1:4" x14ac:dyDescent="0.55000000000000004">
      <c r="A592">
        <v>1145</v>
      </c>
      <c r="B592">
        <v>27.443510477960601</v>
      </c>
      <c r="C592">
        <f>IF(B592&lt;$G$2, $F$2, IF(B592&lt;$G$3, $F$3, IF(B592&lt;$G$4, $F$4, IF(B592&lt;$G$5, $F$5, IF(B592&lt;$G$6, $F$6, IF(B592&lt;$G$7, $F$7, IF(B592&lt;$G$8, $F$8, IF(B592&lt;$G$9, $F$9, IF(B592&lt;$G$10, $F$10, $F$11)))))))))</f>
        <v>0.6</v>
      </c>
      <c r="D592">
        <f t="shared" si="9"/>
        <v>6</v>
      </c>
    </row>
    <row r="593" spans="1:4" x14ac:dyDescent="0.55000000000000004">
      <c r="A593">
        <v>1146</v>
      </c>
      <c r="B593">
        <v>35.916823724951897</v>
      </c>
      <c r="C593">
        <f>IF(B593&lt;$G$2, $F$2, IF(B593&lt;$G$3, $F$3, IF(B593&lt;$G$4, $F$4, IF(B593&lt;$G$5, $F$5, IF(B593&lt;$G$6, $F$6, IF(B593&lt;$G$7, $F$7, IF(B593&lt;$G$8, $F$8, IF(B593&lt;$G$9, $F$9, IF(B593&lt;$G$10, $F$10, $F$11)))))))))</f>
        <v>0.6</v>
      </c>
      <c r="D593">
        <f t="shared" si="9"/>
        <v>6</v>
      </c>
    </row>
    <row r="594" spans="1:4" x14ac:dyDescent="0.55000000000000004">
      <c r="A594">
        <v>1147</v>
      </c>
      <c r="B594">
        <v>9.4509687199357995</v>
      </c>
      <c r="C594">
        <f>IF(B594&lt;$G$2, $F$2, IF(B594&lt;$G$3, $F$3, IF(B594&lt;$G$4, $F$4, IF(B594&lt;$G$5, $F$5, IF(B594&lt;$G$6, $F$6, IF(B594&lt;$G$7, $F$7, IF(B594&lt;$G$8, $F$8, IF(B594&lt;$G$9, $F$9, IF(B594&lt;$G$10, $F$10, $F$11)))))))))</f>
        <v>0.3</v>
      </c>
      <c r="D594">
        <f t="shared" si="9"/>
        <v>3</v>
      </c>
    </row>
    <row r="595" spans="1:4" x14ac:dyDescent="0.55000000000000004">
      <c r="A595">
        <v>1148</v>
      </c>
      <c r="B595">
        <v>6.8926397205259802</v>
      </c>
      <c r="C595">
        <f>IF(B595&lt;$G$2, $F$2, IF(B595&lt;$G$3, $F$3, IF(B595&lt;$G$4, $F$4, IF(B595&lt;$G$5, $F$5, IF(B595&lt;$G$6, $F$6, IF(B595&lt;$G$7, $F$7, IF(B595&lt;$G$8, $F$8, IF(B595&lt;$G$9, $F$9, IF(B595&lt;$G$10, $F$10, $F$11)))))))))</f>
        <v>0.3</v>
      </c>
      <c r="D595">
        <f t="shared" si="9"/>
        <v>3</v>
      </c>
    </row>
    <row r="596" spans="1:4" x14ac:dyDescent="0.55000000000000004">
      <c r="A596">
        <v>1149</v>
      </c>
      <c r="B596">
        <v>114.37909403422501</v>
      </c>
      <c r="C596">
        <f>IF(B596&lt;$G$2, $F$2, IF(B596&lt;$G$3, $F$3, IF(B596&lt;$G$4, $F$4, IF(B596&lt;$G$5, $F$5, IF(B596&lt;$G$6, $F$6, IF(B596&lt;$G$7, $F$7, IF(B596&lt;$G$8, $F$8, IF(B596&lt;$G$9, $F$9, IF(B596&lt;$G$10, $F$10, $F$11)))))))))</f>
        <v>0.9</v>
      </c>
      <c r="D596">
        <f t="shared" si="9"/>
        <v>9</v>
      </c>
    </row>
    <row r="597" spans="1:4" x14ac:dyDescent="0.55000000000000004">
      <c r="A597">
        <v>1150</v>
      </c>
      <c r="B597">
        <v>7.9689209880907903</v>
      </c>
      <c r="C597">
        <f>IF(B597&lt;$G$2, $F$2, IF(B597&lt;$G$3, $F$3, IF(B597&lt;$G$4, $F$4, IF(B597&lt;$G$5, $F$5, IF(B597&lt;$G$6, $F$6, IF(B597&lt;$G$7, $F$7, IF(B597&lt;$G$8, $F$8, IF(B597&lt;$G$9, $F$9, IF(B597&lt;$G$10, $F$10, $F$11)))))))))</f>
        <v>0.3</v>
      </c>
      <c r="D597">
        <f t="shared" si="9"/>
        <v>3</v>
      </c>
    </row>
    <row r="598" spans="1:4" x14ac:dyDescent="0.55000000000000004">
      <c r="A598">
        <v>1151</v>
      </c>
      <c r="B598">
        <v>1403.0996762933501</v>
      </c>
      <c r="C598">
        <f>IF(B598&lt;$G$2, $F$2, IF(B598&lt;$G$3, $F$3, IF(B598&lt;$G$4, $F$4, IF(B598&lt;$G$5, $F$5, IF(B598&lt;$G$6, $F$6, IF(B598&lt;$G$7, $F$7, IF(B598&lt;$G$8, $F$8, IF(B598&lt;$G$9, $F$9, IF(B598&lt;$G$10, $F$10, $F$11)))))))))</f>
        <v>1</v>
      </c>
      <c r="D598">
        <f t="shared" si="9"/>
        <v>10</v>
      </c>
    </row>
    <row r="599" spans="1:4" x14ac:dyDescent="0.55000000000000004">
      <c r="A599">
        <v>1152</v>
      </c>
      <c r="B599">
        <v>479.55502511233402</v>
      </c>
      <c r="C599">
        <f>IF(B599&lt;$G$2, $F$2, IF(B599&lt;$G$3, $F$3, IF(B599&lt;$G$4, $F$4, IF(B599&lt;$G$5, $F$5, IF(B599&lt;$G$6, $F$6, IF(B599&lt;$G$7, $F$7, IF(B599&lt;$G$8, $F$8, IF(B599&lt;$G$9, $F$9, IF(B599&lt;$G$10, $F$10, $F$11)))))))))</f>
        <v>1</v>
      </c>
      <c r="D599">
        <f t="shared" si="9"/>
        <v>10</v>
      </c>
    </row>
    <row r="600" spans="1:4" x14ac:dyDescent="0.55000000000000004">
      <c r="A600">
        <v>1153</v>
      </c>
      <c r="B600">
        <v>1524.3141781204099</v>
      </c>
      <c r="C600">
        <f>IF(B600&lt;$G$2, $F$2, IF(B600&lt;$G$3, $F$3, IF(B600&lt;$G$4, $F$4, IF(B600&lt;$G$5, $F$5, IF(B600&lt;$G$6, $F$6, IF(B600&lt;$G$7, $F$7, IF(B600&lt;$G$8, $F$8, IF(B600&lt;$G$9, $F$9, IF(B600&lt;$G$10, $F$10, $F$11)))))))))</f>
        <v>1</v>
      </c>
      <c r="D600">
        <f t="shared" si="9"/>
        <v>10</v>
      </c>
    </row>
    <row r="601" spans="1:4" x14ac:dyDescent="0.55000000000000004">
      <c r="A601">
        <v>1154</v>
      </c>
      <c r="B601">
        <v>11.982651373029601</v>
      </c>
      <c r="C601">
        <f>IF(B601&lt;$G$2, $F$2, IF(B601&lt;$G$3, $F$3, IF(B601&lt;$G$4, $F$4, IF(B601&lt;$G$5, $F$5, IF(B601&lt;$G$6, $F$6, IF(B601&lt;$G$7, $F$7, IF(B601&lt;$G$8, $F$8, IF(B601&lt;$G$9, $F$9, IF(B601&lt;$G$10, $F$10, $F$11)))))))))</f>
        <v>0.4</v>
      </c>
      <c r="D601">
        <f t="shared" si="9"/>
        <v>4</v>
      </c>
    </row>
    <row r="602" spans="1:4" x14ac:dyDescent="0.55000000000000004">
      <c r="A602">
        <v>1155</v>
      </c>
      <c r="B602">
        <v>12.5404491388846</v>
      </c>
      <c r="C602">
        <f>IF(B602&lt;$G$2, $F$2, IF(B602&lt;$G$3, $F$3, IF(B602&lt;$G$4, $F$4, IF(B602&lt;$G$5, $F$5, IF(B602&lt;$G$6, $F$6, IF(B602&lt;$G$7, $F$7, IF(B602&lt;$G$8, $F$8, IF(B602&lt;$G$9, $F$9, IF(B602&lt;$G$10, $F$10, $F$11)))))))))</f>
        <v>0.4</v>
      </c>
      <c r="D602">
        <f t="shared" si="9"/>
        <v>4</v>
      </c>
    </row>
    <row r="603" spans="1:4" x14ac:dyDescent="0.55000000000000004">
      <c r="A603">
        <v>1156</v>
      </c>
      <c r="B603">
        <v>11.415720178102299</v>
      </c>
      <c r="C603">
        <f>IF(B603&lt;$G$2, $F$2, IF(B603&lt;$G$3, $F$3, IF(B603&lt;$G$4, $F$4, IF(B603&lt;$G$5, $F$5, IF(B603&lt;$G$6, $F$6, IF(B603&lt;$G$7, $F$7, IF(B603&lt;$G$8, $F$8, IF(B603&lt;$G$9, $F$9, IF(B603&lt;$G$10, $F$10, $F$11)))))))))</f>
        <v>0.4</v>
      </c>
      <c r="D603">
        <f t="shared" si="9"/>
        <v>4</v>
      </c>
    </row>
    <row r="604" spans="1:4" x14ac:dyDescent="0.55000000000000004">
      <c r="A604">
        <v>1157</v>
      </c>
      <c r="B604">
        <v>133.93231474408299</v>
      </c>
      <c r="C604">
        <f>IF(B604&lt;$G$2, $F$2, IF(B604&lt;$G$3, $F$3, IF(B604&lt;$G$4, $F$4, IF(B604&lt;$G$5, $F$5, IF(B604&lt;$G$6, $F$6, IF(B604&lt;$G$7, $F$7, IF(B604&lt;$G$8, $F$8, IF(B604&lt;$G$9, $F$9, IF(B604&lt;$G$10, $F$10, $F$11)))))))))</f>
        <v>0.9</v>
      </c>
      <c r="D604">
        <f t="shared" si="9"/>
        <v>9</v>
      </c>
    </row>
    <row r="605" spans="1:4" x14ac:dyDescent="0.55000000000000004">
      <c r="A605">
        <v>1158</v>
      </c>
      <c r="B605">
        <v>56.249425231222801</v>
      </c>
      <c r="C605">
        <f>IF(B605&lt;$G$2, $F$2, IF(B605&lt;$G$3, $F$3, IF(B605&lt;$G$4, $F$4, IF(B605&lt;$G$5, $F$5, IF(B605&lt;$G$6, $F$6, IF(B605&lt;$G$7, $F$7, IF(B605&lt;$G$8, $F$8, IF(B605&lt;$G$9, $F$9, IF(B605&lt;$G$10, $F$10, $F$11)))))))))</f>
        <v>0.7</v>
      </c>
      <c r="D605">
        <f t="shared" si="9"/>
        <v>7</v>
      </c>
    </row>
    <row r="606" spans="1:4" x14ac:dyDescent="0.55000000000000004">
      <c r="A606">
        <v>1159</v>
      </c>
      <c r="B606">
        <v>5.7145983176726398</v>
      </c>
      <c r="C606">
        <f>IF(B606&lt;$G$2, $F$2, IF(B606&lt;$G$3, $F$3, IF(B606&lt;$G$4, $F$4, IF(B606&lt;$G$5, $F$5, IF(B606&lt;$G$6, $F$6, IF(B606&lt;$G$7, $F$7, IF(B606&lt;$G$8, $F$8, IF(B606&lt;$G$9, $F$9, IF(B606&lt;$G$10, $F$10, $F$11)))))))))</f>
        <v>0.3</v>
      </c>
      <c r="D606">
        <f t="shared" si="9"/>
        <v>3</v>
      </c>
    </row>
    <row r="607" spans="1:4" x14ac:dyDescent="0.55000000000000004">
      <c r="A607">
        <v>1160</v>
      </c>
      <c r="B607">
        <v>266.11906769399098</v>
      </c>
      <c r="C607">
        <f>IF(B607&lt;$G$2, $F$2, IF(B607&lt;$G$3, $F$3, IF(B607&lt;$G$4, $F$4, IF(B607&lt;$G$5, $F$5, IF(B607&lt;$G$6, $F$6, IF(B607&lt;$G$7, $F$7, IF(B607&lt;$G$8, $F$8, IF(B607&lt;$G$9, $F$9, IF(B607&lt;$G$10, $F$10, $F$11)))))))))</f>
        <v>0.9</v>
      </c>
      <c r="D607">
        <f t="shared" si="9"/>
        <v>9</v>
      </c>
    </row>
    <row r="608" spans="1:4" x14ac:dyDescent="0.55000000000000004">
      <c r="A608">
        <v>1161</v>
      </c>
      <c r="B608">
        <v>19.142042184392899</v>
      </c>
      <c r="C608">
        <f>IF(B608&lt;$G$2, $F$2, IF(B608&lt;$G$3, $F$3, IF(B608&lt;$G$4, $F$4, IF(B608&lt;$G$5, $F$5, IF(B608&lt;$G$6, $F$6, IF(B608&lt;$G$7, $F$7, IF(B608&lt;$G$8, $F$8, IF(B608&lt;$G$9, $F$9, IF(B608&lt;$G$10, $F$10, $F$11)))))))))</f>
        <v>0.5</v>
      </c>
      <c r="D608">
        <f t="shared" si="9"/>
        <v>5</v>
      </c>
    </row>
    <row r="609" spans="1:4" x14ac:dyDescent="0.55000000000000004">
      <c r="A609">
        <v>1162</v>
      </c>
      <c r="B609">
        <v>58.598661185098102</v>
      </c>
      <c r="C609">
        <f>IF(B609&lt;$G$2, $F$2, IF(B609&lt;$G$3, $F$3, IF(B609&lt;$G$4, $F$4, IF(B609&lt;$G$5, $F$5, IF(B609&lt;$G$6, $F$6, IF(B609&lt;$G$7, $F$7, IF(B609&lt;$G$8, $F$8, IF(B609&lt;$G$9, $F$9, IF(B609&lt;$G$10, $F$10, $F$11)))))))))</f>
        <v>0.7</v>
      </c>
      <c r="D609">
        <f t="shared" si="9"/>
        <v>7</v>
      </c>
    </row>
    <row r="610" spans="1:4" x14ac:dyDescent="0.55000000000000004">
      <c r="A610">
        <v>1163</v>
      </c>
      <c r="B610">
        <v>49.238213583486903</v>
      </c>
      <c r="C610">
        <f>IF(B610&lt;$G$2, $F$2, IF(B610&lt;$G$3, $F$3, IF(B610&lt;$G$4, $F$4, IF(B610&lt;$G$5, $F$5, IF(B610&lt;$G$6, $F$6, IF(B610&lt;$G$7, $F$7, IF(B610&lt;$G$8, $F$8, IF(B610&lt;$G$9, $F$9, IF(B610&lt;$G$10, $F$10, $F$11)))))))))</f>
        <v>0.7</v>
      </c>
      <c r="D610">
        <f t="shared" si="9"/>
        <v>7</v>
      </c>
    </row>
    <row r="611" spans="1:4" x14ac:dyDescent="0.55000000000000004">
      <c r="A611">
        <v>1164</v>
      </c>
      <c r="B611">
        <v>24.406536624985101</v>
      </c>
      <c r="C611">
        <f>IF(B611&lt;$G$2, $F$2, IF(B611&lt;$G$3, $F$3, IF(B611&lt;$G$4, $F$4, IF(B611&lt;$G$5, $F$5, IF(B611&lt;$G$6, $F$6, IF(B611&lt;$G$7, $F$7, IF(B611&lt;$G$8, $F$8, IF(B611&lt;$G$9, $F$9, IF(B611&lt;$G$10, $F$10, $F$11)))))))))</f>
        <v>0.5</v>
      </c>
      <c r="D611">
        <f t="shared" si="9"/>
        <v>5</v>
      </c>
    </row>
    <row r="612" spans="1:4" x14ac:dyDescent="0.55000000000000004">
      <c r="A612">
        <v>1165</v>
      </c>
      <c r="B612">
        <v>4.0322422947451599</v>
      </c>
      <c r="C612">
        <f>IF(B612&lt;$G$2, $F$2, IF(B612&lt;$G$3, $F$3, IF(B612&lt;$G$4, $F$4, IF(B612&lt;$G$5, $F$5, IF(B612&lt;$G$6, $F$6, IF(B612&lt;$G$7, $F$7, IF(B612&lt;$G$8, $F$8, IF(B612&lt;$G$9, $F$9, IF(B612&lt;$G$10, $F$10, $F$11)))))))))</f>
        <v>0.2</v>
      </c>
      <c r="D612">
        <f t="shared" si="9"/>
        <v>2</v>
      </c>
    </row>
    <row r="613" spans="1:4" x14ac:dyDescent="0.55000000000000004">
      <c r="A613">
        <v>2000</v>
      </c>
      <c r="B613">
        <v>162.38002348977599</v>
      </c>
      <c r="C613">
        <f>IF(B613&lt;$G$2, $F$2, IF(B613&lt;$G$3, $F$3, IF(B613&lt;$G$4, $F$4, IF(B613&lt;$G$5, $F$5, IF(B613&lt;$G$6, $F$6, IF(B613&lt;$G$7, $F$7, IF(B613&lt;$G$8, $F$8, IF(B613&lt;$G$9, $F$9, IF(B613&lt;$G$10, $F$10, $F$11)))))))))</f>
        <v>0.9</v>
      </c>
      <c r="D613">
        <f t="shared" si="9"/>
        <v>9</v>
      </c>
    </row>
    <row r="614" spans="1:4" x14ac:dyDescent="0.55000000000000004">
      <c r="A614">
        <v>2001</v>
      </c>
      <c r="B614">
        <v>71.616349448799994</v>
      </c>
      <c r="C614">
        <f>IF(B614&lt;$G$2, $F$2, IF(B614&lt;$G$3, $F$3, IF(B614&lt;$G$4, $F$4, IF(B614&lt;$G$5, $F$5, IF(B614&lt;$G$6, $F$6, IF(B614&lt;$G$7, $F$7, IF(B614&lt;$G$8, $F$8, IF(B614&lt;$G$9, $F$9, IF(B614&lt;$G$10, $F$10, $F$11)))))))))</f>
        <v>0.8</v>
      </c>
      <c r="D614">
        <f t="shared" si="9"/>
        <v>8</v>
      </c>
    </row>
    <row r="615" spans="1:4" x14ac:dyDescent="0.55000000000000004">
      <c r="A615">
        <v>2002</v>
      </c>
      <c r="B615">
        <v>3.60624335913778</v>
      </c>
      <c r="C615">
        <f>IF(B615&lt;$G$2, $F$2, IF(B615&lt;$G$3, $F$3, IF(B615&lt;$G$4, $F$4, IF(B615&lt;$G$5, $F$5, IF(B615&lt;$G$6, $F$6, IF(B615&lt;$G$7, $F$7, IF(B615&lt;$G$8, $F$8, IF(B615&lt;$G$9, $F$9, IF(B615&lt;$G$10, $F$10, $F$11)))))))))</f>
        <v>0.2</v>
      </c>
      <c r="D615">
        <f t="shared" si="9"/>
        <v>2</v>
      </c>
    </row>
    <row r="616" spans="1:4" x14ac:dyDescent="0.55000000000000004">
      <c r="A616">
        <v>2003</v>
      </c>
      <c r="B616">
        <v>188.42772894510401</v>
      </c>
      <c r="C616">
        <f>IF(B616&lt;$G$2, $F$2, IF(B616&lt;$G$3, $F$3, IF(B616&lt;$G$4, $F$4, IF(B616&lt;$G$5, $F$5, IF(B616&lt;$G$6, $F$6, IF(B616&lt;$G$7, $F$7, IF(B616&lt;$G$8, $F$8, IF(B616&lt;$G$9, $F$9, IF(B616&lt;$G$10, $F$10, $F$11)))))))))</f>
        <v>0.9</v>
      </c>
      <c r="D616">
        <f t="shared" si="9"/>
        <v>9</v>
      </c>
    </row>
    <row r="617" spans="1:4" x14ac:dyDescent="0.55000000000000004">
      <c r="A617">
        <v>2004</v>
      </c>
      <c r="B617">
        <v>8.6552289676857193</v>
      </c>
      <c r="C617">
        <f>IF(B617&lt;$G$2, $F$2, IF(B617&lt;$G$3, $F$3, IF(B617&lt;$G$4, $F$4, IF(B617&lt;$G$5, $F$5, IF(B617&lt;$G$6, $F$6, IF(B617&lt;$G$7, $F$7, IF(B617&lt;$G$8, $F$8, IF(B617&lt;$G$9, $F$9, IF(B617&lt;$G$10, $F$10, $F$11)))))))))</f>
        <v>0.3</v>
      </c>
      <c r="D617">
        <f t="shared" si="9"/>
        <v>3</v>
      </c>
    </row>
    <row r="618" spans="1:4" x14ac:dyDescent="0.55000000000000004">
      <c r="A618">
        <v>2005</v>
      </c>
      <c r="B618">
        <v>2.0277942509653299</v>
      </c>
      <c r="C618">
        <f>IF(B618&lt;$G$2, $F$2, IF(B618&lt;$G$3, $F$3, IF(B618&lt;$G$4, $F$4, IF(B618&lt;$G$5, $F$5, IF(B618&lt;$G$6, $F$6, IF(B618&lt;$G$7, $F$7, IF(B618&lt;$G$8, $F$8, IF(B618&lt;$G$9, $F$9, IF(B618&lt;$G$10, $F$10, $F$11)))))))))</f>
        <v>0.1</v>
      </c>
      <c r="D618">
        <f t="shared" si="9"/>
        <v>1</v>
      </c>
    </row>
    <row r="619" spans="1:4" x14ac:dyDescent="0.55000000000000004">
      <c r="A619">
        <v>2006</v>
      </c>
      <c r="B619">
        <v>182.459219247101</v>
      </c>
      <c r="C619">
        <f>IF(B619&lt;$G$2, $F$2, IF(B619&lt;$G$3, $F$3, IF(B619&lt;$G$4, $F$4, IF(B619&lt;$G$5, $F$5, IF(B619&lt;$G$6, $F$6, IF(B619&lt;$G$7, $F$7, IF(B619&lt;$G$8, $F$8, IF(B619&lt;$G$9, $F$9, IF(B619&lt;$G$10, $F$10, $F$11)))))))))</f>
        <v>0.9</v>
      </c>
      <c r="D619">
        <f t="shared" si="9"/>
        <v>9</v>
      </c>
    </row>
    <row r="620" spans="1:4" x14ac:dyDescent="0.55000000000000004">
      <c r="A620">
        <v>2007</v>
      </c>
      <c r="B620">
        <v>2.0619524039065098</v>
      </c>
      <c r="C620">
        <f>IF(B620&lt;$G$2, $F$2, IF(B620&lt;$G$3, $F$3, IF(B620&lt;$G$4, $F$4, IF(B620&lt;$G$5, $F$5, IF(B620&lt;$G$6, $F$6, IF(B620&lt;$G$7, $F$7, IF(B620&lt;$G$8, $F$8, IF(B620&lt;$G$9, $F$9, IF(B620&lt;$G$10, $F$10, $F$11)))))))))</f>
        <v>0.1</v>
      </c>
      <c r="D620">
        <f t="shared" si="9"/>
        <v>1</v>
      </c>
    </row>
    <row r="621" spans="1:4" x14ac:dyDescent="0.55000000000000004">
      <c r="A621">
        <v>2008</v>
      </c>
      <c r="B621">
        <v>5.85151388555298</v>
      </c>
      <c r="C621">
        <f>IF(B621&lt;$G$2, $F$2, IF(B621&lt;$G$3, $F$3, IF(B621&lt;$G$4, $F$4, IF(B621&lt;$G$5, $F$5, IF(B621&lt;$G$6, $F$6, IF(B621&lt;$G$7, $F$7, IF(B621&lt;$G$8, $F$8, IF(B621&lt;$G$9, $F$9, IF(B621&lt;$G$10, $F$10, $F$11)))))))))</f>
        <v>0.3</v>
      </c>
      <c r="D621">
        <f t="shared" si="9"/>
        <v>3</v>
      </c>
    </row>
    <row r="622" spans="1:4" x14ac:dyDescent="0.55000000000000004">
      <c r="A622">
        <v>2009</v>
      </c>
      <c r="B622">
        <v>203.706092489958</v>
      </c>
      <c r="C622">
        <f>IF(B622&lt;$G$2, $F$2, IF(B622&lt;$G$3, $F$3, IF(B622&lt;$G$4, $F$4, IF(B622&lt;$G$5, $F$5, IF(B622&lt;$G$6, $F$6, IF(B622&lt;$G$7, $F$7, IF(B622&lt;$G$8, $F$8, IF(B622&lt;$G$9, $F$9, IF(B622&lt;$G$10, $F$10, $F$11)))))))))</f>
        <v>0.9</v>
      </c>
      <c r="D622">
        <f t="shared" si="9"/>
        <v>9</v>
      </c>
    </row>
    <row r="623" spans="1:4" x14ac:dyDescent="0.55000000000000004">
      <c r="A623">
        <v>2010</v>
      </c>
      <c r="B623">
        <v>2.1449804219142701</v>
      </c>
      <c r="C623">
        <f>IF(B623&lt;$G$2, $F$2, IF(B623&lt;$G$3, $F$3, IF(B623&lt;$G$4, $F$4, IF(B623&lt;$G$5, $F$5, IF(B623&lt;$G$6, $F$6, IF(B623&lt;$G$7, $F$7, IF(B623&lt;$G$8, $F$8, IF(B623&lt;$G$9, $F$9, IF(B623&lt;$G$10, $F$10, $F$11)))))))))</f>
        <v>0.1</v>
      </c>
      <c r="D623">
        <f t="shared" si="9"/>
        <v>1</v>
      </c>
    </row>
    <row r="624" spans="1:4" x14ac:dyDescent="0.55000000000000004">
      <c r="A624">
        <v>2011</v>
      </c>
      <c r="B624">
        <v>43.117249325460399</v>
      </c>
      <c r="C624">
        <f>IF(B624&lt;$G$2, $F$2, IF(B624&lt;$G$3, $F$3, IF(B624&lt;$G$4, $F$4, IF(B624&lt;$G$5, $F$5, IF(B624&lt;$G$6, $F$6, IF(B624&lt;$G$7, $F$7, IF(B624&lt;$G$8, $F$8, IF(B624&lt;$G$9, $F$9, IF(B624&lt;$G$10, $F$10, $F$11)))))))))</f>
        <v>0.7</v>
      </c>
      <c r="D624">
        <f t="shared" si="9"/>
        <v>7</v>
      </c>
    </row>
    <row r="625" spans="1:4" x14ac:dyDescent="0.55000000000000004">
      <c r="A625">
        <v>2012</v>
      </c>
      <c r="B625">
        <v>2.7961447474531398</v>
      </c>
      <c r="C625">
        <f>IF(B625&lt;$G$2, $F$2, IF(B625&lt;$G$3, $F$3, IF(B625&lt;$G$4, $F$4, IF(B625&lt;$G$5, $F$5, IF(B625&lt;$G$6, $F$6, IF(B625&lt;$G$7, $F$7, IF(B625&lt;$G$8, $F$8, IF(B625&lt;$G$9, $F$9, IF(B625&lt;$G$10, $F$10, $F$11)))))))))</f>
        <v>0.2</v>
      </c>
      <c r="D625">
        <f t="shared" si="9"/>
        <v>2</v>
      </c>
    </row>
    <row r="626" spans="1:4" x14ac:dyDescent="0.55000000000000004">
      <c r="A626">
        <v>2013</v>
      </c>
      <c r="B626">
        <v>1.4229235598863299</v>
      </c>
      <c r="C626">
        <f>IF(B626&lt;$G$2, $F$2, IF(B626&lt;$G$3, $F$3, IF(B626&lt;$G$4, $F$4, IF(B626&lt;$G$5, $F$5, IF(B626&lt;$G$6, $F$6, IF(B626&lt;$G$7, $F$7, IF(B626&lt;$G$8, $F$8, IF(B626&lt;$G$9, $F$9, IF(B626&lt;$G$10, $F$10, $F$11)))))))))</f>
        <v>0.1</v>
      </c>
      <c r="D626">
        <f t="shared" si="9"/>
        <v>1</v>
      </c>
    </row>
    <row r="627" spans="1:4" x14ac:dyDescent="0.55000000000000004">
      <c r="A627">
        <v>2014</v>
      </c>
      <c r="B627">
        <v>173.54751265294999</v>
      </c>
      <c r="C627">
        <f>IF(B627&lt;$G$2, $F$2, IF(B627&lt;$G$3, $F$3, IF(B627&lt;$G$4, $F$4, IF(B627&lt;$G$5, $F$5, IF(B627&lt;$G$6, $F$6, IF(B627&lt;$G$7, $F$7, IF(B627&lt;$G$8, $F$8, IF(B627&lt;$G$9, $F$9, IF(B627&lt;$G$10, $F$10, $F$11)))))))))</f>
        <v>0.9</v>
      </c>
      <c r="D627">
        <f t="shared" si="9"/>
        <v>9</v>
      </c>
    </row>
    <row r="628" spans="1:4" x14ac:dyDescent="0.55000000000000004">
      <c r="A628">
        <v>2015</v>
      </c>
      <c r="B628">
        <v>3.4941866435933902</v>
      </c>
      <c r="C628">
        <f>IF(B628&lt;$G$2, $F$2, IF(B628&lt;$G$3, $F$3, IF(B628&lt;$G$4, $F$4, IF(B628&lt;$G$5, $F$5, IF(B628&lt;$G$6, $F$6, IF(B628&lt;$G$7, $F$7, IF(B628&lt;$G$8, $F$8, IF(B628&lt;$G$9, $F$9, IF(B628&lt;$G$10, $F$10, $F$11)))))))))</f>
        <v>0.2</v>
      </c>
      <c r="D628">
        <f t="shared" si="9"/>
        <v>2</v>
      </c>
    </row>
    <row r="629" spans="1:4" x14ac:dyDescent="0.55000000000000004">
      <c r="A629">
        <v>2016</v>
      </c>
      <c r="B629">
        <v>23.2906505983896</v>
      </c>
      <c r="C629">
        <f>IF(B629&lt;$G$2, $F$2, IF(B629&lt;$G$3, $F$3, IF(B629&lt;$G$4, $F$4, IF(B629&lt;$G$5, $F$5, IF(B629&lt;$G$6, $F$6, IF(B629&lt;$G$7, $F$7, IF(B629&lt;$G$8, $F$8, IF(B629&lt;$G$9, $F$9, IF(B629&lt;$G$10, $F$10, $F$11)))))))))</f>
        <v>0.5</v>
      </c>
      <c r="D629">
        <f t="shared" si="9"/>
        <v>5</v>
      </c>
    </row>
    <row r="630" spans="1:4" x14ac:dyDescent="0.55000000000000004">
      <c r="A630">
        <v>2017</v>
      </c>
      <c r="B630">
        <v>24.2062606684113</v>
      </c>
      <c r="C630">
        <f>IF(B630&lt;$G$2, $F$2, IF(B630&lt;$G$3, $F$3, IF(B630&lt;$G$4, $F$4, IF(B630&lt;$G$5, $F$5, IF(B630&lt;$G$6, $F$6, IF(B630&lt;$G$7, $F$7, IF(B630&lt;$G$8, $F$8, IF(B630&lt;$G$9, $F$9, IF(B630&lt;$G$10, $F$10, $F$11)))))))))</f>
        <v>0.5</v>
      </c>
      <c r="D630">
        <f t="shared" si="9"/>
        <v>5</v>
      </c>
    </row>
    <row r="631" spans="1:4" x14ac:dyDescent="0.55000000000000004">
      <c r="A631">
        <v>2018</v>
      </c>
      <c r="B631">
        <v>5.36291248103268</v>
      </c>
      <c r="C631">
        <f>IF(B631&lt;$G$2, $F$2, IF(B631&lt;$G$3, $F$3, IF(B631&lt;$G$4, $F$4, IF(B631&lt;$G$5, $F$5, IF(B631&lt;$G$6, $F$6, IF(B631&lt;$G$7, $F$7, IF(B631&lt;$G$8, $F$8, IF(B631&lt;$G$9, $F$9, IF(B631&lt;$G$10, $F$10, $F$11)))))))))</f>
        <v>0.2</v>
      </c>
      <c r="D631">
        <f t="shared" si="9"/>
        <v>2</v>
      </c>
    </row>
    <row r="632" spans="1:4" x14ac:dyDescent="0.55000000000000004">
      <c r="A632">
        <v>2019</v>
      </c>
      <c r="B632">
        <v>3.5969348189615098</v>
      </c>
      <c r="C632">
        <f>IF(B632&lt;$G$2, $F$2, IF(B632&lt;$G$3, $F$3, IF(B632&lt;$G$4, $F$4, IF(B632&lt;$G$5, $F$5, IF(B632&lt;$G$6, $F$6, IF(B632&lt;$G$7, $F$7, IF(B632&lt;$G$8, $F$8, IF(B632&lt;$G$9, $F$9, IF(B632&lt;$G$10, $F$10, $F$11)))))))))</f>
        <v>0.2</v>
      </c>
      <c r="D632">
        <f t="shared" si="9"/>
        <v>2</v>
      </c>
    </row>
    <row r="633" spans="1:4" x14ac:dyDescent="0.55000000000000004">
      <c r="A633">
        <v>2020</v>
      </c>
      <c r="B633">
        <v>219.665620129568</v>
      </c>
      <c r="C633">
        <f>IF(B633&lt;$G$2, $F$2, IF(B633&lt;$G$3, $F$3, IF(B633&lt;$G$4, $F$4, IF(B633&lt;$G$5, $F$5, IF(B633&lt;$G$6, $F$6, IF(B633&lt;$G$7, $F$7, IF(B633&lt;$G$8, $F$8, IF(B633&lt;$G$9, $F$9, IF(B633&lt;$G$10, $F$10, $F$11)))))))))</f>
        <v>0.9</v>
      </c>
      <c r="D633">
        <f t="shared" si="9"/>
        <v>9</v>
      </c>
    </row>
    <row r="634" spans="1:4" x14ac:dyDescent="0.55000000000000004">
      <c r="A634">
        <v>2021</v>
      </c>
      <c r="B634">
        <v>54.365854890271599</v>
      </c>
      <c r="C634">
        <f>IF(B634&lt;$G$2, $F$2, IF(B634&lt;$G$3, $F$3, IF(B634&lt;$G$4, $F$4, IF(B634&lt;$G$5, $F$5, IF(B634&lt;$G$6, $F$6, IF(B634&lt;$G$7, $F$7, IF(B634&lt;$G$8, $F$8, IF(B634&lt;$G$9, $F$9, IF(B634&lt;$G$10, $F$10, $F$11)))))))))</f>
        <v>0.7</v>
      </c>
      <c r="D634">
        <f t="shared" si="9"/>
        <v>7</v>
      </c>
    </row>
    <row r="635" spans="1:4" x14ac:dyDescent="0.55000000000000004">
      <c r="A635">
        <v>2022</v>
      </c>
      <c r="B635">
        <v>33583.214360176302</v>
      </c>
      <c r="C635">
        <f>IF(B635&lt;$G$2, $F$2, IF(B635&lt;$G$3, $F$3, IF(B635&lt;$G$4, $F$4, IF(B635&lt;$G$5, $F$5, IF(B635&lt;$G$6, $F$6, IF(B635&lt;$G$7, $F$7, IF(B635&lt;$G$8, $F$8, IF(B635&lt;$G$9, $F$9, IF(B635&lt;$G$10, $F$10, $F$11)))))))))</f>
        <v>1</v>
      </c>
      <c r="D635">
        <f t="shared" si="9"/>
        <v>10</v>
      </c>
    </row>
    <row r="636" spans="1:4" x14ac:dyDescent="0.55000000000000004">
      <c r="A636">
        <v>2023</v>
      </c>
      <c r="B636">
        <v>43264.319745777997</v>
      </c>
      <c r="C636">
        <f>IF(B636&lt;$G$2, $F$2, IF(B636&lt;$G$3, $F$3, IF(B636&lt;$G$4, $F$4, IF(B636&lt;$G$5, $F$5, IF(B636&lt;$G$6, $F$6, IF(B636&lt;$G$7, $F$7, IF(B636&lt;$G$8, $F$8, IF(B636&lt;$G$9, $F$9, IF(B636&lt;$G$10, $F$10, $F$11)))))))))</f>
        <v>1</v>
      </c>
      <c r="D636">
        <f t="shared" si="9"/>
        <v>10</v>
      </c>
    </row>
    <row r="637" spans="1:4" x14ac:dyDescent="0.55000000000000004">
      <c r="A637">
        <v>2024</v>
      </c>
      <c r="B637">
        <v>104.654881352723</v>
      </c>
      <c r="C637">
        <f>IF(B637&lt;$G$2, $F$2, IF(B637&lt;$G$3, $F$3, IF(B637&lt;$G$4, $F$4, IF(B637&lt;$G$5, $F$5, IF(B637&lt;$G$6, $F$6, IF(B637&lt;$G$7, $F$7, IF(B637&lt;$G$8, $F$8, IF(B637&lt;$G$9, $F$9, IF(B637&lt;$G$10, $F$10, $F$11)))))))))</f>
        <v>0.8</v>
      </c>
      <c r="D637">
        <f t="shared" si="9"/>
        <v>8</v>
      </c>
    </row>
    <row r="638" spans="1:4" x14ac:dyDescent="0.55000000000000004">
      <c r="A638">
        <v>2025</v>
      </c>
      <c r="B638">
        <v>20903.9026086587</v>
      </c>
      <c r="C638">
        <f>IF(B638&lt;$G$2, $F$2, IF(B638&lt;$G$3, $F$3, IF(B638&lt;$G$4, $F$4, IF(B638&lt;$G$5, $F$5, IF(B638&lt;$G$6, $F$6, IF(B638&lt;$G$7, $F$7, IF(B638&lt;$G$8, $F$8, IF(B638&lt;$G$9, $F$9, IF(B638&lt;$G$10, $F$10, $F$11)))))))))</f>
        <v>1</v>
      </c>
      <c r="D638">
        <f t="shared" si="9"/>
        <v>10</v>
      </c>
    </row>
    <row r="639" spans="1:4" x14ac:dyDescent="0.55000000000000004">
      <c r="A639">
        <v>2026</v>
      </c>
      <c r="B639">
        <v>34094.662404397299</v>
      </c>
      <c r="C639">
        <f>IF(B639&lt;$G$2, $F$2, IF(B639&lt;$G$3, $F$3, IF(B639&lt;$G$4, $F$4, IF(B639&lt;$G$5, $F$5, IF(B639&lt;$G$6, $F$6, IF(B639&lt;$G$7, $F$7, IF(B639&lt;$G$8, $F$8, IF(B639&lt;$G$9, $F$9, IF(B639&lt;$G$10, $F$10, $F$11)))))))))</f>
        <v>1</v>
      </c>
      <c r="D639">
        <f t="shared" si="9"/>
        <v>10</v>
      </c>
    </row>
    <row r="640" spans="1:4" x14ac:dyDescent="0.55000000000000004">
      <c r="A640">
        <v>2027</v>
      </c>
      <c r="B640">
        <v>17294.367864941101</v>
      </c>
      <c r="C640">
        <f>IF(B640&lt;$G$2, $F$2, IF(B640&lt;$G$3, $F$3, IF(B640&lt;$G$4, $F$4, IF(B640&lt;$G$5, $F$5, IF(B640&lt;$G$6, $F$6, IF(B640&lt;$G$7, $F$7, IF(B640&lt;$G$8, $F$8, IF(B640&lt;$G$9, $F$9, IF(B640&lt;$G$10, $F$10, $F$11)))))))))</f>
        <v>1</v>
      </c>
      <c r="D640">
        <f t="shared" si="9"/>
        <v>10</v>
      </c>
    </row>
    <row r="641" spans="1:4" x14ac:dyDescent="0.55000000000000004">
      <c r="A641">
        <v>2028</v>
      </c>
      <c r="B641">
        <v>4354.33781125323</v>
      </c>
      <c r="C641">
        <f>IF(B641&lt;$G$2, $F$2, IF(B641&lt;$G$3, $F$3, IF(B641&lt;$G$4, $F$4, IF(B641&lt;$G$5, $F$5, IF(B641&lt;$G$6, $F$6, IF(B641&lt;$G$7, $F$7, IF(B641&lt;$G$8, $F$8, IF(B641&lt;$G$9, $F$9, IF(B641&lt;$G$10, $F$10, $F$11)))))))))</f>
        <v>1</v>
      </c>
      <c r="D641">
        <f t="shared" si="9"/>
        <v>10</v>
      </c>
    </row>
    <row r="642" spans="1:4" x14ac:dyDescent="0.55000000000000004">
      <c r="A642">
        <v>2029</v>
      </c>
      <c r="B642">
        <v>5951.9256161569901</v>
      </c>
      <c r="C642">
        <f>IF(B642&lt;$G$2, $F$2, IF(B642&lt;$G$3, $F$3, IF(B642&lt;$G$4, $F$4, IF(B642&lt;$G$5, $F$5, IF(B642&lt;$G$6, $F$6, IF(B642&lt;$G$7, $F$7, IF(B642&lt;$G$8, $F$8, IF(B642&lt;$G$9, $F$9, IF(B642&lt;$G$10, $F$10, $F$11)))))))))</f>
        <v>1</v>
      </c>
      <c r="D642">
        <f t="shared" si="9"/>
        <v>10</v>
      </c>
    </row>
    <row r="643" spans="1:4" x14ac:dyDescent="0.55000000000000004">
      <c r="A643">
        <v>2030</v>
      </c>
      <c r="B643">
        <v>21127.544408784699</v>
      </c>
      <c r="C643">
        <f>IF(B643&lt;$G$2, $F$2, IF(B643&lt;$G$3, $F$3, IF(B643&lt;$G$4, $F$4, IF(B643&lt;$G$5, $F$5, IF(B643&lt;$G$6, $F$6, IF(B643&lt;$G$7, $F$7, IF(B643&lt;$G$8, $F$8, IF(B643&lt;$G$9, $F$9, IF(B643&lt;$G$10, $F$10, $F$11)))))))))</f>
        <v>1</v>
      </c>
      <c r="D643">
        <f t="shared" ref="D643:D706" si="10">C643*10</f>
        <v>10</v>
      </c>
    </row>
    <row r="644" spans="1:4" x14ac:dyDescent="0.55000000000000004">
      <c r="A644">
        <v>2031</v>
      </c>
      <c r="B644">
        <v>8976.0210060541795</v>
      </c>
      <c r="C644">
        <f>IF(B644&lt;$G$2, $F$2, IF(B644&lt;$G$3, $F$3, IF(B644&lt;$G$4, $F$4, IF(B644&lt;$G$5, $F$5, IF(B644&lt;$G$6, $F$6, IF(B644&lt;$G$7, $F$7, IF(B644&lt;$G$8, $F$8, IF(B644&lt;$G$9, $F$9, IF(B644&lt;$G$10, $F$10, $F$11)))))))))</f>
        <v>1</v>
      </c>
      <c r="D644">
        <f t="shared" si="10"/>
        <v>10</v>
      </c>
    </row>
    <row r="645" spans="1:4" x14ac:dyDescent="0.55000000000000004">
      <c r="A645">
        <v>2032</v>
      </c>
      <c r="B645">
        <v>3639.1005239900501</v>
      </c>
      <c r="C645">
        <f>IF(B645&lt;$G$2, $F$2, IF(B645&lt;$G$3, $F$3, IF(B645&lt;$G$4, $F$4, IF(B645&lt;$G$5, $F$5, IF(B645&lt;$G$6, $F$6, IF(B645&lt;$G$7, $F$7, IF(B645&lt;$G$8, $F$8, IF(B645&lt;$G$9, $F$9, IF(B645&lt;$G$10, $F$10, $F$11)))))))))</f>
        <v>1</v>
      </c>
      <c r="D645">
        <f t="shared" si="10"/>
        <v>10</v>
      </c>
    </row>
    <row r="646" spans="1:4" x14ac:dyDescent="0.55000000000000004">
      <c r="A646">
        <v>2033</v>
      </c>
      <c r="B646">
        <v>20.550244953501199</v>
      </c>
      <c r="C646">
        <f>IF(B646&lt;$G$2, $F$2, IF(B646&lt;$G$3, $F$3, IF(B646&lt;$G$4, $F$4, IF(B646&lt;$G$5, $F$5, IF(B646&lt;$G$6, $F$6, IF(B646&lt;$G$7, $F$7, IF(B646&lt;$G$8, $F$8, IF(B646&lt;$G$9, $F$9, IF(B646&lt;$G$10, $F$10, $F$11)))))))))</f>
        <v>0.5</v>
      </c>
      <c r="D646">
        <f t="shared" si="10"/>
        <v>5</v>
      </c>
    </row>
    <row r="647" spans="1:4" x14ac:dyDescent="0.55000000000000004">
      <c r="A647">
        <v>2034</v>
      </c>
      <c r="B647">
        <v>273.02340602152401</v>
      </c>
      <c r="C647">
        <f>IF(B647&lt;$G$2, $F$2, IF(B647&lt;$G$3, $F$3, IF(B647&lt;$G$4, $F$4, IF(B647&lt;$G$5, $F$5, IF(B647&lt;$G$6, $F$6, IF(B647&lt;$G$7, $F$7, IF(B647&lt;$G$8, $F$8, IF(B647&lt;$G$9, $F$9, IF(B647&lt;$G$10, $F$10, $F$11)))))))))</f>
        <v>0.9</v>
      </c>
      <c r="D647">
        <f t="shared" si="10"/>
        <v>9</v>
      </c>
    </row>
    <row r="648" spans="1:4" x14ac:dyDescent="0.55000000000000004">
      <c r="A648">
        <v>2035</v>
      </c>
      <c r="B648">
        <v>22.040354754482902</v>
      </c>
      <c r="C648">
        <f>IF(B648&lt;$G$2, $F$2, IF(B648&lt;$G$3, $F$3, IF(B648&lt;$G$4, $F$4, IF(B648&lt;$G$5, $F$5, IF(B648&lt;$G$6, $F$6, IF(B648&lt;$G$7, $F$7, IF(B648&lt;$G$8, $F$8, IF(B648&lt;$G$9, $F$9, IF(B648&lt;$G$10, $F$10, $F$11)))))))))</f>
        <v>0.5</v>
      </c>
      <c r="D648">
        <f t="shared" si="10"/>
        <v>5</v>
      </c>
    </row>
    <row r="649" spans="1:4" x14ac:dyDescent="0.55000000000000004">
      <c r="A649">
        <v>2036</v>
      </c>
      <c r="B649">
        <v>2126.00856560069</v>
      </c>
      <c r="C649">
        <f>IF(B649&lt;$G$2, $F$2, IF(B649&lt;$G$3, $F$3, IF(B649&lt;$G$4, $F$4, IF(B649&lt;$G$5, $F$5, IF(B649&lt;$G$6, $F$6, IF(B649&lt;$G$7, $F$7, IF(B649&lt;$G$8, $F$8, IF(B649&lt;$G$9, $F$9, IF(B649&lt;$G$10, $F$10, $F$11)))))))))</f>
        <v>1</v>
      </c>
      <c r="D649">
        <f t="shared" si="10"/>
        <v>10</v>
      </c>
    </row>
    <row r="650" spans="1:4" x14ac:dyDescent="0.55000000000000004">
      <c r="A650">
        <v>2037</v>
      </c>
      <c r="B650">
        <v>33.738881580623698</v>
      </c>
      <c r="C650">
        <f>IF(B650&lt;$G$2, $F$2, IF(B650&lt;$G$3, $F$3, IF(B650&lt;$G$4, $F$4, IF(B650&lt;$G$5, $F$5, IF(B650&lt;$G$6, $F$6, IF(B650&lt;$G$7, $F$7, IF(B650&lt;$G$8, $F$8, IF(B650&lt;$G$9, $F$9, IF(B650&lt;$G$10, $F$10, $F$11)))))))))</f>
        <v>0.6</v>
      </c>
      <c r="D650">
        <f t="shared" si="10"/>
        <v>6</v>
      </c>
    </row>
    <row r="651" spans="1:4" x14ac:dyDescent="0.55000000000000004">
      <c r="A651">
        <v>2038</v>
      </c>
      <c r="B651">
        <v>1.1403617004741899</v>
      </c>
      <c r="C651">
        <f>IF(B651&lt;$G$2, $F$2, IF(B651&lt;$G$3, $F$3, IF(B651&lt;$G$4, $F$4, IF(B651&lt;$G$5, $F$5, IF(B651&lt;$G$6, $F$6, IF(B651&lt;$G$7, $F$7, IF(B651&lt;$G$8, $F$8, IF(B651&lt;$G$9, $F$9, IF(B651&lt;$G$10, $F$10, $F$11)))))))))</f>
        <v>0.1</v>
      </c>
      <c r="D651">
        <f t="shared" si="10"/>
        <v>1</v>
      </c>
    </row>
    <row r="652" spans="1:4" x14ac:dyDescent="0.55000000000000004">
      <c r="A652">
        <v>2039</v>
      </c>
      <c r="B652">
        <v>5677.0966037833696</v>
      </c>
      <c r="C652">
        <f>IF(B652&lt;$G$2, $F$2, IF(B652&lt;$G$3, $F$3, IF(B652&lt;$G$4, $F$4, IF(B652&lt;$G$5, $F$5, IF(B652&lt;$G$6, $F$6, IF(B652&lt;$G$7, $F$7, IF(B652&lt;$G$8, $F$8, IF(B652&lt;$G$9, $F$9, IF(B652&lt;$G$10, $F$10, $F$11)))))))))</f>
        <v>1</v>
      </c>
      <c r="D652">
        <f t="shared" si="10"/>
        <v>10</v>
      </c>
    </row>
    <row r="653" spans="1:4" x14ac:dyDescent="0.55000000000000004">
      <c r="A653">
        <v>2040</v>
      </c>
      <c r="B653">
        <v>1065.91635667025</v>
      </c>
      <c r="C653">
        <f>IF(B653&lt;$G$2, $F$2, IF(B653&lt;$G$3, $F$3, IF(B653&lt;$G$4, $F$4, IF(B653&lt;$G$5, $F$5, IF(B653&lt;$G$6, $F$6, IF(B653&lt;$G$7, $F$7, IF(B653&lt;$G$8, $F$8, IF(B653&lt;$G$9, $F$9, IF(B653&lt;$G$10, $F$10, $F$11)))))))))</f>
        <v>1</v>
      </c>
      <c r="D653">
        <f t="shared" si="10"/>
        <v>10</v>
      </c>
    </row>
    <row r="654" spans="1:4" x14ac:dyDescent="0.55000000000000004">
      <c r="A654">
        <v>2041</v>
      </c>
      <c r="B654">
        <v>476.44871432277102</v>
      </c>
      <c r="C654">
        <f>IF(B654&lt;$G$2, $F$2, IF(B654&lt;$G$3, $F$3, IF(B654&lt;$G$4, $F$4, IF(B654&lt;$G$5, $F$5, IF(B654&lt;$G$6, $F$6, IF(B654&lt;$G$7, $F$7, IF(B654&lt;$G$8, $F$8, IF(B654&lt;$G$9, $F$9, IF(B654&lt;$G$10, $F$10, $F$11)))))))))</f>
        <v>1</v>
      </c>
      <c r="D654">
        <f t="shared" si="10"/>
        <v>10</v>
      </c>
    </row>
    <row r="655" spans="1:4" x14ac:dyDescent="0.55000000000000004">
      <c r="A655">
        <v>2042</v>
      </c>
      <c r="B655">
        <v>1119.3992098646199</v>
      </c>
      <c r="C655">
        <f>IF(B655&lt;$G$2, $F$2, IF(B655&lt;$G$3, $F$3, IF(B655&lt;$G$4, $F$4, IF(B655&lt;$G$5, $F$5, IF(B655&lt;$G$6, $F$6, IF(B655&lt;$G$7, $F$7, IF(B655&lt;$G$8, $F$8, IF(B655&lt;$G$9, $F$9, IF(B655&lt;$G$10, $F$10, $F$11)))))))))</f>
        <v>1</v>
      </c>
      <c r="D655">
        <f t="shared" si="10"/>
        <v>10</v>
      </c>
    </row>
    <row r="656" spans="1:4" x14ac:dyDescent="0.55000000000000004">
      <c r="A656">
        <v>2043</v>
      </c>
      <c r="B656">
        <v>8.4276632097399293</v>
      </c>
      <c r="C656">
        <f>IF(B656&lt;$G$2, $F$2, IF(B656&lt;$G$3, $F$3, IF(B656&lt;$G$4, $F$4, IF(B656&lt;$G$5, $F$5, IF(B656&lt;$G$6, $F$6, IF(B656&lt;$G$7, $F$7, IF(B656&lt;$G$8, $F$8, IF(B656&lt;$G$9, $F$9, IF(B656&lt;$G$10, $F$10, $F$11)))))))))</f>
        <v>0.3</v>
      </c>
      <c r="D656">
        <f t="shared" si="10"/>
        <v>3</v>
      </c>
    </row>
    <row r="657" spans="1:4" x14ac:dyDescent="0.55000000000000004">
      <c r="A657">
        <v>2044</v>
      </c>
      <c r="B657">
        <v>4.3372286067734001</v>
      </c>
      <c r="C657">
        <f>IF(B657&lt;$G$2, $F$2, IF(B657&lt;$G$3, $F$3, IF(B657&lt;$G$4, $F$4, IF(B657&lt;$G$5, $F$5, IF(B657&lt;$G$6, $F$6, IF(B657&lt;$G$7, $F$7, IF(B657&lt;$G$8, $F$8, IF(B657&lt;$G$9, $F$9, IF(B657&lt;$G$10, $F$10, $F$11)))))))))</f>
        <v>0.2</v>
      </c>
      <c r="D657">
        <f t="shared" si="10"/>
        <v>2</v>
      </c>
    </row>
    <row r="658" spans="1:4" x14ac:dyDescent="0.55000000000000004">
      <c r="A658">
        <v>2045</v>
      </c>
      <c r="B658">
        <v>356.793217888436</v>
      </c>
      <c r="C658">
        <f>IF(B658&lt;$G$2, $F$2, IF(B658&lt;$G$3, $F$3, IF(B658&lt;$G$4, $F$4, IF(B658&lt;$G$5, $F$5, IF(B658&lt;$G$6, $F$6, IF(B658&lt;$G$7, $F$7, IF(B658&lt;$G$8, $F$8, IF(B658&lt;$G$9, $F$9, IF(B658&lt;$G$10, $F$10, $F$11)))))))))</f>
        <v>0.9</v>
      </c>
      <c r="D658">
        <f t="shared" si="10"/>
        <v>9</v>
      </c>
    </row>
    <row r="659" spans="1:4" x14ac:dyDescent="0.55000000000000004">
      <c r="A659">
        <v>2046</v>
      </c>
      <c r="B659">
        <v>0.281473292566363</v>
      </c>
      <c r="C659">
        <f>IF(B659&lt;$G$2, $F$2, IF(B659&lt;$G$3, $F$3, IF(B659&lt;$G$4, $F$4, IF(B659&lt;$G$5, $F$5, IF(B659&lt;$G$6, $F$6, IF(B659&lt;$G$7, $F$7, IF(B659&lt;$G$8, $F$8, IF(B659&lt;$G$9, $F$9, IF(B659&lt;$G$10, $F$10, $F$11)))))))))</f>
        <v>0.1</v>
      </c>
      <c r="D659">
        <f t="shared" si="10"/>
        <v>1</v>
      </c>
    </row>
    <row r="660" spans="1:4" x14ac:dyDescent="0.55000000000000004">
      <c r="A660">
        <v>2047</v>
      </c>
      <c r="B660">
        <v>1097.17910729392</v>
      </c>
      <c r="C660">
        <f>IF(B660&lt;$G$2, $F$2, IF(B660&lt;$G$3, $F$3, IF(B660&lt;$G$4, $F$4, IF(B660&lt;$G$5, $F$5, IF(B660&lt;$G$6, $F$6, IF(B660&lt;$G$7, $F$7, IF(B660&lt;$G$8, $F$8, IF(B660&lt;$G$9, $F$9, IF(B660&lt;$G$10, $F$10, $F$11)))))))))</f>
        <v>1</v>
      </c>
      <c r="D660">
        <f t="shared" si="10"/>
        <v>10</v>
      </c>
    </row>
    <row r="661" spans="1:4" x14ac:dyDescent="0.55000000000000004">
      <c r="A661">
        <v>2048</v>
      </c>
      <c r="B661">
        <v>4.7421794345266202</v>
      </c>
      <c r="C661">
        <f>IF(B661&lt;$G$2, $F$2, IF(B661&lt;$G$3, $F$3, IF(B661&lt;$G$4, $F$4, IF(B661&lt;$G$5, $F$5, IF(B661&lt;$G$6, $F$6, IF(B661&lt;$G$7, $F$7, IF(B661&lt;$G$8, $F$8, IF(B661&lt;$G$9, $F$9, IF(B661&lt;$G$10, $F$10, $F$11)))))))))</f>
        <v>0.2</v>
      </c>
      <c r="D661">
        <f t="shared" si="10"/>
        <v>2</v>
      </c>
    </row>
    <row r="662" spans="1:4" x14ac:dyDescent="0.55000000000000004">
      <c r="A662">
        <v>2049</v>
      </c>
      <c r="B662">
        <v>4.8473015600390896</v>
      </c>
      <c r="C662">
        <f>IF(B662&lt;$G$2, $F$2, IF(B662&lt;$G$3, $F$3, IF(B662&lt;$G$4, $F$4, IF(B662&lt;$G$5, $F$5, IF(B662&lt;$G$6, $F$6, IF(B662&lt;$G$7, $F$7, IF(B662&lt;$G$8, $F$8, IF(B662&lt;$G$9, $F$9, IF(B662&lt;$G$10, $F$10, $F$11)))))))))</f>
        <v>0.2</v>
      </c>
      <c r="D662">
        <f t="shared" si="10"/>
        <v>2</v>
      </c>
    </row>
    <row r="663" spans="1:4" x14ac:dyDescent="0.55000000000000004">
      <c r="A663">
        <v>2050</v>
      </c>
      <c r="B663">
        <v>2690.93195525496</v>
      </c>
      <c r="C663">
        <f>IF(B663&lt;$G$2, $F$2, IF(B663&lt;$G$3, $F$3, IF(B663&lt;$G$4, $F$4, IF(B663&lt;$G$5, $F$5, IF(B663&lt;$G$6, $F$6, IF(B663&lt;$G$7, $F$7, IF(B663&lt;$G$8, $F$8, IF(B663&lt;$G$9, $F$9, IF(B663&lt;$G$10, $F$10, $F$11)))))))))</f>
        <v>1</v>
      </c>
      <c r="D663">
        <f t="shared" si="10"/>
        <v>10</v>
      </c>
    </row>
    <row r="664" spans="1:4" x14ac:dyDescent="0.55000000000000004">
      <c r="A664">
        <v>2051</v>
      </c>
      <c r="B664">
        <v>97.172183363365804</v>
      </c>
      <c r="C664">
        <f>IF(B664&lt;$G$2, $F$2, IF(B664&lt;$G$3, $F$3, IF(B664&lt;$G$4, $F$4, IF(B664&lt;$G$5, $F$5, IF(B664&lt;$G$6, $F$6, IF(B664&lt;$G$7, $F$7, IF(B664&lt;$G$8, $F$8, IF(B664&lt;$G$9, $F$9, IF(B664&lt;$G$10, $F$10, $F$11)))))))))</f>
        <v>0.8</v>
      </c>
      <c r="D664">
        <f t="shared" si="10"/>
        <v>8</v>
      </c>
    </row>
    <row r="665" spans="1:4" x14ac:dyDescent="0.55000000000000004">
      <c r="A665">
        <v>2052</v>
      </c>
      <c r="B665">
        <v>1441.6261536053901</v>
      </c>
      <c r="C665">
        <f>IF(B665&lt;$G$2, $F$2, IF(B665&lt;$G$3, $F$3, IF(B665&lt;$G$4, $F$4, IF(B665&lt;$G$5, $F$5, IF(B665&lt;$G$6, $F$6, IF(B665&lt;$G$7, $F$7, IF(B665&lt;$G$8, $F$8, IF(B665&lt;$G$9, $F$9, IF(B665&lt;$G$10, $F$10, $F$11)))))))))</f>
        <v>1</v>
      </c>
      <c r="D665">
        <f t="shared" si="10"/>
        <v>10</v>
      </c>
    </row>
    <row r="666" spans="1:4" x14ac:dyDescent="0.55000000000000004">
      <c r="A666">
        <v>2053</v>
      </c>
      <c r="B666">
        <v>10.0891244959445</v>
      </c>
      <c r="C666">
        <f>IF(B666&lt;$G$2, $F$2, IF(B666&lt;$G$3, $F$3, IF(B666&lt;$G$4, $F$4, IF(B666&lt;$G$5, $F$5, IF(B666&lt;$G$6, $F$6, IF(B666&lt;$G$7, $F$7, IF(B666&lt;$G$8, $F$8, IF(B666&lt;$G$9, $F$9, IF(B666&lt;$G$10, $F$10, $F$11)))))))))</f>
        <v>0.3</v>
      </c>
      <c r="D666">
        <f t="shared" si="10"/>
        <v>3</v>
      </c>
    </row>
    <row r="667" spans="1:4" x14ac:dyDescent="0.55000000000000004">
      <c r="A667">
        <v>2054</v>
      </c>
      <c r="B667">
        <v>25.6278768773015</v>
      </c>
      <c r="C667">
        <f>IF(B667&lt;$G$2, $F$2, IF(B667&lt;$G$3, $F$3, IF(B667&lt;$G$4, $F$4, IF(B667&lt;$G$5, $F$5, IF(B667&lt;$G$6, $F$6, IF(B667&lt;$G$7, $F$7, IF(B667&lt;$G$8, $F$8, IF(B667&lt;$G$9, $F$9, IF(B667&lt;$G$10, $F$10, $F$11)))))))))</f>
        <v>0.5</v>
      </c>
      <c r="D667">
        <f t="shared" si="10"/>
        <v>5</v>
      </c>
    </row>
    <row r="668" spans="1:4" x14ac:dyDescent="0.55000000000000004">
      <c r="A668">
        <v>2055</v>
      </c>
      <c r="B668">
        <v>1.69564696488538</v>
      </c>
      <c r="C668">
        <f>IF(B668&lt;$G$2, $F$2, IF(B668&lt;$G$3, $F$3, IF(B668&lt;$G$4, $F$4, IF(B668&lt;$G$5, $F$5, IF(B668&lt;$G$6, $F$6, IF(B668&lt;$G$7, $F$7, IF(B668&lt;$G$8, $F$8, IF(B668&lt;$G$9, $F$9, IF(B668&lt;$G$10, $F$10, $F$11)))))))))</f>
        <v>0.1</v>
      </c>
      <c r="D668">
        <f t="shared" si="10"/>
        <v>1</v>
      </c>
    </row>
    <row r="669" spans="1:4" x14ac:dyDescent="0.55000000000000004">
      <c r="A669">
        <v>2056</v>
      </c>
      <c r="B669">
        <v>1.53246404054868</v>
      </c>
      <c r="C669">
        <f>IF(B669&lt;$G$2, $F$2, IF(B669&lt;$G$3, $F$3, IF(B669&lt;$G$4, $F$4, IF(B669&lt;$G$5, $F$5, IF(B669&lt;$G$6, $F$6, IF(B669&lt;$G$7, $F$7, IF(B669&lt;$G$8, $F$8, IF(B669&lt;$G$9, $F$9, IF(B669&lt;$G$10, $F$10, $F$11)))))))))</f>
        <v>0.1</v>
      </c>
      <c r="D669">
        <f t="shared" si="10"/>
        <v>1</v>
      </c>
    </row>
    <row r="670" spans="1:4" x14ac:dyDescent="0.55000000000000004">
      <c r="A670">
        <v>2057</v>
      </c>
      <c r="B670">
        <v>0.47074234097788498</v>
      </c>
      <c r="C670">
        <f>IF(B670&lt;$G$2, $F$2, IF(B670&lt;$G$3, $F$3, IF(B670&lt;$G$4, $F$4, IF(B670&lt;$G$5, $F$5, IF(B670&lt;$G$6, $F$6, IF(B670&lt;$G$7, $F$7, IF(B670&lt;$G$8, $F$8, IF(B670&lt;$G$9, $F$9, IF(B670&lt;$G$10, $F$10, $F$11)))))))))</f>
        <v>0.1</v>
      </c>
      <c r="D670">
        <f t="shared" si="10"/>
        <v>1</v>
      </c>
    </row>
    <row r="671" spans="1:4" x14ac:dyDescent="0.55000000000000004">
      <c r="A671">
        <v>2058</v>
      </c>
      <c r="B671">
        <v>0.29059867877872902</v>
      </c>
      <c r="C671">
        <f>IF(B671&lt;$G$2, $F$2, IF(B671&lt;$G$3, $F$3, IF(B671&lt;$G$4, $F$4, IF(B671&lt;$G$5, $F$5, IF(B671&lt;$G$6, $F$6, IF(B671&lt;$G$7, $F$7, IF(B671&lt;$G$8, $F$8, IF(B671&lt;$G$9, $F$9, IF(B671&lt;$G$10, $F$10, $F$11)))))))))</f>
        <v>0.1</v>
      </c>
      <c r="D671">
        <f t="shared" si="10"/>
        <v>1</v>
      </c>
    </row>
    <row r="672" spans="1:4" x14ac:dyDescent="0.55000000000000004">
      <c r="A672">
        <v>2059</v>
      </c>
      <c r="B672">
        <v>12.100878965706301</v>
      </c>
      <c r="C672">
        <f>IF(B672&lt;$G$2, $F$2, IF(B672&lt;$G$3, $F$3, IF(B672&lt;$G$4, $F$4, IF(B672&lt;$G$5, $F$5, IF(B672&lt;$G$6, $F$6, IF(B672&lt;$G$7, $F$7, IF(B672&lt;$G$8, $F$8, IF(B672&lt;$G$9, $F$9, IF(B672&lt;$G$10, $F$10, $F$11)))))))))</f>
        <v>0.4</v>
      </c>
      <c r="D672">
        <f t="shared" si="10"/>
        <v>4</v>
      </c>
    </row>
    <row r="673" spans="1:4" x14ac:dyDescent="0.55000000000000004">
      <c r="A673">
        <v>2060</v>
      </c>
      <c r="B673">
        <v>2557.7116541605501</v>
      </c>
      <c r="C673">
        <f>IF(B673&lt;$G$2, $F$2, IF(B673&lt;$G$3, $F$3, IF(B673&lt;$G$4, $F$4, IF(B673&lt;$G$5, $F$5, IF(B673&lt;$G$6, $F$6, IF(B673&lt;$G$7, $F$7, IF(B673&lt;$G$8, $F$8, IF(B673&lt;$G$9, $F$9, IF(B673&lt;$G$10, $F$10, $F$11)))))))))</f>
        <v>1</v>
      </c>
      <c r="D673">
        <f t="shared" si="10"/>
        <v>10</v>
      </c>
    </row>
    <row r="674" spans="1:4" x14ac:dyDescent="0.55000000000000004">
      <c r="A674">
        <v>2061</v>
      </c>
      <c r="B674">
        <v>32.104031550662</v>
      </c>
      <c r="C674">
        <f>IF(B674&lt;$G$2, $F$2, IF(B674&lt;$G$3, $F$3, IF(B674&lt;$G$4, $F$4, IF(B674&lt;$G$5, $F$5, IF(B674&lt;$G$6, $F$6, IF(B674&lt;$G$7, $F$7, IF(B674&lt;$G$8, $F$8, IF(B674&lt;$G$9, $F$9, IF(B674&lt;$G$10, $F$10, $F$11)))))))))</f>
        <v>0.6</v>
      </c>
      <c r="D674">
        <f t="shared" si="10"/>
        <v>6</v>
      </c>
    </row>
    <row r="675" spans="1:4" x14ac:dyDescent="0.55000000000000004">
      <c r="A675">
        <v>2062</v>
      </c>
      <c r="B675">
        <v>32.799314948205101</v>
      </c>
      <c r="C675">
        <f>IF(B675&lt;$G$2, $F$2, IF(B675&lt;$G$3, $F$3, IF(B675&lt;$G$4, $F$4, IF(B675&lt;$G$5, $F$5, IF(B675&lt;$G$6, $F$6, IF(B675&lt;$G$7, $F$7, IF(B675&lt;$G$8, $F$8, IF(B675&lt;$G$9, $F$9, IF(B675&lt;$G$10, $F$10, $F$11)))))))))</f>
        <v>0.6</v>
      </c>
      <c r="D675">
        <f t="shared" si="10"/>
        <v>6</v>
      </c>
    </row>
    <row r="676" spans="1:4" x14ac:dyDescent="0.55000000000000004">
      <c r="A676">
        <v>2063</v>
      </c>
      <c r="B676">
        <v>5025.6360163775598</v>
      </c>
      <c r="C676">
        <f>IF(B676&lt;$G$2, $F$2, IF(B676&lt;$G$3, $F$3, IF(B676&lt;$G$4, $F$4, IF(B676&lt;$G$5, $F$5, IF(B676&lt;$G$6, $F$6, IF(B676&lt;$G$7, $F$7, IF(B676&lt;$G$8, $F$8, IF(B676&lt;$G$9, $F$9, IF(B676&lt;$G$10, $F$10, $F$11)))))))))</f>
        <v>1</v>
      </c>
      <c r="D676">
        <f t="shared" si="10"/>
        <v>10</v>
      </c>
    </row>
    <row r="677" spans="1:4" x14ac:dyDescent="0.55000000000000004">
      <c r="A677">
        <v>2064</v>
      </c>
      <c r="B677">
        <v>537.82309026943801</v>
      </c>
      <c r="C677">
        <f>IF(B677&lt;$G$2, $F$2, IF(B677&lt;$G$3, $F$3, IF(B677&lt;$G$4, $F$4, IF(B677&lt;$G$5, $F$5, IF(B677&lt;$G$6, $F$6, IF(B677&lt;$G$7, $F$7, IF(B677&lt;$G$8, $F$8, IF(B677&lt;$G$9, $F$9, IF(B677&lt;$G$10, $F$10, $F$11)))))))))</f>
        <v>1</v>
      </c>
      <c r="D677">
        <f t="shared" si="10"/>
        <v>10</v>
      </c>
    </row>
    <row r="678" spans="1:4" x14ac:dyDescent="0.55000000000000004">
      <c r="A678">
        <v>2065</v>
      </c>
      <c r="B678">
        <v>8322.7785155260808</v>
      </c>
      <c r="C678">
        <f>IF(B678&lt;$G$2, $F$2, IF(B678&lt;$G$3, $F$3, IF(B678&lt;$G$4, $F$4, IF(B678&lt;$G$5, $F$5, IF(B678&lt;$G$6, $F$6, IF(B678&lt;$G$7, $F$7, IF(B678&lt;$G$8, $F$8, IF(B678&lt;$G$9, $F$9, IF(B678&lt;$G$10, $F$10, $F$11)))))))))</f>
        <v>1</v>
      </c>
      <c r="D678">
        <f t="shared" si="10"/>
        <v>10</v>
      </c>
    </row>
    <row r="679" spans="1:4" x14ac:dyDescent="0.55000000000000004">
      <c r="A679">
        <v>2066</v>
      </c>
      <c r="B679">
        <v>0.93343590660557696</v>
      </c>
      <c r="C679">
        <f>IF(B679&lt;$G$2, $F$2, IF(B679&lt;$G$3, $F$3, IF(B679&lt;$G$4, $F$4, IF(B679&lt;$G$5, $F$5, IF(B679&lt;$G$6, $F$6, IF(B679&lt;$G$7, $F$7, IF(B679&lt;$G$8, $F$8, IF(B679&lt;$G$9, $F$9, IF(B679&lt;$G$10, $F$10, $F$11)))))))))</f>
        <v>0.1</v>
      </c>
      <c r="D679">
        <f t="shared" si="10"/>
        <v>1</v>
      </c>
    </row>
    <row r="680" spans="1:4" x14ac:dyDescent="0.55000000000000004">
      <c r="A680">
        <v>2067</v>
      </c>
      <c r="B680">
        <v>4378.5230120467904</v>
      </c>
      <c r="C680">
        <f>IF(B680&lt;$G$2, $F$2, IF(B680&lt;$G$3, $F$3, IF(B680&lt;$G$4, $F$4, IF(B680&lt;$G$5, $F$5, IF(B680&lt;$G$6, $F$6, IF(B680&lt;$G$7, $F$7, IF(B680&lt;$G$8, $F$8, IF(B680&lt;$G$9, $F$9, IF(B680&lt;$G$10, $F$10, $F$11)))))))))</f>
        <v>1</v>
      </c>
      <c r="D680">
        <f t="shared" si="10"/>
        <v>10</v>
      </c>
    </row>
    <row r="681" spans="1:4" x14ac:dyDescent="0.55000000000000004">
      <c r="A681">
        <v>2068</v>
      </c>
      <c r="B681">
        <v>24.6427697693425</v>
      </c>
      <c r="C681">
        <f>IF(B681&lt;$G$2, $F$2, IF(B681&lt;$G$3, $F$3, IF(B681&lt;$G$4, $F$4, IF(B681&lt;$G$5, $F$5, IF(B681&lt;$G$6, $F$6, IF(B681&lt;$G$7, $F$7, IF(B681&lt;$G$8, $F$8, IF(B681&lt;$G$9, $F$9, IF(B681&lt;$G$10, $F$10, $F$11)))))))))</f>
        <v>0.5</v>
      </c>
      <c r="D681">
        <f t="shared" si="10"/>
        <v>5</v>
      </c>
    </row>
    <row r="682" spans="1:4" x14ac:dyDescent="0.55000000000000004">
      <c r="A682">
        <v>2069</v>
      </c>
      <c r="B682">
        <v>33.156692825485401</v>
      </c>
      <c r="C682">
        <f>IF(B682&lt;$G$2, $F$2, IF(B682&lt;$G$3, $F$3, IF(B682&lt;$G$4, $F$4, IF(B682&lt;$G$5, $F$5, IF(B682&lt;$G$6, $F$6, IF(B682&lt;$G$7, $F$7, IF(B682&lt;$G$8, $F$8, IF(B682&lt;$G$9, $F$9, IF(B682&lt;$G$10, $F$10, $F$11)))))))))</f>
        <v>0.6</v>
      </c>
      <c r="D682">
        <f t="shared" si="10"/>
        <v>6</v>
      </c>
    </row>
    <row r="683" spans="1:4" x14ac:dyDescent="0.55000000000000004">
      <c r="A683">
        <v>2070</v>
      </c>
      <c r="B683">
        <v>51.8518945874373</v>
      </c>
      <c r="C683">
        <f>IF(B683&lt;$G$2, $F$2, IF(B683&lt;$G$3, $F$3, IF(B683&lt;$G$4, $F$4, IF(B683&lt;$G$5, $F$5, IF(B683&lt;$G$6, $F$6, IF(B683&lt;$G$7, $F$7, IF(B683&lt;$G$8, $F$8, IF(B683&lt;$G$9, $F$9, IF(B683&lt;$G$10, $F$10, $F$11)))))))))</f>
        <v>0.7</v>
      </c>
      <c r="D683">
        <f t="shared" si="10"/>
        <v>7</v>
      </c>
    </row>
    <row r="684" spans="1:4" x14ac:dyDescent="0.55000000000000004">
      <c r="A684">
        <v>2071</v>
      </c>
      <c r="B684">
        <v>9.7452521746388996</v>
      </c>
      <c r="C684">
        <f>IF(B684&lt;$G$2, $F$2, IF(B684&lt;$G$3, $F$3, IF(B684&lt;$G$4, $F$4, IF(B684&lt;$G$5, $F$5, IF(B684&lt;$G$6, $F$6, IF(B684&lt;$G$7, $F$7, IF(B684&lt;$G$8, $F$8, IF(B684&lt;$G$9, $F$9, IF(B684&lt;$G$10, $F$10, $F$11)))))))))</f>
        <v>0.3</v>
      </c>
      <c r="D684">
        <f t="shared" si="10"/>
        <v>3</v>
      </c>
    </row>
    <row r="685" spans="1:4" x14ac:dyDescent="0.55000000000000004">
      <c r="A685">
        <v>2072</v>
      </c>
      <c r="B685">
        <v>43.332583277800403</v>
      </c>
      <c r="C685">
        <f>IF(B685&lt;$G$2, $F$2, IF(B685&lt;$G$3, $F$3, IF(B685&lt;$G$4, $F$4, IF(B685&lt;$G$5, $F$5, IF(B685&lt;$G$6, $F$6, IF(B685&lt;$G$7, $F$7, IF(B685&lt;$G$8, $F$8, IF(B685&lt;$G$9, $F$9, IF(B685&lt;$G$10, $F$10, $F$11)))))))))</f>
        <v>0.7</v>
      </c>
      <c r="D685">
        <f t="shared" si="10"/>
        <v>7</v>
      </c>
    </row>
    <row r="686" spans="1:4" x14ac:dyDescent="0.55000000000000004">
      <c r="A686">
        <v>2073</v>
      </c>
      <c r="B686">
        <v>62.023027244711699</v>
      </c>
      <c r="C686">
        <f>IF(B686&lt;$G$2, $F$2, IF(B686&lt;$G$3, $F$3, IF(B686&lt;$G$4, $F$4, IF(B686&lt;$G$5, $F$5, IF(B686&lt;$G$6, $F$6, IF(B686&lt;$G$7, $F$7, IF(B686&lt;$G$8, $F$8, IF(B686&lt;$G$9, $F$9, IF(B686&lt;$G$10, $F$10, $F$11)))))))))</f>
        <v>0.7</v>
      </c>
      <c r="D686">
        <f t="shared" si="10"/>
        <v>7</v>
      </c>
    </row>
    <row r="687" spans="1:4" x14ac:dyDescent="0.55000000000000004">
      <c r="A687">
        <v>2074</v>
      </c>
      <c r="B687">
        <v>57.074248692794498</v>
      </c>
      <c r="C687">
        <f>IF(B687&lt;$G$2, $F$2, IF(B687&lt;$G$3, $F$3, IF(B687&lt;$G$4, $F$4, IF(B687&lt;$G$5, $F$5, IF(B687&lt;$G$6, $F$6, IF(B687&lt;$G$7, $F$7, IF(B687&lt;$G$8, $F$8, IF(B687&lt;$G$9, $F$9, IF(B687&lt;$G$10, $F$10, $F$11)))))))))</f>
        <v>0.7</v>
      </c>
      <c r="D687">
        <f t="shared" si="10"/>
        <v>7</v>
      </c>
    </row>
    <row r="688" spans="1:4" x14ac:dyDescent="0.55000000000000004">
      <c r="A688">
        <v>2075</v>
      </c>
      <c r="B688">
        <v>0.75144314869995599</v>
      </c>
      <c r="C688">
        <f>IF(B688&lt;$G$2, $F$2, IF(B688&lt;$G$3, $F$3, IF(B688&lt;$G$4, $F$4, IF(B688&lt;$G$5, $F$5, IF(B688&lt;$G$6, $F$6, IF(B688&lt;$G$7, $F$7, IF(B688&lt;$G$8, $F$8, IF(B688&lt;$G$9, $F$9, IF(B688&lt;$G$10, $F$10, $F$11)))))))))</f>
        <v>0.1</v>
      </c>
      <c r="D688">
        <f t="shared" si="10"/>
        <v>1</v>
      </c>
    </row>
    <row r="689" spans="1:4" x14ac:dyDescent="0.55000000000000004">
      <c r="A689">
        <v>2076</v>
      </c>
      <c r="B689">
        <v>2.0006989112179601</v>
      </c>
      <c r="C689">
        <f>IF(B689&lt;$G$2, $F$2, IF(B689&lt;$G$3, $F$3, IF(B689&lt;$G$4, $F$4, IF(B689&lt;$G$5, $F$5, IF(B689&lt;$G$6, $F$6, IF(B689&lt;$G$7, $F$7, IF(B689&lt;$G$8, $F$8, IF(B689&lt;$G$9, $F$9, IF(B689&lt;$G$10, $F$10, $F$11)))))))))</f>
        <v>0.1</v>
      </c>
      <c r="D689">
        <f t="shared" si="10"/>
        <v>1</v>
      </c>
    </row>
    <row r="690" spans="1:4" x14ac:dyDescent="0.55000000000000004">
      <c r="A690">
        <v>2077</v>
      </c>
      <c r="B690">
        <v>1.0414841542009601</v>
      </c>
      <c r="C690">
        <f>IF(B690&lt;$G$2, $F$2, IF(B690&lt;$G$3, $F$3, IF(B690&lt;$G$4, $F$4, IF(B690&lt;$G$5, $F$5, IF(B690&lt;$G$6, $F$6, IF(B690&lt;$G$7, $F$7, IF(B690&lt;$G$8, $F$8, IF(B690&lt;$G$9, $F$9, IF(B690&lt;$G$10, $F$10, $F$11)))))))))</f>
        <v>0.1</v>
      </c>
      <c r="D690">
        <f t="shared" si="10"/>
        <v>1</v>
      </c>
    </row>
    <row r="691" spans="1:4" x14ac:dyDescent="0.55000000000000004">
      <c r="A691">
        <v>2078</v>
      </c>
      <c r="B691">
        <v>13.17377359268</v>
      </c>
      <c r="C691">
        <f>IF(B691&lt;$G$2, $F$2, IF(B691&lt;$G$3, $F$3, IF(B691&lt;$G$4, $F$4, IF(B691&lt;$G$5, $F$5, IF(B691&lt;$G$6, $F$6, IF(B691&lt;$G$7, $F$7, IF(B691&lt;$G$8, $F$8, IF(B691&lt;$G$9, $F$9, IF(B691&lt;$G$10, $F$10, $F$11)))))))))</f>
        <v>0.4</v>
      </c>
      <c r="D691">
        <f t="shared" si="10"/>
        <v>4</v>
      </c>
    </row>
    <row r="692" spans="1:4" x14ac:dyDescent="0.55000000000000004">
      <c r="A692">
        <v>2079</v>
      </c>
      <c r="B692">
        <v>357.94573840578602</v>
      </c>
      <c r="C692">
        <f>IF(B692&lt;$G$2, $F$2, IF(B692&lt;$G$3, $F$3, IF(B692&lt;$G$4, $F$4, IF(B692&lt;$G$5, $F$5, IF(B692&lt;$G$6, $F$6, IF(B692&lt;$G$7, $F$7, IF(B692&lt;$G$8, $F$8, IF(B692&lt;$G$9, $F$9, IF(B692&lt;$G$10, $F$10, $F$11)))))))))</f>
        <v>1</v>
      </c>
      <c r="D692">
        <f t="shared" si="10"/>
        <v>10</v>
      </c>
    </row>
    <row r="693" spans="1:4" x14ac:dyDescent="0.55000000000000004">
      <c r="A693">
        <v>2080</v>
      </c>
      <c r="B693">
        <v>13.0845194160981</v>
      </c>
      <c r="C693">
        <f>IF(B693&lt;$G$2, $F$2, IF(B693&lt;$G$3, $F$3, IF(B693&lt;$G$4, $F$4, IF(B693&lt;$G$5, $F$5, IF(B693&lt;$G$6, $F$6, IF(B693&lt;$G$7, $F$7, IF(B693&lt;$G$8, $F$8, IF(B693&lt;$G$9, $F$9, IF(B693&lt;$G$10, $F$10, $F$11)))))))))</f>
        <v>0.4</v>
      </c>
      <c r="D693">
        <f t="shared" si="10"/>
        <v>4</v>
      </c>
    </row>
    <row r="694" spans="1:4" x14ac:dyDescent="0.55000000000000004">
      <c r="A694">
        <v>2081</v>
      </c>
      <c r="B694">
        <v>1.36996344082761</v>
      </c>
      <c r="C694">
        <f>IF(B694&lt;$G$2, $F$2, IF(B694&lt;$G$3, $F$3, IF(B694&lt;$G$4, $F$4, IF(B694&lt;$G$5, $F$5, IF(B694&lt;$G$6, $F$6, IF(B694&lt;$G$7, $F$7, IF(B694&lt;$G$8, $F$8, IF(B694&lt;$G$9, $F$9, IF(B694&lt;$G$10, $F$10, $F$11)))))))))</f>
        <v>0.1</v>
      </c>
      <c r="D694">
        <f t="shared" si="10"/>
        <v>1</v>
      </c>
    </row>
    <row r="695" spans="1:4" x14ac:dyDescent="0.55000000000000004">
      <c r="A695">
        <v>2082</v>
      </c>
      <c r="B695">
        <v>39.967529759039301</v>
      </c>
      <c r="C695">
        <f>IF(B695&lt;$G$2, $F$2, IF(B695&lt;$G$3, $F$3, IF(B695&lt;$G$4, $F$4, IF(B695&lt;$G$5, $F$5, IF(B695&lt;$G$6, $F$6, IF(B695&lt;$G$7, $F$7, IF(B695&lt;$G$8, $F$8, IF(B695&lt;$G$9, $F$9, IF(B695&lt;$G$10, $F$10, $F$11)))))))))</f>
        <v>0.6</v>
      </c>
      <c r="D695">
        <f t="shared" si="10"/>
        <v>6</v>
      </c>
    </row>
    <row r="696" spans="1:4" x14ac:dyDescent="0.55000000000000004">
      <c r="A696">
        <v>2083</v>
      </c>
      <c r="B696">
        <v>0.93513300381433895</v>
      </c>
      <c r="C696">
        <f>IF(B696&lt;$G$2, $F$2, IF(B696&lt;$G$3, $F$3, IF(B696&lt;$G$4, $F$4, IF(B696&lt;$G$5, $F$5, IF(B696&lt;$G$6, $F$6, IF(B696&lt;$G$7, $F$7, IF(B696&lt;$G$8, $F$8, IF(B696&lt;$G$9, $F$9, IF(B696&lt;$G$10, $F$10, $F$11)))))))))</f>
        <v>0.1</v>
      </c>
      <c r="D696">
        <f t="shared" si="10"/>
        <v>1</v>
      </c>
    </row>
    <row r="697" spans="1:4" x14ac:dyDescent="0.55000000000000004">
      <c r="A697">
        <v>2084</v>
      </c>
      <c r="B697">
        <v>2.6154525309329202</v>
      </c>
      <c r="C697">
        <f>IF(B697&lt;$G$2, $F$2, IF(B697&lt;$G$3, $F$3, IF(B697&lt;$G$4, $F$4, IF(B697&lt;$G$5, $F$5, IF(B697&lt;$G$6, $F$6, IF(B697&lt;$G$7, $F$7, IF(B697&lt;$G$8, $F$8, IF(B697&lt;$G$9, $F$9, IF(B697&lt;$G$10, $F$10, $F$11)))))))))</f>
        <v>0.2</v>
      </c>
      <c r="D697">
        <f t="shared" si="10"/>
        <v>2</v>
      </c>
    </row>
    <row r="698" spans="1:4" x14ac:dyDescent="0.55000000000000004">
      <c r="A698">
        <v>2085</v>
      </c>
      <c r="B698">
        <v>97.694843571691393</v>
      </c>
      <c r="C698">
        <f>IF(B698&lt;$G$2, $F$2, IF(B698&lt;$G$3, $F$3, IF(B698&lt;$G$4, $F$4, IF(B698&lt;$G$5, $F$5, IF(B698&lt;$G$6, $F$6, IF(B698&lt;$G$7, $F$7, IF(B698&lt;$G$8, $F$8, IF(B698&lt;$G$9, $F$9, IF(B698&lt;$G$10, $F$10, $F$11)))))))))</f>
        <v>0.8</v>
      </c>
      <c r="D698">
        <f t="shared" si="10"/>
        <v>8</v>
      </c>
    </row>
    <row r="699" spans="1:4" x14ac:dyDescent="0.55000000000000004">
      <c r="A699">
        <v>2086</v>
      </c>
      <c r="B699">
        <v>19.805154589472799</v>
      </c>
      <c r="C699">
        <f>IF(B699&lt;$G$2, $F$2, IF(B699&lt;$G$3, $F$3, IF(B699&lt;$G$4, $F$4, IF(B699&lt;$G$5, $F$5, IF(B699&lt;$G$6, $F$6, IF(B699&lt;$G$7, $F$7, IF(B699&lt;$G$8, $F$8, IF(B699&lt;$G$9, $F$9, IF(B699&lt;$G$10, $F$10, $F$11)))))))))</f>
        <v>0.5</v>
      </c>
      <c r="D699">
        <f t="shared" si="10"/>
        <v>5</v>
      </c>
    </row>
    <row r="700" spans="1:4" x14ac:dyDescent="0.55000000000000004">
      <c r="A700">
        <v>2087</v>
      </c>
      <c r="B700">
        <v>481.28963742957399</v>
      </c>
      <c r="C700">
        <f>IF(B700&lt;$G$2, $F$2, IF(B700&lt;$G$3, $F$3, IF(B700&lt;$G$4, $F$4, IF(B700&lt;$G$5, $F$5, IF(B700&lt;$G$6, $F$6, IF(B700&lt;$G$7, $F$7, IF(B700&lt;$G$8, $F$8, IF(B700&lt;$G$9, $F$9, IF(B700&lt;$G$10, $F$10, $F$11)))))))))</f>
        <v>1</v>
      </c>
      <c r="D700">
        <f t="shared" si="10"/>
        <v>10</v>
      </c>
    </row>
    <row r="701" spans="1:4" x14ac:dyDescent="0.55000000000000004">
      <c r="A701">
        <v>2088</v>
      </c>
      <c r="B701">
        <v>1609.38619168421</v>
      </c>
      <c r="C701">
        <f>IF(B701&lt;$G$2, $F$2, IF(B701&lt;$G$3, $F$3, IF(B701&lt;$G$4, $F$4, IF(B701&lt;$G$5, $F$5, IF(B701&lt;$G$6, $F$6, IF(B701&lt;$G$7, $F$7, IF(B701&lt;$G$8, $F$8, IF(B701&lt;$G$9, $F$9, IF(B701&lt;$G$10, $F$10, $F$11)))))))))</f>
        <v>1</v>
      </c>
      <c r="D701">
        <f t="shared" si="10"/>
        <v>10</v>
      </c>
    </row>
    <row r="702" spans="1:4" x14ac:dyDescent="0.55000000000000004">
      <c r="A702">
        <v>2089</v>
      </c>
      <c r="B702">
        <v>14.5374367172854</v>
      </c>
      <c r="C702">
        <f>IF(B702&lt;$G$2, $F$2, IF(B702&lt;$G$3, $F$3, IF(B702&lt;$G$4, $F$4, IF(B702&lt;$G$5, $F$5, IF(B702&lt;$G$6, $F$6, IF(B702&lt;$G$7, $F$7, IF(B702&lt;$G$8, $F$8, IF(B702&lt;$G$9, $F$9, IF(B702&lt;$G$10, $F$10, $F$11)))))))))</f>
        <v>0.4</v>
      </c>
      <c r="D702">
        <f t="shared" si="10"/>
        <v>4</v>
      </c>
    </row>
    <row r="703" spans="1:4" x14ac:dyDescent="0.55000000000000004">
      <c r="A703">
        <v>2090</v>
      </c>
      <c r="B703">
        <v>188.96591444168101</v>
      </c>
      <c r="C703">
        <f>IF(B703&lt;$G$2, $F$2, IF(B703&lt;$G$3, $F$3, IF(B703&lt;$G$4, $F$4, IF(B703&lt;$G$5, $F$5, IF(B703&lt;$G$6, $F$6, IF(B703&lt;$G$7, $F$7, IF(B703&lt;$G$8, $F$8, IF(B703&lt;$G$9, $F$9, IF(B703&lt;$G$10, $F$10, $F$11)))))))))</f>
        <v>0.9</v>
      </c>
      <c r="D703">
        <f t="shared" si="10"/>
        <v>9</v>
      </c>
    </row>
    <row r="704" spans="1:4" x14ac:dyDescent="0.55000000000000004">
      <c r="A704">
        <v>2091</v>
      </c>
      <c r="B704">
        <v>7.0517721140809098</v>
      </c>
      <c r="C704">
        <f>IF(B704&lt;$G$2, $F$2, IF(B704&lt;$G$3, $F$3, IF(B704&lt;$G$4, $F$4, IF(B704&lt;$G$5, $F$5, IF(B704&lt;$G$6, $F$6, IF(B704&lt;$G$7, $F$7, IF(B704&lt;$G$8, $F$8, IF(B704&lt;$G$9, $F$9, IF(B704&lt;$G$10, $F$10, $F$11)))))))))</f>
        <v>0.3</v>
      </c>
      <c r="D704">
        <f t="shared" si="10"/>
        <v>3</v>
      </c>
    </row>
    <row r="705" spans="1:4" x14ac:dyDescent="0.55000000000000004">
      <c r="A705">
        <v>2092</v>
      </c>
      <c r="B705">
        <v>0.65304188709376798</v>
      </c>
      <c r="C705">
        <f>IF(B705&lt;$G$2, $F$2, IF(B705&lt;$G$3, $F$3, IF(B705&lt;$G$4, $F$4, IF(B705&lt;$G$5, $F$5, IF(B705&lt;$G$6, $F$6, IF(B705&lt;$G$7, $F$7, IF(B705&lt;$G$8, $F$8, IF(B705&lt;$G$9, $F$9, IF(B705&lt;$G$10, $F$10, $F$11)))))))))</f>
        <v>0.1</v>
      </c>
      <c r="D705">
        <f t="shared" si="10"/>
        <v>1</v>
      </c>
    </row>
    <row r="706" spans="1:4" x14ac:dyDescent="0.55000000000000004">
      <c r="A706">
        <v>2093</v>
      </c>
      <c r="B706">
        <v>17.475873267383999</v>
      </c>
      <c r="C706">
        <f>IF(B706&lt;$G$2, $F$2, IF(B706&lt;$G$3, $F$3, IF(B706&lt;$G$4, $F$4, IF(B706&lt;$G$5, $F$5, IF(B706&lt;$G$6, $F$6, IF(B706&lt;$G$7, $F$7, IF(B706&lt;$G$8, $F$8, IF(B706&lt;$G$9, $F$9, IF(B706&lt;$G$10, $F$10, $F$11)))))))))</f>
        <v>0.4</v>
      </c>
      <c r="D706">
        <f t="shared" si="10"/>
        <v>4</v>
      </c>
    </row>
    <row r="707" spans="1:4" x14ac:dyDescent="0.55000000000000004">
      <c r="A707">
        <v>2094</v>
      </c>
      <c r="B707">
        <v>531.84410955121803</v>
      </c>
      <c r="C707">
        <f>IF(B707&lt;$G$2, $F$2, IF(B707&lt;$G$3, $F$3, IF(B707&lt;$G$4, $F$4, IF(B707&lt;$G$5, $F$5, IF(B707&lt;$G$6, $F$6, IF(B707&lt;$G$7, $F$7, IF(B707&lt;$G$8, $F$8, IF(B707&lt;$G$9, $F$9, IF(B707&lt;$G$10, $F$10, $F$11)))))))))</f>
        <v>1</v>
      </c>
      <c r="D707">
        <f t="shared" ref="D707:D753" si="11">C707*10</f>
        <v>10</v>
      </c>
    </row>
    <row r="708" spans="1:4" x14ac:dyDescent="0.55000000000000004">
      <c r="A708">
        <v>2095</v>
      </c>
      <c r="B708">
        <v>1.4542373536398501</v>
      </c>
      <c r="C708">
        <f>IF(B708&lt;$G$2, $F$2, IF(B708&lt;$G$3, $F$3, IF(B708&lt;$G$4, $F$4, IF(B708&lt;$G$5, $F$5, IF(B708&lt;$G$6, $F$6, IF(B708&lt;$G$7, $F$7, IF(B708&lt;$G$8, $F$8, IF(B708&lt;$G$9, $F$9, IF(B708&lt;$G$10, $F$10, $F$11)))))))))</f>
        <v>0.1</v>
      </c>
      <c r="D708">
        <f t="shared" si="11"/>
        <v>1</v>
      </c>
    </row>
    <row r="709" spans="1:4" x14ac:dyDescent="0.55000000000000004">
      <c r="A709">
        <v>2096</v>
      </c>
      <c r="B709">
        <v>66.812668993041498</v>
      </c>
      <c r="C709">
        <f>IF(B709&lt;$G$2, $F$2, IF(B709&lt;$G$3, $F$3, IF(B709&lt;$G$4, $F$4, IF(B709&lt;$G$5, $F$5, IF(B709&lt;$G$6, $F$6, IF(B709&lt;$G$7, $F$7, IF(B709&lt;$G$8, $F$8, IF(B709&lt;$G$9, $F$9, IF(B709&lt;$G$10, $F$10, $F$11)))))))))</f>
        <v>0.8</v>
      </c>
      <c r="D709">
        <f t="shared" si="11"/>
        <v>8</v>
      </c>
    </row>
    <row r="710" spans="1:4" x14ac:dyDescent="0.55000000000000004">
      <c r="A710">
        <v>2097</v>
      </c>
      <c r="B710">
        <v>30.771943379613099</v>
      </c>
      <c r="C710">
        <f>IF(B710&lt;$G$2, $F$2, IF(B710&lt;$G$3, $F$3, IF(B710&lt;$G$4, $F$4, IF(B710&lt;$G$5, $F$5, IF(B710&lt;$G$6, $F$6, IF(B710&lt;$G$7, $F$7, IF(B710&lt;$G$8, $F$8, IF(B710&lt;$G$9, $F$9, IF(B710&lt;$G$10, $F$10, $F$11)))))))))</f>
        <v>0.6</v>
      </c>
      <c r="D710">
        <f t="shared" si="11"/>
        <v>6</v>
      </c>
    </row>
    <row r="711" spans="1:4" x14ac:dyDescent="0.55000000000000004">
      <c r="A711">
        <v>2098</v>
      </c>
      <c r="B711">
        <v>1.5536745557782601</v>
      </c>
      <c r="C711">
        <f>IF(B711&lt;$G$2, $F$2, IF(B711&lt;$G$3, $F$3, IF(B711&lt;$G$4, $F$4, IF(B711&lt;$G$5, $F$5, IF(B711&lt;$G$6, $F$6, IF(B711&lt;$G$7, $F$7, IF(B711&lt;$G$8, $F$8, IF(B711&lt;$G$9, $F$9, IF(B711&lt;$G$10, $F$10, $F$11)))))))))</f>
        <v>0.1</v>
      </c>
      <c r="D711">
        <f t="shared" si="11"/>
        <v>1</v>
      </c>
    </row>
    <row r="712" spans="1:4" x14ac:dyDescent="0.55000000000000004">
      <c r="A712">
        <v>2099</v>
      </c>
      <c r="B712">
        <v>4.7979756402789402</v>
      </c>
      <c r="C712">
        <f>IF(B712&lt;$G$2, $F$2, IF(B712&lt;$G$3, $F$3, IF(B712&lt;$G$4, $F$4, IF(B712&lt;$G$5, $F$5, IF(B712&lt;$G$6, $F$6, IF(B712&lt;$G$7, $F$7, IF(B712&lt;$G$8, $F$8, IF(B712&lt;$G$9, $F$9, IF(B712&lt;$G$10, $F$10, $F$11)))))))))</f>
        <v>0.2</v>
      </c>
      <c r="D712">
        <f t="shared" si="11"/>
        <v>2</v>
      </c>
    </row>
    <row r="713" spans="1:4" x14ac:dyDescent="0.55000000000000004">
      <c r="A713">
        <v>2100</v>
      </c>
      <c r="B713">
        <v>64.875541874623906</v>
      </c>
      <c r="C713">
        <f>IF(B713&lt;$G$2, $F$2, IF(B713&lt;$G$3, $F$3, IF(B713&lt;$G$4, $F$4, IF(B713&lt;$G$5, $F$5, IF(B713&lt;$G$6, $F$6, IF(B713&lt;$G$7, $F$7, IF(B713&lt;$G$8, $F$8, IF(B713&lt;$G$9, $F$9, IF(B713&lt;$G$10, $F$10, $F$11)))))))))</f>
        <v>0.8</v>
      </c>
      <c r="D713">
        <f t="shared" si="11"/>
        <v>8</v>
      </c>
    </row>
    <row r="714" spans="1:4" x14ac:dyDescent="0.55000000000000004">
      <c r="A714">
        <v>2101</v>
      </c>
      <c r="B714">
        <v>264.12567029044197</v>
      </c>
      <c r="C714">
        <f>IF(B714&lt;$G$2, $F$2, IF(B714&lt;$G$3, $F$3, IF(B714&lt;$G$4, $F$4, IF(B714&lt;$G$5, $F$5, IF(B714&lt;$G$6, $F$6, IF(B714&lt;$G$7, $F$7, IF(B714&lt;$G$8, $F$8, IF(B714&lt;$G$9, $F$9, IF(B714&lt;$G$10, $F$10, $F$11)))))))))</f>
        <v>0.9</v>
      </c>
      <c r="D714">
        <f t="shared" si="11"/>
        <v>9</v>
      </c>
    </row>
    <row r="715" spans="1:4" x14ac:dyDescent="0.55000000000000004">
      <c r="A715">
        <v>2102</v>
      </c>
      <c r="B715">
        <v>723.25307416144699</v>
      </c>
      <c r="C715">
        <f>IF(B715&lt;$G$2, $F$2, IF(B715&lt;$G$3, $F$3, IF(B715&lt;$G$4, $F$4, IF(B715&lt;$G$5, $F$5, IF(B715&lt;$G$6, $F$6, IF(B715&lt;$G$7, $F$7, IF(B715&lt;$G$8, $F$8, IF(B715&lt;$G$9, $F$9, IF(B715&lt;$G$10, $F$10, $F$11)))))))))</f>
        <v>1</v>
      </c>
      <c r="D715">
        <f t="shared" si="11"/>
        <v>10</v>
      </c>
    </row>
    <row r="716" spans="1:4" x14ac:dyDescent="0.55000000000000004">
      <c r="A716">
        <v>2103</v>
      </c>
      <c r="B716">
        <v>44.9909863029253</v>
      </c>
      <c r="C716">
        <f>IF(B716&lt;$G$2, $F$2, IF(B716&lt;$G$3, $F$3, IF(B716&lt;$G$4, $F$4, IF(B716&lt;$G$5, $F$5, IF(B716&lt;$G$6, $F$6, IF(B716&lt;$G$7, $F$7, IF(B716&lt;$G$8, $F$8, IF(B716&lt;$G$9, $F$9, IF(B716&lt;$G$10, $F$10, $F$11)))))))))</f>
        <v>0.7</v>
      </c>
      <c r="D716">
        <f t="shared" si="11"/>
        <v>7</v>
      </c>
    </row>
    <row r="717" spans="1:4" x14ac:dyDescent="0.55000000000000004">
      <c r="A717">
        <v>2104</v>
      </c>
      <c r="B717">
        <v>2.9120688305456999</v>
      </c>
      <c r="C717">
        <f>IF(B717&lt;$G$2, $F$2, IF(B717&lt;$G$3, $F$3, IF(B717&lt;$G$4, $F$4, IF(B717&lt;$G$5, $F$5, IF(B717&lt;$G$6, $F$6, IF(B717&lt;$G$7, $F$7, IF(B717&lt;$G$8, $F$8, IF(B717&lt;$G$9, $F$9, IF(B717&lt;$G$10, $F$10, $F$11)))))))))</f>
        <v>0.2</v>
      </c>
      <c r="D717">
        <f t="shared" si="11"/>
        <v>2</v>
      </c>
    </row>
    <row r="718" spans="1:4" x14ac:dyDescent="0.55000000000000004">
      <c r="A718">
        <v>2105</v>
      </c>
      <c r="B718">
        <v>195.51990890463901</v>
      </c>
      <c r="C718">
        <f>IF(B718&lt;$G$2, $F$2, IF(B718&lt;$G$3, $F$3, IF(B718&lt;$G$4, $F$4, IF(B718&lt;$G$5, $F$5, IF(B718&lt;$G$6, $F$6, IF(B718&lt;$G$7, $F$7, IF(B718&lt;$G$8, $F$8, IF(B718&lt;$G$9, $F$9, IF(B718&lt;$G$10, $F$10, $F$11)))))))))</f>
        <v>0.9</v>
      </c>
      <c r="D718">
        <f t="shared" si="11"/>
        <v>9</v>
      </c>
    </row>
    <row r="719" spans="1:4" x14ac:dyDescent="0.55000000000000004">
      <c r="A719">
        <v>2106</v>
      </c>
      <c r="B719">
        <v>10683.2733166567</v>
      </c>
      <c r="C719">
        <f>IF(B719&lt;$G$2, $F$2, IF(B719&lt;$G$3, $F$3, IF(B719&lt;$G$4, $F$4, IF(B719&lt;$G$5, $F$5, IF(B719&lt;$G$6, $F$6, IF(B719&lt;$G$7, $F$7, IF(B719&lt;$G$8, $F$8, IF(B719&lt;$G$9, $F$9, IF(B719&lt;$G$10, $F$10, $F$11)))))))))</f>
        <v>1</v>
      </c>
      <c r="D719">
        <f t="shared" si="11"/>
        <v>10</v>
      </c>
    </row>
    <row r="720" spans="1:4" x14ac:dyDescent="0.55000000000000004">
      <c r="A720">
        <v>2107</v>
      </c>
      <c r="B720">
        <v>4275.5438740651298</v>
      </c>
      <c r="C720">
        <f>IF(B720&lt;$G$2, $F$2, IF(B720&lt;$G$3, $F$3, IF(B720&lt;$G$4, $F$4, IF(B720&lt;$G$5, $F$5, IF(B720&lt;$G$6, $F$6, IF(B720&lt;$G$7, $F$7, IF(B720&lt;$G$8, $F$8, IF(B720&lt;$G$9, $F$9, IF(B720&lt;$G$10, $F$10, $F$11)))))))))</f>
        <v>1</v>
      </c>
      <c r="D720">
        <f t="shared" si="11"/>
        <v>10</v>
      </c>
    </row>
    <row r="721" spans="1:4" x14ac:dyDescent="0.55000000000000004">
      <c r="A721">
        <v>2108</v>
      </c>
      <c r="B721">
        <v>1.29100169399556</v>
      </c>
      <c r="C721">
        <f>IF(B721&lt;$G$2, $F$2, IF(B721&lt;$G$3, $F$3, IF(B721&lt;$G$4, $F$4, IF(B721&lt;$G$5, $F$5, IF(B721&lt;$G$6, $F$6, IF(B721&lt;$G$7, $F$7, IF(B721&lt;$G$8, $F$8, IF(B721&lt;$G$9, $F$9, IF(B721&lt;$G$10, $F$10, $F$11)))))))))</f>
        <v>0.1</v>
      </c>
      <c r="D721">
        <f t="shared" si="11"/>
        <v>1</v>
      </c>
    </row>
    <row r="722" spans="1:4" x14ac:dyDescent="0.55000000000000004">
      <c r="A722">
        <v>2109</v>
      </c>
      <c r="B722">
        <v>18.384460939160501</v>
      </c>
      <c r="C722">
        <f>IF(B722&lt;$G$2, $F$2, IF(B722&lt;$G$3, $F$3, IF(B722&lt;$G$4, $F$4, IF(B722&lt;$G$5, $F$5, IF(B722&lt;$G$6, $F$6, IF(B722&lt;$G$7, $F$7, IF(B722&lt;$G$8, $F$8, IF(B722&lt;$G$9, $F$9, IF(B722&lt;$G$10, $F$10, $F$11)))))))))</f>
        <v>0.5</v>
      </c>
      <c r="D722">
        <f t="shared" si="11"/>
        <v>5</v>
      </c>
    </row>
    <row r="723" spans="1:4" x14ac:dyDescent="0.55000000000000004">
      <c r="A723">
        <v>3000</v>
      </c>
      <c r="B723">
        <v>0.98689717964655399</v>
      </c>
      <c r="C723">
        <f>IF(B723&lt;$G$2, $F$2, IF(B723&lt;$G$3, $F$3, IF(B723&lt;$G$4, $F$4, IF(B723&lt;$G$5, $F$5, IF(B723&lt;$G$6, $F$6, IF(B723&lt;$G$7, $F$7, IF(B723&lt;$G$8, $F$8, IF(B723&lt;$G$9, $F$9, IF(B723&lt;$G$10, $F$10, $F$11)))))))))</f>
        <v>0.1</v>
      </c>
      <c r="D723">
        <f t="shared" si="11"/>
        <v>1</v>
      </c>
    </row>
    <row r="724" spans="1:4" x14ac:dyDescent="0.55000000000000004">
      <c r="A724">
        <v>3001</v>
      </c>
      <c r="B724">
        <v>167.63136006614499</v>
      </c>
      <c r="C724">
        <f>IF(B724&lt;$G$2, $F$2, IF(B724&lt;$G$3, $F$3, IF(B724&lt;$G$4, $F$4, IF(B724&lt;$G$5, $F$5, IF(B724&lt;$G$6, $F$6, IF(B724&lt;$G$7, $F$7, IF(B724&lt;$G$8, $F$8, IF(B724&lt;$G$9, $F$9, IF(B724&lt;$G$10, $F$10, $F$11)))))))))</f>
        <v>0.9</v>
      </c>
      <c r="D724">
        <f t="shared" si="11"/>
        <v>9</v>
      </c>
    </row>
    <row r="725" spans="1:4" x14ac:dyDescent="0.55000000000000004">
      <c r="A725">
        <v>3002</v>
      </c>
      <c r="B725">
        <v>1.93537143426651</v>
      </c>
      <c r="C725">
        <f>IF(B725&lt;$G$2, $F$2, IF(B725&lt;$G$3, $F$3, IF(B725&lt;$G$4, $F$4, IF(B725&lt;$G$5, $F$5, IF(B725&lt;$G$6, $F$6, IF(B725&lt;$G$7, $F$7, IF(B725&lt;$G$8, $F$8, IF(B725&lt;$G$9, $F$9, IF(B725&lt;$G$10, $F$10, $F$11)))))))))</f>
        <v>0.1</v>
      </c>
      <c r="D725">
        <f t="shared" si="11"/>
        <v>1</v>
      </c>
    </row>
    <row r="726" spans="1:4" x14ac:dyDescent="0.55000000000000004">
      <c r="A726">
        <v>3003</v>
      </c>
      <c r="B726">
        <v>7.5191917697827604</v>
      </c>
      <c r="C726">
        <f>IF(B726&lt;$G$2, $F$2, IF(B726&lt;$G$3, $F$3, IF(B726&lt;$G$4, $F$4, IF(B726&lt;$G$5, $F$5, IF(B726&lt;$G$6, $F$6, IF(B726&lt;$G$7, $F$7, IF(B726&lt;$G$8, $F$8, IF(B726&lt;$G$9, $F$9, IF(B726&lt;$G$10, $F$10, $F$11)))))))))</f>
        <v>0.3</v>
      </c>
      <c r="D726">
        <f t="shared" si="11"/>
        <v>3</v>
      </c>
    </row>
    <row r="727" spans="1:4" x14ac:dyDescent="0.55000000000000004">
      <c r="A727">
        <v>3004</v>
      </c>
      <c r="B727">
        <v>3.2054504165836599</v>
      </c>
      <c r="C727">
        <f>IF(B727&lt;$G$2, $F$2, IF(B727&lt;$G$3, $F$3, IF(B727&lt;$G$4, $F$4, IF(B727&lt;$G$5, $F$5, IF(B727&lt;$G$6, $F$6, IF(B727&lt;$G$7, $F$7, IF(B727&lt;$G$8, $F$8, IF(B727&lt;$G$9, $F$9, IF(B727&lt;$G$10, $F$10, $F$11)))))))))</f>
        <v>0.2</v>
      </c>
      <c r="D727">
        <f t="shared" si="11"/>
        <v>2</v>
      </c>
    </row>
    <row r="728" spans="1:4" x14ac:dyDescent="0.55000000000000004">
      <c r="A728">
        <v>3005</v>
      </c>
      <c r="B728">
        <v>3.1544363330098601</v>
      </c>
      <c r="C728">
        <f>IF(B728&lt;$G$2, $F$2, IF(B728&lt;$G$3, $F$3, IF(B728&lt;$G$4, $F$4, IF(B728&lt;$G$5, $F$5, IF(B728&lt;$G$6, $F$6, IF(B728&lt;$G$7, $F$7, IF(B728&lt;$G$8, $F$8, IF(B728&lt;$G$9, $F$9, IF(B728&lt;$G$10, $F$10, $F$11)))))))))</f>
        <v>0.2</v>
      </c>
      <c r="D728">
        <f t="shared" si="11"/>
        <v>2</v>
      </c>
    </row>
    <row r="729" spans="1:4" x14ac:dyDescent="0.55000000000000004">
      <c r="A729">
        <v>3006</v>
      </c>
      <c r="B729">
        <v>0.62891528374238204</v>
      </c>
      <c r="C729">
        <f>IF(B729&lt;$G$2, $F$2, IF(B729&lt;$G$3, $F$3, IF(B729&lt;$G$4, $F$4, IF(B729&lt;$G$5, $F$5, IF(B729&lt;$G$6, $F$6, IF(B729&lt;$G$7, $F$7, IF(B729&lt;$G$8, $F$8, IF(B729&lt;$G$9, $F$9, IF(B729&lt;$G$10, $F$10, $F$11)))))))))</f>
        <v>0.1</v>
      </c>
      <c r="D729">
        <f t="shared" si="11"/>
        <v>1</v>
      </c>
    </row>
    <row r="730" spans="1:4" x14ac:dyDescent="0.55000000000000004">
      <c r="A730">
        <v>3007</v>
      </c>
      <c r="B730">
        <v>5.4440328020143696</v>
      </c>
      <c r="C730">
        <f>IF(B730&lt;$G$2, $F$2, IF(B730&lt;$G$3, $F$3, IF(B730&lt;$G$4, $F$4, IF(B730&lt;$G$5, $F$5, IF(B730&lt;$G$6, $F$6, IF(B730&lt;$G$7, $F$7, IF(B730&lt;$G$8, $F$8, IF(B730&lt;$G$9, $F$9, IF(B730&lt;$G$10, $F$10, $F$11)))))))))</f>
        <v>0.3</v>
      </c>
      <c r="D730">
        <f t="shared" si="11"/>
        <v>3</v>
      </c>
    </row>
    <row r="731" spans="1:4" x14ac:dyDescent="0.55000000000000004">
      <c r="A731">
        <v>3008</v>
      </c>
      <c r="B731">
        <v>87.704046256287796</v>
      </c>
      <c r="C731">
        <f>IF(B731&lt;$G$2, $F$2, IF(B731&lt;$G$3, $F$3, IF(B731&lt;$G$4, $F$4, IF(B731&lt;$G$5, $F$5, IF(B731&lt;$G$6, $F$6, IF(B731&lt;$G$7, $F$7, IF(B731&lt;$G$8, $F$8, IF(B731&lt;$G$9, $F$9, IF(B731&lt;$G$10, $F$10, $F$11)))))))))</f>
        <v>0.8</v>
      </c>
      <c r="D731">
        <f t="shared" si="11"/>
        <v>8</v>
      </c>
    </row>
    <row r="732" spans="1:4" x14ac:dyDescent="0.55000000000000004">
      <c r="A732">
        <v>3009</v>
      </c>
      <c r="B732">
        <v>12.222699453421299</v>
      </c>
      <c r="C732">
        <f>IF(B732&lt;$G$2, $F$2, IF(B732&lt;$G$3, $F$3, IF(B732&lt;$G$4, $F$4, IF(B732&lt;$G$5, $F$5, IF(B732&lt;$G$6, $F$6, IF(B732&lt;$G$7, $F$7, IF(B732&lt;$G$8, $F$8, IF(B732&lt;$G$9, $F$9, IF(B732&lt;$G$10, $F$10, $F$11)))))))))</f>
        <v>0.4</v>
      </c>
      <c r="D732">
        <f t="shared" si="11"/>
        <v>4</v>
      </c>
    </row>
    <row r="733" spans="1:4" x14ac:dyDescent="0.55000000000000004">
      <c r="A733">
        <v>3010</v>
      </c>
      <c r="B733">
        <v>9.0077634817637797</v>
      </c>
      <c r="C733">
        <f>IF(B733&lt;$G$2, $F$2, IF(B733&lt;$G$3, $F$3, IF(B733&lt;$G$4, $F$4, IF(B733&lt;$G$5, $F$5, IF(B733&lt;$G$6, $F$6, IF(B733&lt;$G$7, $F$7, IF(B733&lt;$G$8, $F$8, IF(B733&lt;$G$9, $F$9, IF(B733&lt;$G$10, $F$10, $F$11)))))))))</f>
        <v>0.3</v>
      </c>
      <c r="D733">
        <f t="shared" si="11"/>
        <v>3</v>
      </c>
    </row>
    <row r="734" spans="1:4" x14ac:dyDescent="0.55000000000000004">
      <c r="A734">
        <v>3011</v>
      </c>
      <c r="B734">
        <v>5.5507533492620604</v>
      </c>
      <c r="C734">
        <f>IF(B734&lt;$G$2, $F$2, IF(B734&lt;$G$3, $F$3, IF(B734&lt;$G$4, $F$4, IF(B734&lt;$G$5, $F$5, IF(B734&lt;$G$6, $F$6, IF(B734&lt;$G$7, $F$7, IF(B734&lt;$G$8, $F$8, IF(B734&lt;$G$9, $F$9, IF(B734&lt;$G$10, $F$10, $F$11)))))))))</f>
        <v>0.3</v>
      </c>
      <c r="D734">
        <f t="shared" si="11"/>
        <v>3</v>
      </c>
    </row>
    <row r="735" spans="1:4" x14ac:dyDescent="0.55000000000000004">
      <c r="A735">
        <v>3012</v>
      </c>
      <c r="B735">
        <v>28.747354688116999</v>
      </c>
      <c r="C735">
        <f>IF(B735&lt;$G$2, $F$2, IF(B735&lt;$G$3, $F$3, IF(B735&lt;$G$4, $F$4, IF(B735&lt;$G$5, $F$5, IF(B735&lt;$G$6, $F$6, IF(B735&lt;$G$7, $F$7, IF(B735&lt;$G$8, $F$8, IF(B735&lt;$G$9, $F$9, IF(B735&lt;$G$10, $F$10, $F$11)))))))))</f>
        <v>0.6</v>
      </c>
      <c r="D735">
        <f t="shared" si="11"/>
        <v>6</v>
      </c>
    </row>
    <row r="736" spans="1:4" x14ac:dyDescent="0.55000000000000004">
      <c r="A736">
        <v>3013</v>
      </c>
      <c r="B736">
        <v>41.515271875132001</v>
      </c>
      <c r="C736">
        <f>IF(B736&lt;$G$2, $F$2, IF(B736&lt;$G$3, $F$3, IF(B736&lt;$G$4, $F$4, IF(B736&lt;$G$5, $F$5, IF(B736&lt;$G$6, $F$6, IF(B736&lt;$G$7, $F$7, IF(B736&lt;$G$8, $F$8, IF(B736&lt;$G$9, $F$9, IF(B736&lt;$G$10, $F$10, $F$11)))))))))</f>
        <v>0.7</v>
      </c>
      <c r="D736">
        <f t="shared" si="11"/>
        <v>7</v>
      </c>
    </row>
    <row r="737" spans="1:4" x14ac:dyDescent="0.55000000000000004">
      <c r="A737">
        <v>3014</v>
      </c>
      <c r="B737">
        <v>4.1016776780765696</v>
      </c>
      <c r="C737">
        <f>IF(B737&lt;$G$2, $F$2, IF(B737&lt;$G$3, $F$3, IF(B737&lt;$G$4, $F$4, IF(B737&lt;$G$5, $F$5, IF(B737&lt;$G$6, $F$6, IF(B737&lt;$G$7, $F$7, IF(B737&lt;$G$8, $F$8, IF(B737&lt;$G$9, $F$9, IF(B737&lt;$G$10, $F$10, $F$11)))))))))</f>
        <v>0.2</v>
      </c>
      <c r="D737">
        <f t="shared" si="11"/>
        <v>2</v>
      </c>
    </row>
    <row r="738" spans="1:4" x14ac:dyDescent="0.55000000000000004">
      <c r="A738">
        <v>3015</v>
      </c>
      <c r="B738">
        <v>1.7714422541613799</v>
      </c>
      <c r="C738">
        <f>IF(B738&lt;$G$2, $F$2, IF(B738&lt;$G$3, $F$3, IF(B738&lt;$G$4, $F$4, IF(B738&lt;$G$5, $F$5, IF(B738&lt;$G$6, $F$6, IF(B738&lt;$G$7, $F$7, IF(B738&lt;$G$8, $F$8, IF(B738&lt;$G$9, $F$9, IF(B738&lt;$G$10, $F$10, $F$11)))))))))</f>
        <v>0.1</v>
      </c>
      <c r="D738">
        <f t="shared" si="11"/>
        <v>1</v>
      </c>
    </row>
    <row r="739" spans="1:4" x14ac:dyDescent="0.55000000000000004">
      <c r="A739">
        <v>3016</v>
      </c>
      <c r="B739">
        <v>4.4655722206412696</v>
      </c>
      <c r="C739">
        <f>IF(B739&lt;$G$2, $F$2, IF(B739&lt;$G$3, $F$3, IF(B739&lt;$G$4, $F$4, IF(B739&lt;$G$5, $F$5, IF(B739&lt;$G$6, $F$6, IF(B739&lt;$G$7, $F$7, IF(B739&lt;$G$8, $F$8, IF(B739&lt;$G$9, $F$9, IF(B739&lt;$G$10, $F$10, $F$11)))))))))</f>
        <v>0.2</v>
      </c>
      <c r="D739">
        <f t="shared" si="11"/>
        <v>2</v>
      </c>
    </row>
    <row r="740" spans="1:4" x14ac:dyDescent="0.55000000000000004">
      <c r="A740">
        <v>3017</v>
      </c>
      <c r="B740">
        <v>5.52484591806114</v>
      </c>
      <c r="C740">
        <f>IF(B740&lt;$G$2, $F$2, IF(B740&lt;$G$3, $F$3, IF(B740&lt;$G$4, $F$4, IF(B740&lt;$G$5, $F$5, IF(B740&lt;$G$6, $F$6, IF(B740&lt;$G$7, $F$7, IF(B740&lt;$G$8, $F$8, IF(B740&lt;$G$9, $F$9, IF(B740&lt;$G$10, $F$10, $F$11)))))))))</f>
        <v>0.3</v>
      </c>
      <c r="D740">
        <f t="shared" si="11"/>
        <v>3</v>
      </c>
    </row>
    <row r="741" spans="1:4" x14ac:dyDescent="0.55000000000000004">
      <c r="A741">
        <v>3018</v>
      </c>
      <c r="B741">
        <v>128.70427929644401</v>
      </c>
      <c r="C741">
        <f>IF(B741&lt;$G$2, $F$2, IF(B741&lt;$G$3, $F$3, IF(B741&lt;$G$4, $F$4, IF(B741&lt;$G$5, $F$5, IF(B741&lt;$G$6, $F$6, IF(B741&lt;$G$7, $F$7, IF(B741&lt;$G$8, $F$8, IF(B741&lt;$G$9, $F$9, IF(B741&lt;$G$10, $F$10, $F$11)))))))))</f>
        <v>0.9</v>
      </c>
      <c r="D741">
        <f t="shared" si="11"/>
        <v>9</v>
      </c>
    </row>
    <row r="742" spans="1:4" x14ac:dyDescent="0.55000000000000004">
      <c r="A742">
        <v>3019</v>
      </c>
      <c r="B742">
        <v>6.6227804627272002</v>
      </c>
      <c r="C742">
        <f>IF(B742&lt;$G$2, $F$2, IF(B742&lt;$G$3, $F$3, IF(B742&lt;$G$4, $F$4, IF(B742&lt;$G$5, $F$5, IF(B742&lt;$G$6, $F$6, IF(B742&lt;$G$7, $F$7, IF(B742&lt;$G$8, $F$8, IF(B742&lt;$G$9, $F$9, IF(B742&lt;$G$10, $F$10, $F$11)))))))))</f>
        <v>0.3</v>
      </c>
      <c r="D742">
        <f t="shared" si="11"/>
        <v>3</v>
      </c>
    </row>
    <row r="743" spans="1:4" x14ac:dyDescent="0.55000000000000004">
      <c r="A743">
        <v>3020</v>
      </c>
      <c r="B743">
        <v>76.523338316024294</v>
      </c>
      <c r="C743">
        <f>IF(B743&lt;$G$2, $F$2, IF(B743&lt;$G$3, $F$3, IF(B743&lt;$G$4, $F$4, IF(B743&lt;$G$5, $F$5, IF(B743&lt;$G$6, $F$6, IF(B743&lt;$G$7, $F$7, IF(B743&lt;$G$8, $F$8, IF(B743&lt;$G$9, $F$9, IF(B743&lt;$G$10, $F$10, $F$11)))))))))</f>
        <v>0.8</v>
      </c>
      <c r="D743">
        <f t="shared" si="11"/>
        <v>8</v>
      </c>
    </row>
    <row r="744" spans="1:4" x14ac:dyDescent="0.55000000000000004">
      <c r="A744">
        <v>3021</v>
      </c>
      <c r="B744">
        <v>1.59955259900631</v>
      </c>
      <c r="C744">
        <f>IF(B744&lt;$G$2, $F$2, IF(B744&lt;$G$3, $F$3, IF(B744&lt;$G$4, $F$4, IF(B744&lt;$G$5, $F$5, IF(B744&lt;$G$6, $F$6, IF(B744&lt;$G$7, $F$7, IF(B744&lt;$G$8, $F$8, IF(B744&lt;$G$9, $F$9, IF(B744&lt;$G$10, $F$10, $F$11)))))))))</f>
        <v>0.1</v>
      </c>
      <c r="D744">
        <f t="shared" si="11"/>
        <v>1</v>
      </c>
    </row>
    <row r="745" spans="1:4" x14ac:dyDescent="0.55000000000000004">
      <c r="A745">
        <v>3022</v>
      </c>
      <c r="B745">
        <v>75.654290757977407</v>
      </c>
      <c r="C745">
        <f>IF(B745&lt;$G$2, $F$2, IF(B745&lt;$G$3, $F$3, IF(B745&lt;$G$4, $F$4, IF(B745&lt;$G$5, $F$5, IF(B745&lt;$G$6, $F$6, IF(B745&lt;$G$7, $F$7, IF(B745&lt;$G$8, $F$8, IF(B745&lt;$G$9, $F$9, IF(B745&lt;$G$10, $F$10, $F$11)))))))))</f>
        <v>0.8</v>
      </c>
      <c r="D745">
        <f t="shared" si="11"/>
        <v>8</v>
      </c>
    </row>
    <row r="746" spans="1:4" x14ac:dyDescent="0.55000000000000004">
      <c r="A746">
        <v>3023</v>
      </c>
      <c r="B746">
        <v>5.5537342267249601</v>
      </c>
      <c r="C746">
        <f>IF(B746&lt;$G$2, $F$2, IF(B746&lt;$G$3, $F$3, IF(B746&lt;$G$4, $F$4, IF(B746&lt;$G$5, $F$5, IF(B746&lt;$G$6, $F$6, IF(B746&lt;$G$7, $F$7, IF(B746&lt;$G$8, $F$8, IF(B746&lt;$G$9, $F$9, IF(B746&lt;$G$10, $F$10, $F$11)))))))))</f>
        <v>0.3</v>
      </c>
      <c r="D746">
        <f t="shared" si="11"/>
        <v>3</v>
      </c>
    </row>
    <row r="747" spans="1:4" x14ac:dyDescent="0.55000000000000004">
      <c r="A747">
        <v>3024</v>
      </c>
      <c r="B747">
        <v>16.677826710995699</v>
      </c>
      <c r="C747">
        <f>IF(B747&lt;$G$2, $F$2, IF(B747&lt;$G$3, $F$3, IF(B747&lt;$G$4, $F$4, IF(B747&lt;$G$5, $F$5, IF(B747&lt;$G$6, $F$6, IF(B747&lt;$G$7, $F$7, IF(B747&lt;$G$8, $F$8, IF(B747&lt;$G$9, $F$9, IF(B747&lt;$G$10, $F$10, $F$11)))))))))</f>
        <v>0.4</v>
      </c>
      <c r="D747">
        <f t="shared" si="11"/>
        <v>4</v>
      </c>
    </row>
    <row r="748" spans="1:4" x14ac:dyDescent="0.55000000000000004">
      <c r="A748">
        <v>3025</v>
      </c>
      <c r="B748">
        <v>0.68137632058433495</v>
      </c>
      <c r="C748">
        <f>IF(B748&lt;$G$2, $F$2, IF(B748&lt;$G$3, $F$3, IF(B748&lt;$G$4, $F$4, IF(B748&lt;$G$5, $F$5, IF(B748&lt;$G$6, $F$6, IF(B748&lt;$G$7, $F$7, IF(B748&lt;$G$8, $F$8, IF(B748&lt;$G$9, $F$9, IF(B748&lt;$G$10, $F$10, $F$11)))))))))</f>
        <v>0.1</v>
      </c>
      <c r="D748">
        <f t="shared" si="11"/>
        <v>1</v>
      </c>
    </row>
    <row r="749" spans="1:4" x14ac:dyDescent="0.55000000000000004">
      <c r="A749">
        <v>3026</v>
      </c>
      <c r="B749">
        <v>6.3227728604657001</v>
      </c>
      <c r="C749">
        <f>IF(B749&lt;$G$2, $F$2, IF(B749&lt;$G$3, $F$3, IF(B749&lt;$G$4, $F$4, IF(B749&lt;$G$5, $F$5, IF(B749&lt;$G$6, $F$6, IF(B749&lt;$G$7, $F$7, IF(B749&lt;$G$8, $F$8, IF(B749&lt;$G$9, $F$9, IF(B749&lt;$G$10, $F$10, $F$11)))))))))</f>
        <v>0.3</v>
      </c>
      <c r="D749">
        <f t="shared" si="11"/>
        <v>3</v>
      </c>
    </row>
    <row r="750" spans="1:4" x14ac:dyDescent="0.55000000000000004">
      <c r="A750">
        <v>3027</v>
      </c>
      <c r="B750">
        <v>27.653605245689</v>
      </c>
      <c r="C750">
        <f>IF(B750&lt;$G$2, $F$2, IF(B750&lt;$G$3, $F$3, IF(B750&lt;$G$4, $F$4, IF(B750&lt;$G$5, $F$5, IF(B750&lt;$G$6, $F$6, IF(B750&lt;$G$7, $F$7, IF(B750&lt;$G$8, $F$8, IF(B750&lt;$G$9, $F$9, IF(B750&lt;$G$10, $F$10, $F$11)))))))))</f>
        <v>0.6</v>
      </c>
      <c r="D750">
        <f t="shared" si="11"/>
        <v>6</v>
      </c>
    </row>
    <row r="751" spans="1:4" x14ac:dyDescent="0.55000000000000004">
      <c r="A751">
        <v>3028</v>
      </c>
      <c r="B751">
        <v>41.620440527260499</v>
      </c>
      <c r="C751">
        <f>IF(B751&lt;$G$2, $F$2, IF(B751&lt;$G$3, $F$3, IF(B751&lt;$G$4, $F$4, IF(B751&lt;$G$5, $F$5, IF(B751&lt;$G$6, $F$6, IF(B751&lt;$G$7, $F$7, IF(B751&lt;$G$8, $F$8, IF(B751&lt;$G$9, $F$9, IF(B751&lt;$G$10, $F$10, $F$11)))))))))</f>
        <v>0.7</v>
      </c>
      <c r="D751">
        <f t="shared" si="11"/>
        <v>7</v>
      </c>
    </row>
    <row r="752" spans="1:4" x14ac:dyDescent="0.55000000000000004">
      <c r="A752">
        <v>3029</v>
      </c>
      <c r="B752">
        <v>43.674592874319401</v>
      </c>
      <c r="C752">
        <f>IF(B752&lt;$G$2, $F$2, IF(B752&lt;$G$3, $F$3, IF(B752&lt;$G$4, $F$4, IF(B752&lt;$G$5, $F$5, IF(B752&lt;$G$6, $F$6, IF(B752&lt;$G$7, $F$7, IF(B752&lt;$G$8, $F$8, IF(B752&lt;$G$9, $F$9, IF(B752&lt;$G$10, $F$10, $F$11)))))))))</f>
        <v>0.7</v>
      </c>
      <c r="D752">
        <f t="shared" si="11"/>
        <v>7</v>
      </c>
    </row>
    <row r="753" spans="1:4" x14ac:dyDescent="0.55000000000000004">
      <c r="A753">
        <v>3030</v>
      </c>
      <c r="B753">
        <v>50.987391413681699</v>
      </c>
      <c r="C753">
        <f>IF(B753&lt;$G$2, $F$2, IF(B753&lt;$G$3, $F$3, IF(B753&lt;$G$4, $F$4, IF(B753&lt;$G$5, $F$5, IF(B753&lt;$G$6, $F$6, IF(B753&lt;$G$7, $F$7, IF(B753&lt;$G$8, $F$8, IF(B753&lt;$G$9, $F$9, IF(B753&lt;$G$10, $F$10, $F$11)))))))))</f>
        <v>0.7</v>
      </c>
      <c r="D753">
        <f t="shared" si="11"/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7D20-1676-40A3-9E00-B400D16E2B9F}">
  <dimension ref="A1:M753"/>
  <sheetViews>
    <sheetView workbookViewId="0">
      <selection activeCell="I2" sqref="I2"/>
    </sheetView>
  </sheetViews>
  <sheetFormatPr defaultRowHeight="14.4" x14ac:dyDescent="0.55000000000000004"/>
  <cols>
    <col min="8" max="8" width="14" customWidth="1"/>
    <col min="11" max="11" width="14.7890625" customWidth="1"/>
    <col min="15" max="15" width="12" customWidth="1"/>
  </cols>
  <sheetData>
    <row r="1" spans="1:13" x14ac:dyDescent="0.55000000000000004">
      <c r="A1" t="s">
        <v>0</v>
      </c>
      <c r="B1" t="s">
        <v>4</v>
      </c>
      <c r="C1" t="s">
        <v>1</v>
      </c>
      <c r="D1" t="s">
        <v>5</v>
      </c>
      <c r="E1" t="s">
        <v>2</v>
      </c>
      <c r="F1" t="s">
        <v>31</v>
      </c>
      <c r="G1" t="s">
        <v>32</v>
      </c>
      <c r="H1" t="s">
        <v>38</v>
      </c>
      <c r="I1" t="s">
        <v>39</v>
      </c>
    </row>
    <row r="2" spans="1:13" x14ac:dyDescent="0.55000000000000004">
      <c r="A2">
        <v>1</v>
      </c>
      <c r="B2">
        <f>estuary_data!U2*weights!$C$2</f>
        <v>3.6221763005850248E-2</v>
      </c>
      <c r="C2">
        <f>estuary_data!R2*weights!$C$5</f>
        <v>6.5469907502263169E-2</v>
      </c>
      <c r="D2">
        <f>estuary_data!V2*weights!$C$3</f>
        <v>3.0204006690604548E-2</v>
      </c>
      <c r="E2">
        <f>estuary_data!S2*weights!$C$6</f>
        <v>3.2749069341143584E-2</v>
      </c>
      <c r="F2">
        <f>estuary_data!W2*weights!$C$4</f>
        <v>7.8468728853464106E-2</v>
      </c>
      <c r="G2">
        <f>estuary_data!T2*weights!$C$7</f>
        <v>3.4495986272762132E-2</v>
      </c>
      <c r="H2">
        <f>SUM(B2:G2)</f>
        <v>0.2776094616660878</v>
      </c>
      <c r="I2" t="str">
        <f>IF(H2&gt;$L$5/10*9,"1",IF(H2&gt;$L$5/10*8,"2",IF(H2&gt;$L$5/10*7,"3",IF(H2&gt;$L$5/10*6,"4",IF(H2&gt;$L$5/10*5,"5",IF(H2&gt;$L$5/10*4,"6",IF(H2&gt;$L$5/10*3,"7",IF(H2&gt;$L$5/10*2,"8",IF(H2&gt;$L$5/10,"9","10")))))))))</f>
        <v>6</v>
      </c>
    </row>
    <row r="3" spans="1:13" x14ac:dyDescent="0.55000000000000004">
      <c r="A3">
        <v>2</v>
      </c>
      <c r="B3">
        <f>estuary_data!U3*weights!$C$2</f>
        <v>3.9340044022173337E-2</v>
      </c>
      <c r="C3">
        <f>estuary_data!R3*weights!$C$5</f>
        <v>7.8058817991155022E-2</v>
      </c>
      <c r="D3">
        <f>estuary_data!V3*weights!$C$3</f>
        <v>3.4313387800755352E-2</v>
      </c>
      <c r="E3">
        <f>estuary_data!S3*weights!$C$6</f>
        <v>2.4866237042480761E-2</v>
      </c>
      <c r="F3">
        <f>estuary_data!W3*weights!$C$4</f>
        <v>9.1613636976916685E-2</v>
      </c>
      <c r="G3">
        <f>estuary_data!T3*weights!$C$7</f>
        <v>1.0771003636353197E-2</v>
      </c>
      <c r="H3">
        <f>SUM(B3:G3)</f>
        <v>0.27896312746983432</v>
      </c>
      <c r="I3" t="str">
        <f>IF(H3&gt;$L$5/10*9,"1",IF(H3&gt;$L$5/10*8,"2",IF(H3&gt;$L$5/10*7,"3",IF(H3&gt;$L$5/10*6,"4",IF(H3&gt;$L$5/10*5,"5",IF(H3&gt;$L$5/10*4,"6",IF(H3&gt;$L$5/10*3,"7",IF(H3&gt;$L$5/10*2,"8",IF(H3&gt;$L$5/10,"9","10")))))))))</f>
        <v>6</v>
      </c>
    </row>
    <row r="4" spans="1:13" x14ac:dyDescent="0.55000000000000004">
      <c r="A4">
        <v>3</v>
      </c>
      <c r="B4">
        <f>estuary_data!U4*weights!$C$2</f>
        <v>7.7215604461032844E-2</v>
      </c>
      <c r="C4">
        <f>estuary_data!R4*weights!$C$5</f>
        <v>8.2702109070025898E-2</v>
      </c>
      <c r="D4">
        <f>estuary_data!V4*weights!$C$3</f>
        <v>4.1534144192590411E-2</v>
      </c>
      <c r="E4">
        <f>estuary_data!S4*weights!$C$6</f>
        <v>1.189339752037347E-2</v>
      </c>
      <c r="F4">
        <f>estuary_data!W4*weights!$C$4</f>
        <v>0.17653977331185369</v>
      </c>
      <c r="G4">
        <f>estuary_data!T4*weights!$C$7</f>
        <v>6.1502534504216465E-2</v>
      </c>
      <c r="H4">
        <f>SUM(B4:G4)</f>
        <v>0.45138756306009276</v>
      </c>
      <c r="I4" t="str">
        <f>IF(H4&gt;$L$5/10*9,"1",IF(H4&gt;$L$5/10*8,"2",IF(H4&gt;$L$5/10*7,"3",IF(H4&gt;$L$5/10*6,"4",IF(H4&gt;$L$5/10*5,"5",IF(H4&gt;$L$5/10*4,"6",IF(H4&gt;$L$5/10*3,"7",IF(H4&gt;$L$5/10*2,"8",IF(H4&gt;$L$5/10,"9","10")))))))))</f>
        <v>4</v>
      </c>
    </row>
    <row r="5" spans="1:13" x14ac:dyDescent="0.55000000000000004">
      <c r="A5">
        <v>4</v>
      </c>
      <c r="B5">
        <f>estuary_data!U5*weights!$C$2</f>
        <v>7.7453701239251438E-2</v>
      </c>
      <c r="C5">
        <f>estuary_data!R5*weights!$C$5</f>
        <v>8.207114780945346E-2</v>
      </c>
      <c r="D5">
        <f>estuary_data!V5*weights!$C$3</f>
        <v>3.7653205002835761E-2</v>
      </c>
      <c r="E5">
        <f>estuary_data!S5*weights!$C$6</f>
        <v>1.7436313893857743E-2</v>
      </c>
      <c r="F5">
        <f>estuary_data!W5*weights!$C$4</f>
        <v>0.16169561620948619</v>
      </c>
      <c r="G5">
        <f>estuary_data!T5*weights!$C$7</f>
        <v>7.1383700007146805E-2</v>
      </c>
      <c r="H5">
        <f>SUM(B5:G5)</f>
        <v>0.44769368416203137</v>
      </c>
      <c r="I5" t="str">
        <f>IF(H5&gt;$L$5/10*9,"1",IF(H5&gt;$L$5/10*8,"2",IF(H5&gt;$L$5/10*7,"3",IF(H5&gt;$L$5/10*6,"4",IF(H5&gt;$L$5/10*5,"5",IF(H5&gt;$L$5/10*4,"6",IF(H5&gt;$L$5/10*3,"7",IF(H5&gt;$L$5/10*2,"8",IF(H5&gt;$L$5/10,"9","10")))))))))</f>
        <v>4</v>
      </c>
      <c r="K5" t="s">
        <v>40</v>
      </c>
      <c r="L5">
        <v>0.66432000000000002</v>
      </c>
      <c r="M5" t="s">
        <v>57</v>
      </c>
    </row>
    <row r="6" spans="1:13" x14ac:dyDescent="0.55000000000000004">
      <c r="A6">
        <v>5</v>
      </c>
      <c r="B6">
        <f>estuary_data!U6*weights!$C$2</f>
        <v>3.7216135703454258E-2</v>
      </c>
      <c r="C6">
        <f>estuary_data!R6*weights!$C$5</f>
        <v>7.5366007540517893E-2</v>
      </c>
      <c r="D6">
        <f>estuary_data!V6*weights!$C$3</f>
        <v>3.1882773628776062E-2</v>
      </c>
      <c r="E6">
        <f>estuary_data!S6*weights!$C$6</f>
        <v>2.7566482198101119E-2</v>
      </c>
      <c r="F6">
        <f>estuary_data!W6*weights!$C$4</f>
        <v>8.1691308529635409E-2</v>
      </c>
      <c r="G6">
        <f>estuary_data!T6*weights!$C$7</f>
        <v>1.8346074037808732E-2</v>
      </c>
      <c r="H6">
        <f>SUM(B6:G6)</f>
        <v>0.27206878163829351</v>
      </c>
      <c r="I6" t="str">
        <f>IF(H6&gt;$L$5/10*9,"1",IF(H6&gt;$L$5/10*8,"2",IF(H6&gt;$L$5/10*7,"3",IF(H6&gt;$L$5/10*6,"4",IF(H6&gt;$L$5/10*5,"5",IF(H6&gt;$L$5/10*4,"6",IF(H6&gt;$L$5/10*3,"7",IF(H6&gt;$L$5/10*2,"8",IF(H6&gt;$L$5/10,"9","10")))))))))</f>
        <v>6</v>
      </c>
    </row>
    <row r="7" spans="1:13" x14ac:dyDescent="0.55000000000000004">
      <c r="A7">
        <v>6</v>
      </c>
      <c r="B7">
        <f>estuary_data!U7*weights!$C$2</f>
        <v>3.6426689314550238E-2</v>
      </c>
      <c r="C7">
        <f>estuary_data!R7*weights!$C$5</f>
        <v>7.0952558947862857E-2</v>
      </c>
      <c r="D7">
        <f>estuary_data!V7*weights!$C$3</f>
        <v>2.8388438286630485E-2</v>
      </c>
      <c r="E7">
        <f>estuary_data!S7*weights!$C$6</f>
        <v>3.2611192267572309E-2</v>
      </c>
      <c r="F7">
        <f>estuary_data!W7*weights!$C$4</f>
        <v>7.7753165138212996E-2</v>
      </c>
      <c r="G7">
        <f>estuary_data!T7*weights!$C$7</f>
        <v>3.1388099715854413E-2</v>
      </c>
      <c r="H7">
        <f>SUM(B7:G7)</f>
        <v>0.27752014367068334</v>
      </c>
      <c r="I7" t="str">
        <f>IF(H7&gt;$L$5/10*9,"1",IF(H7&gt;$L$5/10*8,"2",IF(H7&gt;$L$5/10*7,"3",IF(H7&gt;$L$5/10*6,"4",IF(H7&gt;$L$5/10*5,"5",IF(H7&gt;$L$5/10*4,"6",IF(H7&gt;$L$5/10*3,"7",IF(H7&gt;$L$5/10*2,"8",IF(H7&gt;$L$5/10,"9","10")))))))))</f>
        <v>6</v>
      </c>
    </row>
    <row r="8" spans="1:13" x14ac:dyDescent="0.55000000000000004">
      <c r="A8">
        <v>7</v>
      </c>
      <c r="B8">
        <f>estuary_data!U8*weights!$C$2</f>
        <v>4.8897568282678952E-2</v>
      </c>
      <c r="C8">
        <f>estuary_data!R8*weights!$C$5</f>
        <v>0.10234954901839829</v>
      </c>
      <c r="D8">
        <f>estuary_data!V8*weights!$C$3</f>
        <v>1.8926972143870853E-2</v>
      </c>
      <c r="E8">
        <f>estuary_data!S8*weights!$C$6</f>
        <v>6.5238878425026361E-3</v>
      </c>
      <c r="F8">
        <f>estuary_data!W8*weights!$C$4</f>
        <v>5.9582979225061165E-2</v>
      </c>
      <c r="G8">
        <f>estuary_data!T8*weights!$C$7</f>
        <v>0.10469248367810044</v>
      </c>
      <c r="H8">
        <f>SUM(B8:G8)</f>
        <v>0.34097344019061238</v>
      </c>
      <c r="I8" t="str">
        <f>IF(H8&gt;$L$5/10*9,"1",IF(H8&gt;$L$5/10*8,"2",IF(H8&gt;$L$5/10*7,"3",IF(H8&gt;$L$5/10*6,"4",IF(H8&gt;$L$5/10*5,"5",IF(H8&gt;$L$5/10*4,"6",IF(H8&gt;$L$5/10*3,"7",IF(H8&gt;$L$5/10*2,"8",IF(H8&gt;$L$5/10,"9","10")))))))))</f>
        <v>5</v>
      </c>
    </row>
    <row r="9" spans="1:13" x14ac:dyDescent="0.55000000000000004">
      <c r="A9">
        <v>8</v>
      </c>
      <c r="B9">
        <f>estuary_data!U9*weights!$C$2</f>
        <v>4.8556975305390326E-2</v>
      </c>
      <c r="C9">
        <f>estuary_data!R9*weights!$C$5</f>
        <v>0.10246591749847919</v>
      </c>
      <c r="D9">
        <f>estuary_data!V9*weights!$C$3</f>
        <v>1.9546556732385551E-2</v>
      </c>
      <c r="E9">
        <f>estuary_data!S9*weights!$C$6</f>
        <v>6.0577401939305832E-3</v>
      </c>
      <c r="F9">
        <f>estuary_data!W9*weights!$C$4</f>
        <v>5.4743844764595616E-2</v>
      </c>
      <c r="G9">
        <f>estuary_data!T9*weights!$C$7</f>
        <v>4.1079166447006689E-2</v>
      </c>
      <c r="H9">
        <f>SUM(B9:G9)</f>
        <v>0.27245020094178796</v>
      </c>
      <c r="I9" t="str">
        <f>IF(H9&gt;$L$5/10*9,"1",IF(H9&gt;$L$5/10*8,"2",IF(H9&gt;$L$5/10*7,"3",IF(H9&gt;$L$5/10*6,"4",IF(H9&gt;$L$5/10*5,"5",IF(H9&gt;$L$5/10*4,"6",IF(H9&gt;$L$5/10*3,"7",IF(H9&gt;$L$5/10*2,"8",IF(H9&gt;$L$5/10,"9","10")))))))))</f>
        <v>6</v>
      </c>
      <c r="K9" t="s">
        <v>53</v>
      </c>
    </row>
    <row r="10" spans="1:13" x14ac:dyDescent="0.55000000000000004">
      <c r="A10">
        <v>9</v>
      </c>
      <c r="B10">
        <f>estuary_data!U10*weights!$C$2</f>
        <v>5.4477102692764172E-2</v>
      </c>
      <c r="C10">
        <f>estuary_data!R10*weights!$C$5</f>
        <v>8.9253421217200951E-2</v>
      </c>
      <c r="D10">
        <f>estuary_data!V10*weights!$C$3</f>
        <v>3.7149299913883729E-2</v>
      </c>
      <c r="E10">
        <f>estuary_data!S10*weights!$C$6</f>
        <v>1.2738095757416959E-2</v>
      </c>
      <c r="F10">
        <f>estuary_data!W10*weights!$C$4</f>
        <v>0.11794284111537801</v>
      </c>
      <c r="G10">
        <f>estuary_data!T10*weights!$C$7</f>
        <v>1.727301811873529E-2</v>
      </c>
      <c r="H10">
        <f>SUM(B10:G10)</f>
        <v>0.32883377881537912</v>
      </c>
      <c r="I10" t="str">
        <f>IF(H10&gt;$L$5/10*9,"1",IF(H10&gt;$L$5/10*8,"2",IF(H10&gt;$L$5/10*7,"3",IF(H10&gt;$L$5/10*6,"4",IF(H10&gt;$L$5/10*5,"5",IF(H10&gt;$L$5/10*4,"6",IF(H10&gt;$L$5/10*3,"7",IF(H10&gt;$L$5/10*2,"8",IF(H10&gt;$L$5/10,"9","10")))))))))</f>
        <v>6</v>
      </c>
      <c r="K10" t="s">
        <v>55</v>
      </c>
    </row>
    <row r="11" spans="1:13" x14ac:dyDescent="0.55000000000000004">
      <c r="A11">
        <v>10</v>
      </c>
      <c r="B11">
        <f>estuary_data!U11*weights!$C$2</f>
        <v>4.2062486173549192E-2</v>
      </c>
      <c r="C11">
        <f>estuary_data!R11*weights!$C$5</f>
        <v>8.1732905659908969E-2</v>
      </c>
      <c r="D11">
        <f>estuary_data!V11*weights!$C$3</f>
        <v>3.3436830725301694E-2</v>
      </c>
      <c r="E11">
        <f>estuary_data!S11*weights!$C$6</f>
        <v>1.944269420013341E-2</v>
      </c>
      <c r="F11">
        <f>estuary_data!W11*weights!$C$4</f>
        <v>9.6101587197306645E-2</v>
      </c>
      <c r="G11">
        <f>estuary_data!T11*weights!$C$7</f>
        <v>6.9297624486182037E-4</v>
      </c>
      <c r="H11">
        <f>SUM(B11:G11)</f>
        <v>0.27346948020106171</v>
      </c>
      <c r="I11" t="str">
        <f>IF(H11&gt;$L$5/10*9,"1",IF(H11&gt;$L$5/10*8,"2",IF(H11&gt;$L$5/10*7,"3",IF(H11&gt;$L$5/10*6,"4",IF(H11&gt;$L$5/10*5,"5",IF(H11&gt;$L$5/10*4,"6",IF(H11&gt;$L$5/10*3,"7",IF(H11&gt;$L$5/10*2,"8",IF(H11&gt;$L$5/10,"9","10")))))))))</f>
        <v>6</v>
      </c>
      <c r="K11" t="s">
        <v>56</v>
      </c>
    </row>
    <row r="12" spans="1:13" x14ac:dyDescent="0.55000000000000004">
      <c r="A12">
        <v>11</v>
      </c>
      <c r="B12">
        <f>estuary_data!U12*weights!$C$2</f>
        <v>3.6434853453758756E-2</v>
      </c>
      <c r="C12">
        <f>estuary_data!R12*weights!$C$5</f>
        <v>6.5497488779529767E-2</v>
      </c>
      <c r="D12">
        <f>estuary_data!V12*weights!$C$3</f>
        <v>3.0622034207444748E-2</v>
      </c>
      <c r="E12">
        <f>estuary_data!S12*weights!$C$6</f>
        <v>3.2239660492151989E-2</v>
      </c>
      <c r="F12">
        <f>estuary_data!W12*weights!$C$4</f>
        <v>7.9701267533597714E-2</v>
      </c>
      <c r="G12">
        <f>estuary_data!T12*weights!$C$7</f>
        <v>3.3393732400385699E-2</v>
      </c>
      <c r="H12">
        <f>SUM(B12:G12)</f>
        <v>0.27788903686686867</v>
      </c>
      <c r="I12" t="str">
        <f>IF(H12&gt;$L$5/10*9,"1",IF(H12&gt;$L$5/10*8,"2",IF(H12&gt;$L$5/10*7,"3",IF(H12&gt;$L$5/10*6,"4",IF(H12&gt;$L$5/10*5,"5",IF(H12&gt;$L$5/10*4,"6",IF(H12&gt;$L$5/10*3,"7",IF(H12&gt;$L$5/10*2,"8",IF(H12&gt;$L$5/10,"9","10")))))))))</f>
        <v>6</v>
      </c>
    </row>
    <row r="13" spans="1:13" x14ac:dyDescent="0.55000000000000004">
      <c r="A13">
        <v>12</v>
      </c>
      <c r="B13">
        <f>estuary_data!U13*weights!$C$2</f>
        <v>6.8460806828842521E-2</v>
      </c>
      <c r="C13">
        <f>estuary_data!R13*weights!$C$5</f>
        <v>5.8447276008281236E-2</v>
      </c>
      <c r="D13">
        <f>estuary_data!V13*weights!$C$3</f>
        <v>5.8122310671563773E-2</v>
      </c>
      <c r="E13">
        <f>estuary_data!S13*weights!$C$6</f>
        <v>3.1506382043696067E-2</v>
      </c>
      <c r="F13">
        <f>estuary_data!W13*weights!$C$4</f>
        <v>0.21317066137877214</v>
      </c>
      <c r="G13">
        <f>estuary_data!T13*weights!$C$7</f>
        <v>3.7701744402670503E-2</v>
      </c>
      <c r="H13">
        <f>SUM(B13:G13)</f>
        <v>0.46740918133382625</v>
      </c>
      <c r="I13" t="str">
        <f>IF(H13&gt;$L$5/10*9,"1",IF(H13&gt;$L$5/10*8,"2",IF(H13&gt;$L$5/10*7,"3",IF(H13&gt;$L$5/10*6,"4",IF(H13&gt;$L$5/10*5,"5",IF(H13&gt;$L$5/10*4,"6",IF(H13&gt;$L$5/10*3,"7",IF(H13&gt;$L$5/10*2,"8",IF(H13&gt;$L$5/10,"9","10")))))))))</f>
        <v>3</v>
      </c>
    </row>
    <row r="14" spans="1:13" x14ac:dyDescent="0.55000000000000004">
      <c r="A14">
        <v>13</v>
      </c>
      <c r="B14">
        <f>estuary_data!U14*weights!$C$2</f>
        <v>5.2729949240247403E-2</v>
      </c>
      <c r="C14">
        <f>estuary_data!R14*weights!$C$5</f>
        <v>7.6287045813407062E-2</v>
      </c>
      <c r="D14">
        <f>estuary_data!V14*weights!$C$3</f>
        <v>3.6882433006867513E-2</v>
      </c>
      <c r="E14">
        <f>estuary_data!S14*weights!$C$6</f>
        <v>9.6483158140432315E-3</v>
      </c>
      <c r="F14">
        <f>estuary_data!W14*weights!$C$4</f>
        <v>0.12933216046094603</v>
      </c>
      <c r="G14">
        <f>estuary_data!T14*weights!$C$7</f>
        <v>1.2458399137885261E-2</v>
      </c>
      <c r="H14">
        <f>SUM(B14:G14)</f>
        <v>0.31733830347339653</v>
      </c>
      <c r="I14" t="str">
        <f>IF(H14&gt;$L$5/10*9,"1",IF(H14&gt;$L$5/10*8,"2",IF(H14&gt;$L$5/10*7,"3",IF(H14&gt;$L$5/10*6,"4",IF(H14&gt;$L$5/10*5,"5",IF(H14&gt;$L$5/10*4,"6",IF(H14&gt;$L$5/10*3,"7",IF(H14&gt;$L$5/10*2,"8",IF(H14&gt;$L$5/10,"9","10")))))))))</f>
        <v>6</v>
      </c>
    </row>
    <row r="15" spans="1:13" x14ac:dyDescent="0.55000000000000004">
      <c r="A15">
        <v>14</v>
      </c>
      <c r="B15">
        <f>estuary_data!U15*weights!$C$2</f>
        <v>5.5665165646915447E-2</v>
      </c>
      <c r="C15">
        <f>estuary_data!R15*weights!$C$5</f>
        <v>6.1984391235357192E-2</v>
      </c>
      <c r="D15">
        <f>estuary_data!V15*weights!$C$3</f>
        <v>3.7786046488123365E-2</v>
      </c>
      <c r="E15">
        <f>estuary_data!S15*weights!$C$6</f>
        <v>1.6671039890491148E-2</v>
      </c>
      <c r="F15">
        <f>estuary_data!W15*weights!$C$4</f>
        <v>0.1357280482407536</v>
      </c>
      <c r="G15">
        <f>estuary_data!T15*weights!$C$7</f>
        <v>6.9957449842965053E-3</v>
      </c>
      <c r="H15">
        <f>SUM(B15:G15)</f>
        <v>0.31483043648593728</v>
      </c>
      <c r="I15" t="str">
        <f>IF(H15&gt;$L$5/10*9,"1",IF(H15&gt;$L$5/10*8,"2",IF(H15&gt;$L$5/10*7,"3",IF(H15&gt;$L$5/10*6,"4",IF(H15&gt;$L$5/10*5,"5",IF(H15&gt;$L$5/10*4,"6",IF(H15&gt;$L$5/10*3,"7",IF(H15&gt;$L$5/10*2,"8",IF(H15&gt;$L$5/10,"9","10")))))))))</f>
        <v>6</v>
      </c>
    </row>
    <row r="16" spans="1:13" x14ac:dyDescent="0.55000000000000004">
      <c r="A16">
        <v>15</v>
      </c>
      <c r="B16">
        <f>estuary_data!U16*weights!$C$2</f>
        <v>5.0114484809898399E-2</v>
      </c>
      <c r="C16">
        <f>estuary_data!R16*weights!$C$5</f>
        <v>9.0211615613229879E-2</v>
      </c>
      <c r="D16">
        <f>estuary_data!V16*weights!$C$3</f>
        <v>3.6120396959748099E-2</v>
      </c>
      <c r="E16">
        <f>estuary_data!S16*weights!$C$6</f>
        <v>1.0817254858906885E-2</v>
      </c>
      <c r="F16">
        <f>estuary_data!W16*weights!$C$4</f>
        <v>0.12385928308819585</v>
      </c>
      <c r="G16">
        <f>estuary_data!T16*weights!$C$7</f>
        <v>1.6403024452087068E-2</v>
      </c>
      <c r="H16">
        <f>SUM(B16:G16)</f>
        <v>0.32752605978206617</v>
      </c>
      <c r="I16" t="str">
        <f>IF(H16&gt;$L$5/10*9,"1",IF(H16&gt;$L$5/10*8,"2",IF(H16&gt;$L$5/10*7,"3",IF(H16&gt;$L$5/10*6,"4",IF(H16&gt;$L$5/10*5,"5",IF(H16&gt;$L$5/10*4,"6",IF(H16&gt;$L$5/10*3,"7",IF(H16&gt;$L$5/10*2,"8",IF(H16&gt;$L$5/10,"9","10")))))))))</f>
        <v>6</v>
      </c>
    </row>
    <row r="17" spans="1:9" x14ac:dyDescent="0.55000000000000004">
      <c r="A17">
        <v>16</v>
      </c>
      <c r="B17">
        <f>estuary_data!U17*weights!$C$2</f>
        <v>3.6804792833969105E-2</v>
      </c>
      <c r="C17">
        <f>estuary_data!R17*weights!$C$5</f>
        <v>7.1136251202954096E-2</v>
      </c>
      <c r="D17">
        <f>estuary_data!V17*weights!$C$3</f>
        <v>2.9870783090264842E-2</v>
      </c>
      <c r="E17">
        <f>estuary_data!S17*weights!$C$6</f>
        <v>3.0850135198796209E-2</v>
      </c>
      <c r="F17">
        <f>estuary_data!W17*weights!$C$4</f>
        <v>7.8572451677627789E-2</v>
      </c>
      <c r="G17">
        <f>estuary_data!T17*weights!$C$7</f>
        <v>2.7798782613073763E-2</v>
      </c>
      <c r="H17">
        <f>SUM(B17:G17)</f>
        <v>0.27503319661668579</v>
      </c>
      <c r="I17" t="str">
        <f>IF(H17&gt;$L$5/10*9,"1",IF(H17&gt;$L$5/10*8,"2",IF(H17&gt;$L$5/10*7,"3",IF(H17&gt;$L$5/10*6,"4",IF(H17&gt;$L$5/10*5,"5",IF(H17&gt;$L$5/10*4,"6",IF(H17&gt;$L$5/10*3,"7",IF(H17&gt;$L$5/10*2,"8",IF(H17&gt;$L$5/10,"9","10")))))))))</f>
        <v>6</v>
      </c>
    </row>
    <row r="18" spans="1:9" x14ac:dyDescent="0.55000000000000004">
      <c r="A18">
        <v>17</v>
      </c>
      <c r="B18">
        <f>estuary_data!U18*weights!$C$2</f>
        <v>6.8794872950568089E-2</v>
      </c>
      <c r="C18">
        <f>estuary_data!R18*weights!$C$5</f>
        <v>3.8581242487067159E-2</v>
      </c>
      <c r="D18">
        <f>estuary_data!V18*weights!$C$3</f>
        <v>5.8185488322534222E-2</v>
      </c>
      <c r="E18">
        <f>estuary_data!S18*weights!$C$6</f>
        <v>2.5557670735203725E-2</v>
      </c>
      <c r="F18">
        <f>estuary_data!W18*weights!$C$4</f>
        <v>0.21680585160534269</v>
      </c>
      <c r="G18">
        <f>estuary_data!T18*weights!$C$7</f>
        <v>3.2441136620475958E-2</v>
      </c>
      <c r="H18">
        <f>SUM(B18:G18)</f>
        <v>0.44036626272119184</v>
      </c>
      <c r="I18" t="str">
        <f>IF(H18&gt;$L$5/10*9,"1",IF(H18&gt;$L$5/10*8,"2",IF(H18&gt;$L$5/10*7,"3",IF(H18&gt;$L$5/10*6,"4",IF(H18&gt;$L$5/10*5,"5",IF(H18&gt;$L$5/10*4,"6",IF(H18&gt;$L$5/10*3,"7",IF(H18&gt;$L$5/10*2,"8",IF(H18&gt;$L$5/10,"9","10")))))))))</f>
        <v>4</v>
      </c>
    </row>
    <row r="19" spans="1:9" x14ac:dyDescent="0.55000000000000004">
      <c r="A19">
        <v>18</v>
      </c>
      <c r="B19">
        <f>estuary_data!U19*weights!$C$2</f>
        <v>4.94785595555957E-2</v>
      </c>
      <c r="C19">
        <f>estuary_data!R19*weights!$C$5</f>
        <v>9.096655385015269E-2</v>
      </c>
      <c r="D19">
        <f>estuary_data!V19*weights!$C$3</f>
        <v>3.6443649860072751E-2</v>
      </c>
      <c r="E19">
        <f>estuary_data!S19*weights!$C$6</f>
        <v>1.1077254291854775E-2</v>
      </c>
      <c r="F19">
        <f>estuary_data!W19*weights!$C$4</f>
        <v>0.11421250784447856</v>
      </c>
      <c r="G19">
        <f>estuary_data!T19*weights!$C$7</f>
        <v>5.1857289311392885E-2</v>
      </c>
      <c r="H19">
        <f>SUM(B19:G19)</f>
        <v>0.35403581471354739</v>
      </c>
      <c r="I19" t="str">
        <f>IF(H19&gt;$L$5/10*9,"1",IF(H19&gt;$L$5/10*8,"2",IF(H19&gt;$L$5/10*7,"3",IF(H19&gt;$L$5/10*6,"4",IF(H19&gt;$L$5/10*5,"5",IF(H19&gt;$L$5/10*4,"6",IF(H19&gt;$L$5/10*3,"7",IF(H19&gt;$L$5/10*2,"8",IF(H19&gt;$L$5/10,"9","10")))))))))</f>
        <v>5</v>
      </c>
    </row>
    <row r="20" spans="1:9" x14ac:dyDescent="0.55000000000000004">
      <c r="A20">
        <v>19</v>
      </c>
      <c r="B20">
        <f>estuary_data!U20*weights!$C$2</f>
        <v>5.0575582361916706E-2</v>
      </c>
      <c r="C20">
        <f>estuary_data!R20*weights!$C$5</f>
        <v>8.8405177705675048E-2</v>
      </c>
      <c r="D20">
        <f>estuary_data!V20*weights!$C$3</f>
        <v>3.1314086949955161E-2</v>
      </c>
      <c r="E20">
        <f>estuary_data!S20*weights!$C$6</f>
        <v>1.1207193306876277E-2</v>
      </c>
      <c r="F20">
        <f>estuary_data!W20*weights!$C$4</f>
        <v>9.7434636725161589E-2</v>
      </c>
      <c r="G20">
        <f>estuary_data!T20*weights!$C$7</f>
        <v>4.6587399924023776E-2</v>
      </c>
      <c r="H20">
        <f>SUM(B20:G20)</f>
        <v>0.32552407697360858</v>
      </c>
      <c r="I20" t="str">
        <f>IF(H20&gt;$L$5/10*9,"1",IF(H20&gt;$L$5/10*8,"2",IF(H20&gt;$L$5/10*7,"3",IF(H20&gt;$L$5/10*6,"4",IF(H20&gt;$L$5/10*5,"5",IF(H20&gt;$L$5/10*4,"6",IF(H20&gt;$L$5/10*3,"7",IF(H20&gt;$L$5/10*2,"8",IF(H20&gt;$L$5/10,"9","10")))))))))</f>
        <v>6</v>
      </c>
    </row>
    <row r="21" spans="1:9" x14ac:dyDescent="0.55000000000000004">
      <c r="A21">
        <v>20</v>
      </c>
      <c r="B21">
        <f>estuary_data!U21*weights!$C$2</f>
        <v>5.3943391187412197E-2</v>
      </c>
      <c r="C21">
        <f>estuary_data!R21*weights!$C$5</f>
        <v>8.9508731560395252E-2</v>
      </c>
      <c r="D21">
        <f>estuary_data!V21*weights!$C$3</f>
        <v>3.9597055521762271E-2</v>
      </c>
      <c r="E21">
        <f>estuary_data!S21*weights!$C$6</f>
        <v>1.4579366372409367E-2</v>
      </c>
      <c r="F21">
        <f>estuary_data!W21*weights!$C$4</f>
        <v>0.12564127023690483</v>
      </c>
      <c r="G21">
        <f>estuary_data!T21*weights!$C$7</f>
        <v>4.8339252974199429E-2</v>
      </c>
      <c r="H21">
        <f>SUM(B21:G21)</f>
        <v>0.37160906785308334</v>
      </c>
      <c r="I21" t="str">
        <f>IF(H21&gt;$L$5/10*9,"1",IF(H21&gt;$L$5/10*8,"2",IF(H21&gt;$L$5/10*7,"3",IF(H21&gt;$L$5/10*6,"4",IF(H21&gt;$L$5/10*5,"5",IF(H21&gt;$L$5/10*4,"6",IF(H21&gt;$L$5/10*3,"7",IF(H21&gt;$L$5/10*2,"8",IF(H21&gt;$L$5/10,"9","10")))))))))</f>
        <v>5</v>
      </c>
    </row>
    <row r="22" spans="1:9" x14ac:dyDescent="0.55000000000000004">
      <c r="A22">
        <v>21</v>
      </c>
      <c r="B22">
        <f>estuary_data!U22*weights!$C$2</f>
        <v>5.4942167505166756E-2</v>
      </c>
      <c r="C22">
        <f>estuary_data!R22*weights!$C$5</f>
        <v>8.8998849083694195E-2</v>
      </c>
      <c r="D22">
        <f>estuary_data!V22*weights!$C$3</f>
        <v>4.0540422028652497E-2</v>
      </c>
      <c r="E22">
        <f>estuary_data!S22*weights!$C$6</f>
        <v>1.7306536143341218E-2</v>
      </c>
      <c r="F22">
        <f>estuary_data!W22*weights!$C$4</f>
        <v>0.1331748474662994</v>
      </c>
      <c r="G22">
        <f>estuary_data!T22*weights!$C$7</f>
        <v>4.3243630295224905E-2</v>
      </c>
      <c r="H22">
        <f>SUM(B22:G22)</f>
        <v>0.37820645252237894</v>
      </c>
      <c r="I22" t="str">
        <f>IF(H22&gt;$L$5/10*9,"1",IF(H22&gt;$L$5/10*8,"2",IF(H22&gt;$L$5/10*7,"3",IF(H22&gt;$L$5/10*6,"4",IF(H22&gt;$L$5/10*5,"5",IF(H22&gt;$L$5/10*4,"6",IF(H22&gt;$L$5/10*3,"7",IF(H22&gt;$L$5/10*2,"8",IF(H22&gt;$L$5/10,"9","10")))))))))</f>
        <v>5</v>
      </c>
    </row>
    <row r="23" spans="1:9" x14ac:dyDescent="0.55000000000000004">
      <c r="A23">
        <v>22</v>
      </c>
      <c r="B23">
        <f>estuary_data!U23*weights!$C$2</f>
        <v>4.3066200309509313E-2</v>
      </c>
      <c r="C23">
        <f>estuary_data!R23*weights!$C$5</f>
        <v>7.9644913025433708E-2</v>
      </c>
      <c r="D23">
        <f>estuary_data!V23*weights!$C$3</f>
        <v>3.254809328000418E-2</v>
      </c>
      <c r="E23">
        <f>estuary_data!S23*weights!$C$6</f>
        <v>1.3760544096234577E-2</v>
      </c>
      <c r="F23">
        <f>estuary_data!W23*weights!$C$4</f>
        <v>9.0213553037111899E-2</v>
      </c>
      <c r="G23">
        <f>estuary_data!T23*weights!$C$7</f>
        <v>1.2193588000764612E-2</v>
      </c>
      <c r="H23">
        <f>SUM(B23:G23)</f>
        <v>0.27142689174905826</v>
      </c>
      <c r="I23" t="str">
        <f>IF(H23&gt;$L$5/10*9,"1",IF(H23&gt;$L$5/10*8,"2",IF(H23&gt;$L$5/10*7,"3",IF(H23&gt;$L$5/10*6,"4",IF(H23&gt;$L$5/10*5,"5",IF(H23&gt;$L$5/10*4,"6",IF(H23&gt;$L$5/10*3,"7",IF(H23&gt;$L$5/10*2,"8",IF(H23&gt;$L$5/10,"9","10")))))))))</f>
        <v>6</v>
      </c>
    </row>
    <row r="24" spans="1:9" x14ac:dyDescent="0.55000000000000004">
      <c r="A24">
        <v>23</v>
      </c>
      <c r="B24">
        <f>estuary_data!U24*weights!$C$2</f>
        <v>5.2592734055202421E-2</v>
      </c>
      <c r="C24">
        <f>estuary_data!R24*weights!$C$5</f>
        <v>9.2207509071277394E-2</v>
      </c>
      <c r="D24">
        <f>estuary_data!V24*weights!$C$3</f>
        <v>3.9533073419389511E-2</v>
      </c>
      <c r="E24">
        <f>estuary_data!S24*weights!$C$6</f>
        <v>6.3798718683505838E-3</v>
      </c>
      <c r="F24">
        <f>estuary_data!W24*weights!$C$4</f>
        <v>0.12029644021980282</v>
      </c>
      <c r="G24">
        <f>estuary_data!T24*weights!$C$7</f>
        <v>3.6699409286548232E-2</v>
      </c>
      <c r="H24">
        <f>SUM(B24:G24)</f>
        <v>0.34770903792057095</v>
      </c>
      <c r="I24" t="str">
        <f>IF(H24&gt;$L$5/10*9,"1",IF(H24&gt;$L$5/10*8,"2",IF(H24&gt;$L$5/10*7,"3",IF(H24&gt;$L$5/10*6,"4",IF(H24&gt;$L$5/10*5,"5",IF(H24&gt;$L$5/10*4,"6",IF(H24&gt;$L$5/10*3,"7",IF(H24&gt;$L$5/10*2,"8",IF(H24&gt;$L$5/10,"9","10")))))))))</f>
        <v>5</v>
      </c>
    </row>
    <row r="25" spans="1:9" x14ac:dyDescent="0.55000000000000004">
      <c r="A25">
        <v>24</v>
      </c>
      <c r="B25">
        <f>estuary_data!U25*weights!$C$2</f>
        <v>4.9025355853921204E-2</v>
      </c>
      <c r="C25">
        <f>estuary_data!R25*weights!$C$5</f>
        <v>7.8851972294868733E-2</v>
      </c>
      <c r="D25">
        <f>estuary_data!V25*weights!$C$3</f>
        <v>2.7638507180372803E-2</v>
      </c>
      <c r="E25">
        <f>estuary_data!S25*weights!$C$6</f>
        <v>2.97856462866413E-2</v>
      </c>
      <c r="F25">
        <f>estuary_data!W25*weights!$C$4</f>
        <v>9.5346135466074844E-2</v>
      </c>
      <c r="G25">
        <f>estuary_data!T25*weights!$C$7</f>
        <v>1.7352055387635637E-2</v>
      </c>
      <c r="H25">
        <f>SUM(B25:G25)</f>
        <v>0.29799967246951453</v>
      </c>
      <c r="I25" t="str">
        <f>IF(H25&gt;$L$5/10*9,"1",IF(H25&gt;$L$5/10*8,"2",IF(H25&gt;$L$5/10*7,"3",IF(H25&gt;$L$5/10*6,"4",IF(H25&gt;$L$5/10*5,"5",IF(H25&gt;$L$5/10*4,"6",IF(H25&gt;$L$5/10*3,"7",IF(H25&gt;$L$5/10*2,"8",IF(H25&gt;$L$5/10,"9","10")))))))))</f>
        <v>6</v>
      </c>
    </row>
    <row r="26" spans="1:9" x14ac:dyDescent="0.55000000000000004">
      <c r="A26">
        <v>25</v>
      </c>
      <c r="B26">
        <f>estuary_data!U26*weights!$C$2</f>
        <v>0.11336012221876622</v>
      </c>
      <c r="C26">
        <f>estuary_data!R26*weights!$C$5</f>
        <v>0.11506565290711715</v>
      </c>
      <c r="D26">
        <f>estuary_data!V26*weights!$C$3</f>
        <v>1.2893507804876719E-2</v>
      </c>
      <c r="E26">
        <f>estuary_data!S26*weights!$C$6</f>
        <v>1.8529460143293146E-2</v>
      </c>
      <c r="F26">
        <f>estuary_data!W26*weights!$C$4</f>
        <v>3.016401016674429E-2</v>
      </c>
      <c r="G26">
        <f>estuary_data!T26*weights!$C$7</f>
        <v>9.5922766465002224E-2</v>
      </c>
      <c r="H26">
        <f>SUM(B26:G26)</f>
        <v>0.38593551970579976</v>
      </c>
      <c r="I26" t="str">
        <f>IF(H26&gt;$L$5/10*9,"1",IF(H26&gt;$L$5/10*8,"2",IF(H26&gt;$L$5/10*7,"3",IF(H26&gt;$L$5/10*6,"4",IF(H26&gt;$L$5/10*5,"5",IF(H26&gt;$L$5/10*4,"6",IF(H26&gt;$L$5/10*3,"7",IF(H26&gt;$L$5/10*2,"8",IF(H26&gt;$L$5/10,"9","10")))))))))</f>
        <v>5</v>
      </c>
    </row>
    <row r="27" spans="1:9" x14ac:dyDescent="0.55000000000000004">
      <c r="A27">
        <v>26</v>
      </c>
      <c r="B27">
        <f>estuary_data!U27*weights!$C$2</f>
        <v>5.3574826427687405E-2</v>
      </c>
      <c r="C27">
        <f>estuary_data!R27*weights!$C$5</f>
        <v>7.3155865939080619E-2</v>
      </c>
      <c r="D27">
        <f>estuary_data!V27*weights!$C$3</f>
        <v>3.8484902503090168E-2</v>
      </c>
      <c r="E27">
        <f>estuary_data!S27*weights!$C$6</f>
        <v>1.4183198752007388E-2</v>
      </c>
      <c r="F27">
        <f>estuary_data!W27*weights!$C$4</f>
        <v>0.13932912700024164</v>
      </c>
      <c r="G27">
        <f>estuary_data!T27*weights!$C$7</f>
        <v>1.6084460461546136E-2</v>
      </c>
      <c r="H27">
        <f>SUM(B27:G27)</f>
        <v>0.33481238108365335</v>
      </c>
      <c r="I27" t="str">
        <f>IF(H27&gt;$L$5/10*9,"1",IF(H27&gt;$L$5/10*8,"2",IF(H27&gt;$L$5/10*7,"3",IF(H27&gt;$L$5/10*6,"4",IF(H27&gt;$L$5/10*5,"5",IF(H27&gt;$L$5/10*4,"6",IF(H27&gt;$L$5/10*3,"7",IF(H27&gt;$L$5/10*2,"8",IF(H27&gt;$L$5/10,"9","10")))))))))</f>
        <v>5</v>
      </c>
    </row>
    <row r="28" spans="1:9" x14ac:dyDescent="0.55000000000000004">
      <c r="A28">
        <v>27</v>
      </c>
      <c r="B28">
        <f>estuary_data!U28*weights!$C$2</f>
        <v>5.5050171606166633E-2</v>
      </c>
      <c r="C28">
        <f>estuary_data!R28*weights!$C$5</f>
        <v>8.7732501238524482E-2</v>
      </c>
      <c r="D28">
        <f>estuary_data!V28*weights!$C$3</f>
        <v>3.7392244013448206E-2</v>
      </c>
      <c r="E28">
        <f>estuary_data!S28*weights!$C$6</f>
        <v>1.6569204424488893E-2</v>
      </c>
      <c r="F28">
        <f>estuary_data!W28*weights!$C$4</f>
        <v>0.11909278905434817</v>
      </c>
      <c r="G28">
        <f>estuary_data!T28*weights!$C$7</f>
        <v>4.3903385183019429E-2</v>
      </c>
      <c r="H28">
        <f>SUM(B28:G28)</f>
        <v>0.35974029551999581</v>
      </c>
      <c r="I28" t="str">
        <f>IF(H28&gt;$L$5/10*9,"1",IF(H28&gt;$L$5/10*8,"2",IF(H28&gt;$L$5/10*7,"3",IF(H28&gt;$L$5/10*6,"4",IF(H28&gt;$L$5/10*5,"5",IF(H28&gt;$L$5/10*4,"6",IF(H28&gt;$L$5/10*3,"7",IF(H28&gt;$L$5/10*2,"8",IF(H28&gt;$L$5/10,"9","10")))))))))</f>
        <v>5</v>
      </c>
    </row>
    <row r="29" spans="1:9" x14ac:dyDescent="0.55000000000000004">
      <c r="A29">
        <v>28</v>
      </c>
      <c r="B29">
        <f>estuary_data!U29*weights!$C$2</f>
        <v>5.1044620266124795E-2</v>
      </c>
      <c r="C29">
        <f>estuary_data!R29*weights!$C$5</f>
        <v>9.0124625917053128E-2</v>
      </c>
      <c r="D29">
        <f>estuary_data!V29*weights!$C$3</f>
        <v>4.0696680872565325E-2</v>
      </c>
      <c r="E29">
        <f>estuary_data!S29*weights!$C$6</f>
        <v>1.4600001075104337E-2</v>
      </c>
      <c r="F29">
        <f>estuary_data!W29*weights!$C$4</f>
        <v>0.12459402862479665</v>
      </c>
      <c r="G29">
        <f>estuary_data!T29*weights!$C$7</f>
        <v>4.8625709355281918E-2</v>
      </c>
      <c r="H29">
        <f>SUM(B29:G29)</f>
        <v>0.36968566611092618</v>
      </c>
      <c r="I29" t="str">
        <f>IF(H29&gt;$L$5/10*9,"1",IF(H29&gt;$L$5/10*8,"2",IF(H29&gt;$L$5/10*7,"3",IF(H29&gt;$L$5/10*6,"4",IF(H29&gt;$L$5/10*5,"5",IF(H29&gt;$L$5/10*4,"6",IF(H29&gt;$L$5/10*3,"7",IF(H29&gt;$L$5/10*2,"8",IF(H29&gt;$L$5/10,"9","10")))))))))</f>
        <v>5</v>
      </c>
    </row>
    <row r="30" spans="1:9" x14ac:dyDescent="0.55000000000000004">
      <c r="A30">
        <v>29</v>
      </c>
      <c r="B30">
        <f>estuary_data!U30*weights!$C$2</f>
        <v>4.988549511668116E-2</v>
      </c>
      <c r="C30">
        <f>estuary_data!R30*weights!$C$5</f>
        <v>9.0331871792876522E-2</v>
      </c>
      <c r="D30">
        <f>estuary_data!V30*weights!$C$3</f>
        <v>4.2494997459039285E-2</v>
      </c>
      <c r="E30">
        <f>estuary_data!S30*weights!$C$6</f>
        <v>1.6909272834724532E-2</v>
      </c>
      <c r="F30">
        <f>estuary_data!W30*weights!$C$4</f>
        <v>0.13309035446350431</v>
      </c>
      <c r="G30">
        <f>estuary_data!T30*weights!$C$7</f>
        <v>1.9339889904482106E-2</v>
      </c>
      <c r="H30">
        <f>SUM(B30:G30)</f>
        <v>0.35205188157130796</v>
      </c>
      <c r="I30" t="str">
        <f>IF(H30&gt;$L$5/10*9,"1",IF(H30&gt;$L$5/10*8,"2",IF(H30&gt;$L$5/10*7,"3",IF(H30&gt;$L$5/10*6,"4",IF(H30&gt;$L$5/10*5,"5",IF(H30&gt;$L$5/10*4,"6",IF(H30&gt;$L$5/10*3,"7",IF(H30&gt;$L$5/10*2,"8",IF(H30&gt;$L$5/10,"9","10")))))))))</f>
        <v>5</v>
      </c>
    </row>
    <row r="31" spans="1:9" x14ac:dyDescent="0.55000000000000004">
      <c r="A31">
        <v>30</v>
      </c>
      <c r="B31">
        <f>estuary_data!U31*weights!$C$2</f>
        <v>5.0551316223370002E-2</v>
      </c>
      <c r="C31">
        <f>estuary_data!R31*weights!$C$5</f>
        <v>9.1714634195604203E-2</v>
      </c>
      <c r="D31">
        <f>estuary_data!V31*weights!$C$3</f>
        <v>3.1875583175360142E-2</v>
      </c>
      <c r="E31">
        <f>estuary_data!S31*weights!$C$6</f>
        <v>6.0396904212248539E-3</v>
      </c>
      <c r="F31">
        <f>estuary_data!W31*weights!$C$4</f>
        <v>8.7430531599155051E-2</v>
      </c>
      <c r="G31">
        <f>estuary_data!T31*weights!$C$7</f>
        <v>3.513305471633274E-2</v>
      </c>
      <c r="H31">
        <f>SUM(B31:G31)</f>
        <v>0.30274481033104705</v>
      </c>
      <c r="I31" t="str">
        <f>IF(H31&gt;$L$5/10*9,"1",IF(H31&gt;$L$5/10*8,"2",IF(H31&gt;$L$5/10*7,"3",IF(H31&gt;$L$5/10*6,"4",IF(H31&gt;$L$5/10*5,"5",IF(H31&gt;$L$5/10*4,"6",IF(H31&gt;$L$5/10*3,"7",IF(H31&gt;$L$5/10*2,"8",IF(H31&gt;$L$5/10,"9","10")))))))))</f>
        <v>6</v>
      </c>
    </row>
    <row r="32" spans="1:9" x14ac:dyDescent="0.55000000000000004">
      <c r="A32">
        <v>31</v>
      </c>
      <c r="B32">
        <f>estuary_data!U32*weights!$C$2</f>
        <v>8.1603527223037722E-2</v>
      </c>
      <c r="C32">
        <f>estuary_data!R32*weights!$C$5</f>
        <v>8.7770652796847384E-2</v>
      </c>
      <c r="D32">
        <f>estuary_data!V32*weights!$C$3</f>
        <v>4.2015120960994863E-2</v>
      </c>
      <c r="E32">
        <f>estuary_data!S32*weights!$C$6</f>
        <v>7.4666923534238427E-3</v>
      </c>
      <c r="F32">
        <f>estuary_data!W32*weights!$C$4</f>
        <v>0.17976786181010784</v>
      </c>
      <c r="G32">
        <f>estuary_data!T32*weights!$C$7</f>
        <v>5.7919831427563968E-2</v>
      </c>
      <c r="H32">
        <f>SUM(B32:G32)</f>
        <v>0.45654368657197564</v>
      </c>
      <c r="I32" t="str">
        <f>IF(H32&gt;$L$5/10*9,"1",IF(H32&gt;$L$5/10*8,"2",IF(H32&gt;$L$5/10*7,"3",IF(H32&gt;$L$5/10*6,"4",IF(H32&gt;$L$5/10*5,"5",IF(H32&gt;$L$5/10*4,"6",IF(H32&gt;$L$5/10*3,"7",IF(H32&gt;$L$5/10*2,"8",IF(H32&gt;$L$5/10,"9","10")))))))))</f>
        <v>4</v>
      </c>
    </row>
    <row r="33" spans="1:9" x14ac:dyDescent="0.55000000000000004">
      <c r="A33">
        <v>32</v>
      </c>
      <c r="B33">
        <f>estuary_data!U33*weights!$C$2</f>
        <v>7.7000793694028069E-2</v>
      </c>
      <c r="C33">
        <f>estuary_data!R33*weights!$C$5</f>
        <v>8.2714167033840574E-2</v>
      </c>
      <c r="D33">
        <f>estuary_data!V33*weights!$C$3</f>
        <v>4.1064794311012329E-2</v>
      </c>
      <c r="E33">
        <f>estuary_data!S33*weights!$C$6</f>
        <v>1.1849127832406835E-2</v>
      </c>
      <c r="F33">
        <f>estuary_data!W33*weights!$C$4</f>
        <v>0.1768858430157188</v>
      </c>
      <c r="G33">
        <f>estuary_data!T33*weights!$C$7</f>
        <v>6.1391658181944517E-2</v>
      </c>
      <c r="H33">
        <f>SUM(B33:G33)</f>
        <v>0.45090638406895112</v>
      </c>
      <c r="I33" t="str">
        <f>IF(H33&gt;$L$5/10*9,"1",IF(H33&gt;$L$5/10*8,"2",IF(H33&gt;$L$5/10*7,"3",IF(H33&gt;$L$5/10*6,"4",IF(H33&gt;$L$5/10*5,"5",IF(H33&gt;$L$5/10*4,"6",IF(H33&gt;$L$5/10*3,"7",IF(H33&gt;$L$5/10*2,"8",IF(H33&gt;$L$5/10,"9","10")))))))))</f>
        <v>4</v>
      </c>
    </row>
    <row r="34" spans="1:9" x14ac:dyDescent="0.55000000000000004">
      <c r="A34">
        <v>33</v>
      </c>
      <c r="B34">
        <f>estuary_data!U34*weights!$C$2</f>
        <v>8.6415910212875022E-2</v>
      </c>
      <c r="C34">
        <f>estuary_data!R34*weights!$C$5</f>
        <v>0.10166865998194673</v>
      </c>
      <c r="D34">
        <f>estuary_data!V34*weights!$C$3</f>
        <v>3.8533322721872654E-2</v>
      </c>
      <c r="E34">
        <f>estuary_data!S34*weights!$C$6</f>
        <v>9.5793794781209498E-3</v>
      </c>
      <c r="F34">
        <f>estuary_data!W34*weights!$C$4</f>
        <v>0.13527880011045842</v>
      </c>
      <c r="G34">
        <f>estuary_data!T34*weights!$C$7</f>
        <v>8.719099817441954E-2</v>
      </c>
      <c r="H34">
        <f>SUM(B34:G34)</f>
        <v>0.45866707067969337</v>
      </c>
      <c r="I34" t="str">
        <f>IF(H34&gt;$L$5/10*9,"1",IF(H34&gt;$L$5/10*8,"2",IF(H34&gt;$L$5/10*7,"3",IF(H34&gt;$L$5/10*6,"4",IF(H34&gt;$L$5/10*5,"5",IF(H34&gt;$L$5/10*4,"6",IF(H34&gt;$L$5/10*3,"7",IF(H34&gt;$L$5/10*2,"8",IF(H34&gt;$L$5/10,"9","10")))))))))</f>
        <v>4</v>
      </c>
    </row>
    <row r="35" spans="1:9" x14ac:dyDescent="0.55000000000000004">
      <c r="A35">
        <v>34</v>
      </c>
      <c r="B35">
        <f>estuary_data!U35*weights!$C$2</f>
        <v>4.1972672518137542E-2</v>
      </c>
      <c r="C35">
        <f>estuary_data!R35*weights!$C$5</f>
        <v>7.5041267115740717E-2</v>
      </c>
      <c r="D35">
        <f>estuary_data!V35*weights!$C$3</f>
        <v>3.1504955253378902E-2</v>
      </c>
      <c r="E35">
        <f>estuary_data!S35*weights!$C$6</f>
        <v>2.0752556058315087E-2</v>
      </c>
      <c r="F35">
        <f>estuary_data!W35*weights!$C$4</f>
        <v>9.3356833551078378E-2</v>
      </c>
      <c r="G35">
        <f>estuary_data!T35*weights!$C$7</f>
        <v>6.788268389996412E-3</v>
      </c>
      <c r="H35">
        <f>SUM(B35:G35)</f>
        <v>0.26941655288664706</v>
      </c>
      <c r="I35" t="str">
        <f>IF(H35&gt;$L$5/10*9,"1",IF(H35&gt;$L$5/10*8,"2",IF(H35&gt;$L$5/10*7,"3",IF(H35&gt;$L$5/10*6,"4",IF(H35&gt;$L$5/10*5,"5",IF(H35&gt;$L$5/10*4,"6",IF(H35&gt;$L$5/10*3,"7",IF(H35&gt;$L$5/10*2,"8",IF(H35&gt;$L$5/10,"9","10")))))))))</f>
        <v>6</v>
      </c>
    </row>
    <row r="36" spans="1:9" x14ac:dyDescent="0.55000000000000004">
      <c r="A36">
        <v>35</v>
      </c>
      <c r="B36">
        <f>estuary_data!U36*weights!$C$2</f>
        <v>0.12101169096707996</v>
      </c>
      <c r="C36">
        <f>estuary_data!R36*weights!$C$5</f>
        <v>0.12361188263987492</v>
      </c>
      <c r="D36">
        <f>estuary_data!V36*weights!$C$3</f>
        <v>1.8284844717589538E-2</v>
      </c>
      <c r="E36">
        <f>estuary_data!S36*weights!$C$6</f>
        <v>2.7739086148162149E-2</v>
      </c>
      <c r="F36">
        <f>estuary_data!W36*weights!$C$4</f>
        <v>6.1627464764650301E-2</v>
      </c>
      <c r="G36">
        <f>estuary_data!T36*weights!$C$7</f>
        <v>2.1822602797271103E-2</v>
      </c>
      <c r="H36">
        <f>SUM(B36:G36)</f>
        <v>0.37409757203462801</v>
      </c>
      <c r="I36" t="str">
        <f>IF(H36&gt;$L$5/10*9,"1",IF(H36&gt;$L$5/10*8,"2",IF(H36&gt;$L$5/10*7,"3",IF(H36&gt;$L$5/10*6,"4",IF(H36&gt;$L$5/10*5,"5",IF(H36&gt;$L$5/10*4,"6",IF(H36&gt;$L$5/10*3,"7",IF(H36&gt;$L$5/10*2,"8",IF(H36&gt;$L$5/10,"9","10")))))))))</f>
        <v>5</v>
      </c>
    </row>
    <row r="37" spans="1:9" x14ac:dyDescent="0.55000000000000004">
      <c r="A37">
        <v>36</v>
      </c>
      <c r="B37">
        <f>estuary_data!U37*weights!$C$2</f>
        <v>3.679066100769729E-2</v>
      </c>
      <c r="C37">
        <f>estuary_data!R37*weights!$C$5</f>
        <v>6.6028284179438498E-2</v>
      </c>
      <c r="D37">
        <f>estuary_data!V37*weights!$C$3</f>
        <v>2.9817375272788035E-2</v>
      </c>
      <c r="E37">
        <f>estuary_data!S37*weights!$C$6</f>
        <v>3.2924645914897986E-2</v>
      </c>
      <c r="F37">
        <f>estuary_data!W37*weights!$C$4</f>
        <v>7.9586537052849946E-2</v>
      </c>
      <c r="G37">
        <f>estuary_data!T37*weights!$C$7</f>
        <v>3.4537591188869503E-2</v>
      </c>
      <c r="H37">
        <f>SUM(B37:G37)</f>
        <v>0.27968509461654129</v>
      </c>
      <c r="I37" t="str">
        <f>IF(H37&gt;$L$5/10*9,"1",IF(H37&gt;$L$5/10*8,"2",IF(H37&gt;$L$5/10*7,"3",IF(H37&gt;$L$5/10*6,"4",IF(H37&gt;$L$5/10*5,"5",IF(H37&gt;$L$5/10*4,"6",IF(H37&gt;$L$5/10*3,"7",IF(H37&gt;$L$5/10*2,"8",IF(H37&gt;$L$5/10,"9","10")))))))))</f>
        <v>6</v>
      </c>
    </row>
    <row r="38" spans="1:9" x14ac:dyDescent="0.55000000000000004">
      <c r="A38">
        <v>37</v>
      </c>
      <c r="B38">
        <f>estuary_data!U38*weights!$C$2</f>
        <v>4.6267684492135863E-2</v>
      </c>
      <c r="C38">
        <f>estuary_data!R38*weights!$C$5</f>
        <v>8.5095709575120013E-2</v>
      </c>
      <c r="D38">
        <f>estuary_data!V38*weights!$C$3</f>
        <v>3.2507996259395176E-2</v>
      </c>
      <c r="E38">
        <f>estuary_data!S38*weights!$C$6</f>
        <v>8.087621041432267E-3</v>
      </c>
      <c r="F38">
        <f>estuary_data!W38*weights!$C$4</f>
        <v>8.870045946196968E-2</v>
      </c>
      <c r="G38">
        <f>estuary_data!T38*weights!$C$7</f>
        <v>2.6267809974292074E-2</v>
      </c>
      <c r="H38">
        <f>SUM(B38:G38)</f>
        <v>0.2869272808043451</v>
      </c>
      <c r="I38" t="str">
        <f>IF(H38&gt;$L$5/10*9,"1",IF(H38&gt;$L$5/10*8,"2",IF(H38&gt;$L$5/10*7,"3",IF(H38&gt;$L$5/10*6,"4",IF(H38&gt;$L$5/10*5,"5",IF(H38&gt;$L$5/10*4,"6",IF(H38&gt;$L$5/10*3,"7",IF(H38&gt;$L$5/10*2,"8",IF(H38&gt;$L$5/10,"9","10")))))))))</f>
        <v>6</v>
      </c>
    </row>
    <row r="39" spans="1:9" x14ac:dyDescent="0.55000000000000004">
      <c r="A39">
        <v>38</v>
      </c>
      <c r="B39">
        <f>estuary_data!U39*weights!$C$2</f>
        <v>4.6471273660938006E-2</v>
      </c>
      <c r="C39">
        <f>estuary_data!R39*weights!$C$5</f>
        <v>9.0516067666709873E-2</v>
      </c>
      <c r="D39">
        <f>estuary_data!V39*weights!$C$3</f>
        <v>3.282834929044328E-2</v>
      </c>
      <c r="E39">
        <f>estuary_data!S39*weights!$C$6</f>
        <v>5.1591008049038239E-3</v>
      </c>
      <c r="F39">
        <f>estuary_data!W39*weights!$C$4</f>
        <v>8.7505131529663452E-2</v>
      </c>
      <c r="G39">
        <f>estuary_data!T39*weights!$C$7</f>
        <v>3.5171178668796613E-2</v>
      </c>
      <c r="H39">
        <f>SUM(B39:G39)</f>
        <v>0.29765110162145503</v>
      </c>
      <c r="I39" t="str">
        <f>IF(H39&gt;$L$5/10*9,"1",IF(H39&gt;$L$5/10*8,"2",IF(H39&gt;$L$5/10*7,"3",IF(H39&gt;$L$5/10*6,"4",IF(H39&gt;$L$5/10*5,"5",IF(H39&gt;$L$5/10*4,"6",IF(H39&gt;$L$5/10*3,"7",IF(H39&gt;$L$5/10*2,"8",IF(H39&gt;$L$5/10,"9","10")))))))))</f>
        <v>6</v>
      </c>
    </row>
    <row r="40" spans="1:9" x14ac:dyDescent="0.55000000000000004">
      <c r="A40">
        <v>39</v>
      </c>
      <c r="B40">
        <f>estuary_data!U40*weights!$C$2</f>
        <v>4.9685121303816582E-2</v>
      </c>
      <c r="C40">
        <f>estuary_data!R40*weights!$C$5</f>
        <v>9.0981941302411481E-2</v>
      </c>
      <c r="D40">
        <f>estuary_data!V40*weights!$C$3</f>
        <v>4.1416512564094066E-2</v>
      </c>
      <c r="E40">
        <f>estuary_data!S40*weights!$C$6</f>
        <v>1.2086282595086146E-2</v>
      </c>
      <c r="F40">
        <f>estuary_data!W40*weights!$C$4</f>
        <v>0.12389868275615477</v>
      </c>
      <c r="G40">
        <f>estuary_data!T40*weights!$C$7</f>
        <v>5.149714881280662E-2</v>
      </c>
      <c r="H40">
        <f>SUM(B40:G40)</f>
        <v>0.36956568933436973</v>
      </c>
      <c r="I40" t="str">
        <f>IF(H40&gt;$L$5/10*9,"1",IF(H40&gt;$L$5/10*8,"2",IF(H40&gt;$L$5/10*7,"3",IF(H40&gt;$L$5/10*6,"4",IF(H40&gt;$L$5/10*5,"5",IF(H40&gt;$L$5/10*4,"6",IF(H40&gt;$L$5/10*3,"7",IF(H40&gt;$L$5/10*2,"8",IF(H40&gt;$L$5/10,"9","10")))))))))</f>
        <v>5</v>
      </c>
    </row>
    <row r="41" spans="1:9" x14ac:dyDescent="0.55000000000000004">
      <c r="A41">
        <v>40</v>
      </c>
      <c r="B41">
        <f>estuary_data!U41*weights!$C$2</f>
        <v>4.906635209069491E-2</v>
      </c>
      <c r="C41">
        <f>estuary_data!R41*weights!$C$5</f>
        <v>9.1066951176038094E-2</v>
      </c>
      <c r="D41">
        <f>estuary_data!V41*weights!$C$3</f>
        <v>3.6499433940552946E-2</v>
      </c>
      <c r="E41">
        <f>estuary_data!S41*weights!$C$6</f>
        <v>5.7647628828262102E-3</v>
      </c>
      <c r="F41">
        <f>estuary_data!W41*weights!$C$4</f>
        <v>0.10646410608181306</v>
      </c>
      <c r="G41">
        <f>estuary_data!T41*weights!$C$7</f>
        <v>4.043753072422071E-2</v>
      </c>
      <c r="H41">
        <f>SUM(B41:G41)</f>
        <v>0.32929913689614598</v>
      </c>
      <c r="I41" t="str">
        <f>IF(H41&gt;$L$5/10*9,"1",IF(H41&gt;$L$5/10*8,"2",IF(H41&gt;$L$5/10*7,"3",IF(H41&gt;$L$5/10*6,"4",IF(H41&gt;$L$5/10*5,"5",IF(H41&gt;$L$5/10*4,"6",IF(H41&gt;$L$5/10*3,"7",IF(H41&gt;$L$5/10*2,"8",IF(H41&gt;$L$5/10,"9","10")))))))))</f>
        <v>6</v>
      </c>
    </row>
    <row r="42" spans="1:9" x14ac:dyDescent="0.55000000000000004">
      <c r="A42">
        <v>41</v>
      </c>
      <c r="B42">
        <f>estuary_data!U42*weights!$C$2</f>
        <v>4.8867975614354381E-2</v>
      </c>
      <c r="C42">
        <f>estuary_data!R42*weights!$C$5</f>
        <v>9.1631822460153653E-2</v>
      </c>
      <c r="D42">
        <f>estuary_data!V42*weights!$C$3</f>
        <v>3.5414177519758151E-2</v>
      </c>
      <c r="E42">
        <f>estuary_data!S42*weights!$C$6</f>
        <v>4.6522927202704021E-3</v>
      </c>
      <c r="F42">
        <f>estuary_data!W42*weights!$C$4</f>
        <v>0.10197742040851362</v>
      </c>
      <c r="G42">
        <f>estuary_data!T42*weights!$C$7</f>
        <v>4.2261339064961836E-2</v>
      </c>
      <c r="H42">
        <f>SUM(B42:G42)</f>
        <v>0.32480502778801201</v>
      </c>
      <c r="I42" t="str">
        <f>IF(H42&gt;$L$5/10*9,"1",IF(H42&gt;$L$5/10*8,"2",IF(H42&gt;$L$5/10*7,"3",IF(H42&gt;$L$5/10*6,"4",IF(H42&gt;$L$5/10*5,"5",IF(H42&gt;$L$5/10*4,"6",IF(H42&gt;$L$5/10*3,"7",IF(H42&gt;$L$5/10*2,"8",IF(H42&gt;$L$5/10,"9","10")))))))))</f>
        <v>6</v>
      </c>
    </row>
    <row r="43" spans="1:9" x14ac:dyDescent="0.55000000000000004">
      <c r="A43">
        <v>42</v>
      </c>
      <c r="B43">
        <f>estuary_data!U43*weights!$C$2</f>
        <v>5.2356515891753275E-2</v>
      </c>
      <c r="C43">
        <f>estuary_data!R43*weights!$C$5</f>
        <v>9.1987964497030297E-2</v>
      </c>
      <c r="D43">
        <f>estuary_data!V43*weights!$C$3</f>
        <v>3.5670025711776937E-2</v>
      </c>
      <c r="E43">
        <f>estuary_data!S43*weights!$C$6</f>
        <v>5.0872587825203253E-3</v>
      </c>
      <c r="F43">
        <f>estuary_data!W43*weights!$C$4</f>
        <v>0.10039589758856493</v>
      </c>
      <c r="G43">
        <f>estuary_data!T43*weights!$C$7</f>
        <v>3.9611377610092764E-2</v>
      </c>
      <c r="H43">
        <f>SUM(B43:G43)</f>
        <v>0.32510904008173852</v>
      </c>
      <c r="I43" t="str">
        <f>IF(H43&gt;$L$5/10*9,"1",IF(H43&gt;$L$5/10*8,"2",IF(H43&gt;$L$5/10*7,"3",IF(H43&gt;$L$5/10*6,"4",IF(H43&gt;$L$5/10*5,"5",IF(H43&gt;$L$5/10*4,"6",IF(H43&gt;$L$5/10*3,"7",IF(H43&gt;$L$5/10*2,"8",IF(H43&gt;$L$5/10,"9","10")))))))))</f>
        <v>6</v>
      </c>
    </row>
    <row r="44" spans="1:9" x14ac:dyDescent="0.55000000000000004">
      <c r="A44">
        <v>43</v>
      </c>
      <c r="B44">
        <f>estuary_data!U44*weights!$C$2</f>
        <v>3.8612802798801603E-2</v>
      </c>
      <c r="C44">
        <f>estuary_data!R44*weights!$C$5</f>
        <v>9.7669385664425734E-2</v>
      </c>
      <c r="D44">
        <f>estuary_data!V44*weights!$C$3</f>
        <v>1.7880330304791126E-2</v>
      </c>
      <c r="E44">
        <f>estuary_data!S44*weights!$C$6</f>
        <v>6.4274244607372914E-3</v>
      </c>
      <c r="F44">
        <f>estuary_data!W44*weights!$C$4</f>
        <v>3.6401461286803126E-2</v>
      </c>
      <c r="G44">
        <f>estuary_data!T44*weights!$C$7</f>
        <v>9.058813233657094E-2</v>
      </c>
      <c r="H44">
        <f>SUM(B44:G44)</f>
        <v>0.28757953685212984</v>
      </c>
      <c r="I44" t="str">
        <f>IF(H44&gt;$L$5/10*9,"1",IF(H44&gt;$L$5/10*8,"2",IF(H44&gt;$L$5/10*7,"3",IF(H44&gt;$L$5/10*6,"4",IF(H44&gt;$L$5/10*5,"5",IF(H44&gt;$L$5/10*4,"6",IF(H44&gt;$L$5/10*3,"7",IF(H44&gt;$L$5/10*2,"8",IF(H44&gt;$L$5/10,"9","10")))))))))</f>
        <v>6</v>
      </c>
    </row>
    <row r="45" spans="1:9" x14ac:dyDescent="0.55000000000000004">
      <c r="A45">
        <v>44</v>
      </c>
      <c r="B45">
        <f>estuary_data!U45*weights!$C$2</f>
        <v>5.1878825105461997E-2</v>
      </c>
      <c r="C45">
        <f>estuary_data!R45*weights!$C$5</f>
        <v>9.8081924754982494E-2</v>
      </c>
      <c r="D45">
        <f>estuary_data!V45*weights!$C$3</f>
        <v>2.925686025490469E-2</v>
      </c>
      <c r="E45">
        <f>estuary_data!S45*weights!$C$6</f>
        <v>8.4342941743244023E-3</v>
      </c>
      <c r="F45">
        <f>estuary_data!W45*weights!$C$4</f>
        <v>6.184147985660346E-2</v>
      </c>
      <c r="G45">
        <f>estuary_data!T45*weights!$C$7</f>
        <v>3.4487535804352848E-2</v>
      </c>
      <c r="H45">
        <f>SUM(B45:G45)</f>
        <v>0.28398091995062991</v>
      </c>
      <c r="I45" t="str">
        <f>IF(H45&gt;$L$5/10*9,"1",IF(H45&gt;$L$5/10*8,"2",IF(H45&gt;$L$5/10*7,"3",IF(H45&gt;$L$5/10*6,"4",IF(H45&gt;$L$5/10*5,"5",IF(H45&gt;$L$5/10*4,"6",IF(H45&gt;$L$5/10*3,"7",IF(H45&gt;$L$5/10*2,"8",IF(H45&gt;$L$5/10,"9","10")))))))))</f>
        <v>6</v>
      </c>
    </row>
    <row r="46" spans="1:9" x14ac:dyDescent="0.55000000000000004">
      <c r="A46">
        <v>45</v>
      </c>
      <c r="B46">
        <f>estuary_data!U46*weights!$C$2</f>
        <v>5.08562053524362E-2</v>
      </c>
      <c r="C46">
        <f>estuary_data!R46*weights!$C$5</f>
        <v>9.513326272594208E-2</v>
      </c>
      <c r="D46">
        <f>estuary_data!V46*weights!$C$3</f>
        <v>2.9078767359329599E-2</v>
      </c>
      <c r="E46">
        <f>estuary_data!S46*weights!$C$6</f>
        <v>1.0328610809608896E-2</v>
      </c>
      <c r="F46">
        <f>estuary_data!W46*weights!$C$4</f>
        <v>6.0681229354499475E-2</v>
      </c>
      <c r="G46">
        <f>estuary_data!T46*weights!$C$7</f>
        <v>3.9324773114380152E-2</v>
      </c>
      <c r="H46">
        <f>SUM(B46:G46)</f>
        <v>0.28540284871619642</v>
      </c>
      <c r="I46" t="str">
        <f>IF(H46&gt;$L$5/10*9,"1",IF(H46&gt;$L$5/10*8,"2",IF(H46&gt;$L$5/10*7,"3",IF(H46&gt;$L$5/10*6,"4",IF(H46&gt;$L$5/10*5,"5",IF(H46&gt;$L$5/10*4,"6",IF(H46&gt;$L$5/10*3,"7",IF(H46&gt;$L$5/10*2,"8",IF(H46&gt;$L$5/10,"9","10")))))))))</f>
        <v>6</v>
      </c>
    </row>
    <row r="47" spans="1:9" x14ac:dyDescent="0.55000000000000004">
      <c r="A47">
        <v>46</v>
      </c>
      <c r="B47">
        <f>estuary_data!U47*weights!$C$2</f>
        <v>7.4392471259417378E-2</v>
      </c>
      <c r="C47">
        <f>estuary_data!R47*weights!$C$5</f>
        <v>9.3939091449456044E-2</v>
      </c>
      <c r="D47">
        <f>estuary_data!V47*weights!$C$3</f>
        <v>3.7961052550570452E-2</v>
      </c>
      <c r="E47">
        <f>estuary_data!S47*weights!$C$6</f>
        <v>2.8053777929230744E-3</v>
      </c>
      <c r="F47">
        <f>estuary_data!W47*weights!$C$4</f>
        <v>0.17781933844561026</v>
      </c>
      <c r="G47">
        <f>estuary_data!T47*weights!$C$7</f>
        <v>5.5127817329354671E-2</v>
      </c>
      <c r="H47">
        <f>SUM(B47:G47)</f>
        <v>0.44204514882733192</v>
      </c>
      <c r="I47" t="str">
        <f>IF(H47&gt;$L$5/10*9,"1",IF(H47&gt;$L$5/10*8,"2",IF(H47&gt;$L$5/10*7,"3",IF(H47&gt;$L$5/10*6,"4",IF(H47&gt;$L$5/10*5,"5",IF(H47&gt;$L$5/10*4,"6",IF(H47&gt;$L$5/10*3,"7",IF(H47&gt;$L$5/10*2,"8",IF(H47&gt;$L$5/10,"9","10")))))))))</f>
        <v>4</v>
      </c>
    </row>
    <row r="48" spans="1:9" x14ac:dyDescent="0.55000000000000004">
      <c r="A48">
        <v>47</v>
      </c>
      <c r="B48">
        <f>estuary_data!U48*weights!$C$2</f>
        <v>7.1278280461735802E-2</v>
      </c>
      <c r="C48">
        <f>estuary_data!R48*weights!$C$5</f>
        <v>9.5598296889289877E-2</v>
      </c>
      <c r="D48">
        <f>estuary_data!V48*weights!$C$3</f>
        <v>3.4489704285947664E-2</v>
      </c>
      <c r="E48">
        <f>estuary_data!S48*weights!$C$6</f>
        <v>5.3519988751908045E-4</v>
      </c>
      <c r="F48">
        <f>estuary_data!W48*weights!$C$4</f>
        <v>0.14654349023839397</v>
      </c>
      <c r="G48">
        <f>estuary_data!T48*weights!$C$7</f>
        <v>5.2082845800057662E-2</v>
      </c>
      <c r="H48">
        <f>SUM(B48:G48)</f>
        <v>0.40052781756294403</v>
      </c>
      <c r="I48" t="str">
        <f>IF(H48&gt;$L$5/10*9,"1",IF(H48&gt;$L$5/10*8,"2",IF(H48&gt;$L$5/10*7,"3",IF(H48&gt;$L$5/10*6,"4",IF(H48&gt;$L$5/10*5,"5",IF(H48&gt;$L$5/10*4,"6",IF(H48&gt;$L$5/10*3,"7",IF(H48&gt;$L$5/10*2,"8",IF(H48&gt;$L$5/10,"9","10")))))))))</f>
        <v>4</v>
      </c>
    </row>
    <row r="49" spans="1:9" x14ac:dyDescent="0.55000000000000004">
      <c r="A49">
        <v>48</v>
      </c>
      <c r="B49">
        <f>estuary_data!U49*weights!$C$2</f>
        <v>5.5333387136902633E-2</v>
      </c>
      <c r="C49">
        <f>estuary_data!R49*weights!$C$5</f>
        <v>9.5579890095816591E-2</v>
      </c>
      <c r="D49">
        <f>estuary_data!V49*weights!$C$3</f>
        <v>3.4244293307830104E-2</v>
      </c>
      <c r="E49">
        <f>estuary_data!S49*weights!$C$6</f>
        <v>4.1503258561337983E-3</v>
      </c>
      <c r="F49">
        <f>estuary_data!W49*weights!$C$4</f>
        <v>9.4293482522605984E-2</v>
      </c>
      <c r="G49">
        <f>estuary_data!T49*weights!$C$7</f>
        <v>4.0439766130980562E-2</v>
      </c>
      <c r="H49">
        <f>SUM(B49:G49)</f>
        <v>0.32404114505026965</v>
      </c>
      <c r="I49" t="str">
        <f>IF(H49&gt;$L$5/10*9,"1",IF(H49&gt;$L$5/10*8,"2",IF(H49&gt;$L$5/10*7,"3",IF(H49&gt;$L$5/10*6,"4",IF(H49&gt;$L$5/10*5,"5",IF(H49&gt;$L$5/10*4,"6",IF(H49&gt;$L$5/10*3,"7",IF(H49&gt;$L$5/10*2,"8",IF(H49&gt;$L$5/10,"9","10")))))))))</f>
        <v>6</v>
      </c>
    </row>
    <row r="50" spans="1:9" x14ac:dyDescent="0.55000000000000004">
      <c r="A50">
        <v>49</v>
      </c>
      <c r="B50">
        <f>estuary_data!U50*weights!$C$2</f>
        <v>7.2116643303755903E-2</v>
      </c>
      <c r="C50">
        <f>estuary_data!R50*weights!$C$5</f>
        <v>0.10040233892099469</v>
      </c>
      <c r="D50">
        <f>estuary_data!V50*weights!$C$3</f>
        <v>3.2189453613496059E-2</v>
      </c>
      <c r="E50">
        <f>estuary_data!S50*weights!$C$6</f>
        <v>1.3926848400668346E-3</v>
      </c>
      <c r="F50">
        <f>estuary_data!W50*weights!$C$4</f>
        <v>0.1409964505999069</v>
      </c>
      <c r="G50">
        <f>estuary_data!T50*weights!$C$7</f>
        <v>5.3600146559412372E-2</v>
      </c>
      <c r="H50">
        <f>SUM(B50:G50)</f>
        <v>0.40069771783763275</v>
      </c>
      <c r="I50" t="str">
        <f>IF(H50&gt;$L$5/10*9,"1",IF(H50&gt;$L$5/10*8,"2",IF(H50&gt;$L$5/10*7,"3",IF(H50&gt;$L$5/10*6,"4",IF(H50&gt;$L$5/10*5,"5",IF(H50&gt;$L$5/10*4,"6",IF(H50&gt;$L$5/10*3,"7",IF(H50&gt;$L$5/10*2,"8",IF(H50&gt;$L$5/10,"9","10")))))))))</f>
        <v>4</v>
      </c>
    </row>
    <row r="51" spans="1:9" x14ac:dyDescent="0.55000000000000004">
      <c r="A51">
        <v>50</v>
      </c>
      <c r="B51">
        <f>estuary_data!U51*weights!$C$2</f>
        <v>7.0123620536174325E-2</v>
      </c>
      <c r="C51">
        <f>estuary_data!R51*weights!$C$5</f>
        <v>0.10132186741549311</v>
      </c>
      <c r="D51">
        <f>estuary_data!V51*weights!$C$3</f>
        <v>3.1172342877857147E-2</v>
      </c>
      <c r="E51">
        <f>estuary_data!S51*weights!$C$6</f>
        <v>3.9440232428806571E-3</v>
      </c>
      <c r="F51">
        <f>estuary_data!W51*weights!$C$4</f>
        <v>0.12311380999450232</v>
      </c>
      <c r="G51">
        <f>estuary_data!T51*weights!$C$7</f>
        <v>0.17100514185716645</v>
      </c>
      <c r="H51">
        <f>SUM(B51:G51)</f>
        <v>0.50068080592407394</v>
      </c>
      <c r="I51" t="str">
        <f>IF(H51&gt;$L$5/10*9,"1",IF(H51&gt;$L$5/10*8,"2",IF(H51&gt;$L$5/10*7,"3",IF(H51&gt;$L$5/10*6,"4",IF(H51&gt;$L$5/10*5,"5",IF(H51&gt;$L$5/10*4,"6",IF(H51&gt;$L$5/10*3,"7",IF(H51&gt;$L$5/10*2,"8",IF(H51&gt;$L$5/10,"9","10")))))))))</f>
        <v>3</v>
      </c>
    </row>
    <row r="52" spans="1:9" x14ac:dyDescent="0.55000000000000004">
      <c r="A52">
        <v>51</v>
      </c>
      <c r="B52">
        <f>estuary_data!U52*weights!$C$2</f>
        <v>8.0194888768212805E-2</v>
      </c>
      <c r="C52">
        <f>estuary_data!R52*weights!$C$5</f>
        <v>9.5476959424844715E-2</v>
      </c>
      <c r="D52">
        <f>estuary_data!V52*weights!$C$3</f>
        <v>3.8938552967282929E-2</v>
      </c>
      <c r="E52">
        <f>estuary_data!S52*weights!$C$6</f>
        <v>5.9110869247334698E-3</v>
      </c>
      <c r="F52">
        <f>estuary_data!W52*weights!$C$4</f>
        <v>0.17785341950274275</v>
      </c>
      <c r="G52">
        <f>estuary_data!T52*weights!$C$7</f>
        <v>6.2568804260839897E-2</v>
      </c>
      <c r="H52">
        <f>SUM(B52:G52)</f>
        <v>0.46094371184865657</v>
      </c>
      <c r="I52" t="str">
        <f>IF(H52&gt;$L$5/10*9,"1",IF(H52&gt;$L$5/10*8,"2",IF(H52&gt;$L$5/10*7,"3",IF(H52&gt;$L$5/10*6,"4",IF(H52&gt;$L$5/10*5,"5",IF(H52&gt;$L$5/10*4,"6",IF(H52&gt;$L$5/10*3,"7",IF(H52&gt;$L$5/10*2,"8",IF(H52&gt;$L$5/10,"9","10")))))))))</f>
        <v>4</v>
      </c>
    </row>
    <row r="53" spans="1:9" x14ac:dyDescent="0.55000000000000004">
      <c r="A53">
        <v>52</v>
      </c>
      <c r="B53">
        <f>estuary_data!U53*weights!$C$2</f>
        <v>7.7012129528277018E-2</v>
      </c>
      <c r="C53">
        <f>estuary_data!R53*weights!$C$5</f>
        <v>9.4812484371395653E-2</v>
      </c>
      <c r="D53">
        <f>estuary_data!V53*weights!$C$3</f>
        <v>3.9400713992852568E-2</v>
      </c>
      <c r="E53">
        <f>estuary_data!S53*weights!$C$6</f>
        <v>5.4318966818100549E-3</v>
      </c>
      <c r="F53">
        <f>estuary_data!W53*weights!$C$4</f>
        <v>0.17636508394994171</v>
      </c>
      <c r="G53">
        <f>estuary_data!T53*weights!$C$7</f>
        <v>6.1031248472760702E-2</v>
      </c>
      <c r="H53">
        <f>SUM(B53:G53)</f>
        <v>0.4540535569970377</v>
      </c>
      <c r="I53" t="str">
        <f>IF(H53&gt;$L$5/10*9,"1",IF(H53&gt;$L$5/10*8,"2",IF(H53&gt;$L$5/10*7,"3",IF(H53&gt;$L$5/10*6,"4",IF(H53&gt;$L$5/10*5,"5",IF(H53&gt;$L$5/10*4,"6",IF(H53&gt;$L$5/10*3,"7",IF(H53&gt;$L$5/10*2,"8",IF(H53&gt;$L$5/10,"9","10")))))))))</f>
        <v>4</v>
      </c>
    </row>
    <row r="54" spans="1:9" x14ac:dyDescent="0.55000000000000004">
      <c r="A54">
        <v>53</v>
      </c>
      <c r="B54">
        <f>estuary_data!U54*weights!$C$2</f>
        <v>7.7331721065751119E-2</v>
      </c>
      <c r="C54">
        <f>estuary_data!R54*weights!$C$5</f>
        <v>9.1739893491370059E-2</v>
      </c>
      <c r="D54">
        <f>estuary_data!V54*weights!$C$3</f>
        <v>4.1086182514314132E-2</v>
      </c>
      <c r="E54">
        <f>estuary_data!S54*weights!$C$6</f>
        <v>6.76076975280259E-3</v>
      </c>
      <c r="F54">
        <f>estuary_data!W54*weights!$C$4</f>
        <v>0.17763494980030919</v>
      </c>
      <c r="G54">
        <f>estuary_data!T54*weights!$C$7</f>
        <v>6.0906868526250151E-2</v>
      </c>
      <c r="H54">
        <f>SUM(B54:G54)</f>
        <v>0.45546038515079723</v>
      </c>
      <c r="I54" t="str">
        <f>IF(H54&gt;$L$5/10*9,"1",IF(H54&gt;$L$5/10*8,"2",IF(H54&gt;$L$5/10*7,"3",IF(H54&gt;$L$5/10*6,"4",IF(H54&gt;$L$5/10*5,"5",IF(H54&gt;$L$5/10*4,"6",IF(H54&gt;$L$5/10*3,"7",IF(H54&gt;$L$5/10*2,"8",IF(H54&gt;$L$5/10,"9","10")))))))))</f>
        <v>4</v>
      </c>
    </row>
    <row r="55" spans="1:9" x14ac:dyDescent="0.55000000000000004">
      <c r="A55">
        <v>54</v>
      </c>
      <c r="B55">
        <f>estuary_data!U55*weights!$C$2</f>
        <v>7.7770753217712124E-2</v>
      </c>
      <c r="C55">
        <f>estuary_data!R55*weights!$C$5</f>
        <v>9.6298116277917942E-2</v>
      </c>
      <c r="D55">
        <f>estuary_data!V55*weights!$C$3</f>
        <v>4.3224049177320541E-2</v>
      </c>
      <c r="E55">
        <f>estuary_data!S55*weights!$C$6</f>
        <v>6.1199838820208442E-3</v>
      </c>
      <c r="F55">
        <f>estuary_data!W55*weights!$C$4</f>
        <v>0.18936594207779436</v>
      </c>
      <c r="G55">
        <f>estuary_data!T55*weights!$C$7</f>
        <v>6.3300454063456121E-2</v>
      </c>
      <c r="H55">
        <f>SUM(B55:G55)</f>
        <v>0.47607929869622195</v>
      </c>
      <c r="I55" t="str">
        <f>IF(H55&gt;$L$5/10*9,"1",IF(H55&gt;$L$5/10*8,"2",IF(H55&gt;$L$5/10*7,"3",IF(H55&gt;$L$5/10*6,"4",IF(H55&gt;$L$5/10*5,"5",IF(H55&gt;$L$5/10*4,"6",IF(H55&gt;$L$5/10*3,"7",IF(H55&gt;$L$5/10*2,"8",IF(H55&gt;$L$5/10,"9","10")))))))))</f>
        <v>3</v>
      </c>
    </row>
    <row r="56" spans="1:9" x14ac:dyDescent="0.55000000000000004">
      <c r="A56">
        <v>55</v>
      </c>
      <c r="B56">
        <f>estuary_data!U56*weights!$C$2</f>
        <v>7.8285759667014773E-2</v>
      </c>
      <c r="C56">
        <f>estuary_data!R56*weights!$C$5</f>
        <v>9.4590005928307117E-2</v>
      </c>
      <c r="D56">
        <f>estuary_data!V56*weights!$C$3</f>
        <v>4.4137769406946831E-2</v>
      </c>
      <c r="E56">
        <f>estuary_data!S56*weights!$C$6</f>
        <v>6.1465967402499783E-3</v>
      </c>
      <c r="F56">
        <f>estuary_data!W56*weights!$C$4</f>
        <v>0.18951871391539765</v>
      </c>
      <c r="G56">
        <f>estuary_data!T56*weights!$C$7</f>
        <v>6.1668849412481921E-2</v>
      </c>
      <c r="H56">
        <f>SUM(B56:G56)</f>
        <v>0.47434769507039826</v>
      </c>
      <c r="I56" t="str">
        <f>IF(H56&gt;$L$5/10*9,"1",IF(H56&gt;$L$5/10*8,"2",IF(H56&gt;$L$5/10*7,"3",IF(H56&gt;$L$5/10*6,"4",IF(H56&gt;$L$5/10*5,"5",IF(H56&gt;$L$5/10*4,"6",IF(H56&gt;$L$5/10*3,"7",IF(H56&gt;$L$5/10*2,"8",IF(H56&gt;$L$5/10,"9","10")))))))))</f>
        <v>3</v>
      </c>
    </row>
    <row r="57" spans="1:9" x14ac:dyDescent="0.55000000000000004">
      <c r="A57">
        <v>56</v>
      </c>
      <c r="B57">
        <f>estuary_data!U57*weights!$C$2</f>
        <v>7.2258702406172645E-2</v>
      </c>
      <c r="C57">
        <f>estuary_data!R57*weights!$C$5</f>
        <v>0.10112265098468151</v>
      </c>
      <c r="D57">
        <f>estuary_data!V57*weights!$C$3</f>
        <v>3.6744590535267539E-2</v>
      </c>
      <c r="E57">
        <f>estuary_data!S57*weights!$C$6</f>
        <v>2.8399625975301006E-3</v>
      </c>
      <c r="F57">
        <f>estuary_data!W57*weights!$C$4</f>
        <v>0.17291152206942956</v>
      </c>
      <c r="G57">
        <f>estuary_data!T57*weights!$C$7</f>
        <v>0.15226663217676512</v>
      </c>
      <c r="H57">
        <f>SUM(B57:G57)</f>
        <v>0.53814406076984644</v>
      </c>
      <c r="I57" t="str">
        <f>IF(H57&gt;$L$5/10*9,"1",IF(H57&gt;$L$5/10*8,"2",IF(H57&gt;$L$5/10*7,"3",IF(H57&gt;$L$5/10*6,"4",IF(H57&gt;$L$5/10*5,"5",IF(H57&gt;$L$5/10*4,"6",IF(H57&gt;$L$5/10*3,"7",IF(H57&gt;$L$5/10*2,"8",IF(H57&gt;$L$5/10,"9","10")))))))))</f>
        <v>2</v>
      </c>
    </row>
    <row r="58" spans="1:9" x14ac:dyDescent="0.55000000000000004">
      <c r="A58">
        <v>57</v>
      </c>
      <c r="B58">
        <f>estuary_data!U58*weights!$C$2</f>
        <v>7.5137880101104504E-2</v>
      </c>
      <c r="C58">
        <f>estuary_data!R58*weights!$C$5</f>
        <v>0.10199766211528576</v>
      </c>
      <c r="D58">
        <f>estuary_data!V58*weights!$C$3</f>
        <v>3.4710258667459984E-2</v>
      </c>
      <c r="E58">
        <f>estuary_data!S58*weights!$C$6</f>
        <v>2.9195441678770899E-3</v>
      </c>
      <c r="F58">
        <f>estuary_data!W58*weights!$C$4</f>
        <v>0.16790274510621686</v>
      </c>
      <c r="G58">
        <f>estuary_data!T58*weights!$C$7</f>
        <v>0.13799153292579816</v>
      </c>
      <c r="H58">
        <f>SUM(B58:G58)</f>
        <v>0.52065962308374236</v>
      </c>
      <c r="I58" t="str">
        <f>IF(H58&gt;$L$5/10*9,"1",IF(H58&gt;$L$5/10*8,"2",IF(H58&gt;$L$5/10*7,"3",IF(H58&gt;$L$5/10*6,"4",IF(H58&gt;$L$5/10*5,"5",IF(H58&gt;$L$5/10*4,"6",IF(H58&gt;$L$5/10*3,"7",IF(H58&gt;$L$5/10*2,"8",IF(H58&gt;$L$5/10,"9","10")))))))))</f>
        <v>3</v>
      </c>
    </row>
    <row r="59" spans="1:9" x14ac:dyDescent="0.55000000000000004">
      <c r="A59">
        <v>58</v>
      </c>
      <c r="B59">
        <f>estuary_data!U59*weights!$C$2</f>
        <v>6.8301632305828447E-2</v>
      </c>
      <c r="C59">
        <f>estuary_data!R59*weights!$C$5</f>
        <v>0.10377251253797048</v>
      </c>
      <c r="D59">
        <f>estuary_data!V59*weights!$C$3</f>
        <v>3.4067174073146203E-2</v>
      </c>
      <c r="E59">
        <f>estuary_data!S59*weights!$C$6</f>
        <v>2.0782279014457279E-4</v>
      </c>
      <c r="F59">
        <f>estuary_data!W59*weights!$C$4</f>
        <v>0.14573699630037734</v>
      </c>
      <c r="G59">
        <f>estuary_data!T59*weights!$C$7</f>
        <v>0.18264060427295864</v>
      </c>
      <c r="H59">
        <f>SUM(B59:G59)</f>
        <v>0.53472674228042572</v>
      </c>
      <c r="I59" t="str">
        <f>IF(H59&gt;$L$5/10*9,"1",IF(H59&gt;$L$5/10*8,"2",IF(H59&gt;$L$5/10*7,"3",IF(H59&gt;$L$5/10*6,"4",IF(H59&gt;$L$5/10*5,"5",IF(H59&gt;$L$5/10*4,"6",IF(H59&gt;$L$5/10*3,"7",IF(H59&gt;$L$5/10*2,"8",IF(H59&gt;$L$5/10,"9","10")))))))))</f>
        <v>2</v>
      </c>
    </row>
    <row r="60" spans="1:9" x14ac:dyDescent="0.55000000000000004">
      <c r="A60">
        <v>59</v>
      </c>
      <c r="B60">
        <f>estuary_data!U60*weights!$C$2</f>
        <v>6.4906775654189716E-2</v>
      </c>
      <c r="C60">
        <f>estuary_data!R60*weights!$C$5</f>
        <v>0.10399224605682007</v>
      </c>
      <c r="D60">
        <f>estuary_data!V60*weights!$C$3</f>
        <v>3.1487060692121989E-2</v>
      </c>
      <c r="E60">
        <f>estuary_data!S60*weights!$C$6</f>
        <v>2.4048878089838388E-3</v>
      </c>
      <c r="F60">
        <f>estuary_data!W60*weights!$C$4</f>
        <v>0.12757892040449964</v>
      </c>
      <c r="G60">
        <f>estuary_data!T60*weights!$C$7</f>
        <v>4.6925710354004155E-2</v>
      </c>
      <c r="H60">
        <f>SUM(B60:G60)</f>
        <v>0.37729560097061943</v>
      </c>
      <c r="I60" t="str">
        <f>IF(H60&gt;$L$5/10*9,"1",IF(H60&gt;$L$5/10*8,"2",IF(H60&gt;$L$5/10*7,"3",IF(H60&gt;$L$5/10*6,"4",IF(H60&gt;$L$5/10*5,"5",IF(H60&gt;$L$5/10*4,"6",IF(H60&gt;$L$5/10*3,"7",IF(H60&gt;$L$5/10*2,"8",IF(H60&gt;$L$5/10,"9","10")))))))))</f>
        <v>5</v>
      </c>
    </row>
    <row r="61" spans="1:9" x14ac:dyDescent="0.55000000000000004">
      <c r="A61">
        <v>60</v>
      </c>
      <c r="B61">
        <f>estuary_data!U61*weights!$C$2</f>
        <v>5.9503279688986145E-2</v>
      </c>
      <c r="C61">
        <f>estuary_data!R61*weights!$C$5</f>
        <v>0.10532318078263722</v>
      </c>
      <c r="D61">
        <f>estuary_data!V61*weights!$C$3</f>
        <v>3.3248659021057482E-2</v>
      </c>
      <c r="E61">
        <f>estuary_data!S61*weights!$C$6</f>
        <v>4.3028634821638571E-3</v>
      </c>
      <c r="F61">
        <f>estuary_data!W61*weights!$C$4</f>
        <v>0.10130812737018514</v>
      </c>
      <c r="G61">
        <f>estuary_data!T61*weights!$C$7</f>
        <v>0.17999279799561307</v>
      </c>
      <c r="H61">
        <f>SUM(B61:G61)</f>
        <v>0.48367890834064292</v>
      </c>
      <c r="I61" t="str">
        <f>IF(H61&gt;$L$5/10*9,"1",IF(H61&gt;$L$5/10*8,"2",IF(H61&gt;$L$5/10*7,"3",IF(H61&gt;$L$5/10*6,"4",IF(H61&gt;$L$5/10*5,"5",IF(H61&gt;$L$5/10*4,"6",IF(H61&gt;$L$5/10*3,"7",IF(H61&gt;$L$5/10*2,"8",IF(H61&gt;$L$5/10,"9","10")))))))))</f>
        <v>3</v>
      </c>
    </row>
    <row r="62" spans="1:9" x14ac:dyDescent="0.55000000000000004">
      <c r="A62">
        <v>61</v>
      </c>
      <c r="B62">
        <f>estuary_data!U62*weights!$C$2</f>
        <v>5.960757455752963E-2</v>
      </c>
      <c r="C62">
        <f>estuary_data!R62*weights!$C$5</f>
        <v>0.10586173552192504</v>
      </c>
      <c r="D62">
        <f>estuary_data!V62*weights!$C$3</f>
        <v>3.3666871960325612E-2</v>
      </c>
      <c r="E62">
        <f>estuary_data!S62*weights!$C$6</f>
        <v>4.5768678791254808E-3</v>
      </c>
      <c r="F62">
        <f>estuary_data!W62*weights!$C$4</f>
        <v>0.10261225077465004</v>
      </c>
      <c r="G62">
        <f>estuary_data!T62*weights!$C$7</f>
        <v>0.1626124549183425</v>
      </c>
      <c r="H62">
        <f>SUM(B62:G62)</f>
        <v>0.46893775561189832</v>
      </c>
      <c r="I62" t="str">
        <f>IF(H62&gt;$L$5/10*9,"1",IF(H62&gt;$L$5/10*8,"2",IF(H62&gt;$L$5/10*7,"3",IF(H62&gt;$L$5/10*6,"4",IF(H62&gt;$L$5/10*5,"5",IF(H62&gt;$L$5/10*4,"6",IF(H62&gt;$L$5/10*3,"7",IF(H62&gt;$L$5/10*2,"8",IF(H62&gt;$L$5/10,"9","10")))))))))</f>
        <v>3</v>
      </c>
    </row>
    <row r="63" spans="1:9" x14ac:dyDescent="0.55000000000000004">
      <c r="A63">
        <v>62</v>
      </c>
      <c r="B63">
        <f>estuary_data!U63*weights!$C$2</f>
        <v>3.2517023534946655E-2</v>
      </c>
      <c r="C63">
        <f>estuary_data!R63*weights!$C$5</f>
        <v>9.6464095003473652E-2</v>
      </c>
      <c r="D63">
        <f>estuary_data!V63*weights!$C$3</f>
        <v>1.9199466687449464E-2</v>
      </c>
      <c r="E63">
        <f>estuary_data!S63*weights!$C$6</f>
        <v>4.8598917423012845E-3</v>
      </c>
      <c r="F63">
        <f>estuary_data!W63*weights!$C$4</f>
        <v>2.5275176039162312E-2</v>
      </c>
      <c r="G63">
        <f>estuary_data!T63*weights!$C$7</f>
        <v>6.1566629649120574E-2</v>
      </c>
      <c r="H63">
        <f>SUM(B63:G63)</f>
        <v>0.23988228265645395</v>
      </c>
      <c r="I63" t="str">
        <f>IF(H63&gt;$L$5/10*9,"1",IF(H63&gt;$L$5/10*8,"2",IF(H63&gt;$L$5/10*7,"3",IF(H63&gt;$L$5/10*6,"4",IF(H63&gt;$L$5/10*5,"5",IF(H63&gt;$L$5/10*4,"6",IF(H63&gt;$L$5/10*3,"7",IF(H63&gt;$L$5/10*2,"8",IF(H63&gt;$L$5/10,"9","10")))))))))</f>
        <v>7</v>
      </c>
    </row>
    <row r="64" spans="1:9" x14ac:dyDescent="0.55000000000000004">
      <c r="A64">
        <v>63</v>
      </c>
      <c r="B64">
        <f>estuary_data!U64*weights!$C$2</f>
        <v>3.9271760023686396E-2</v>
      </c>
      <c r="C64">
        <f>estuary_data!R64*weights!$C$5</f>
        <v>9.5922757400129302E-2</v>
      </c>
      <c r="D64">
        <f>estuary_data!V64*weights!$C$3</f>
        <v>1.9522229642757242E-2</v>
      </c>
      <c r="E64">
        <f>estuary_data!S64*weights!$C$6</f>
        <v>3.259885612758293E-3</v>
      </c>
      <c r="F64">
        <f>estuary_data!W64*weights!$C$4</f>
        <v>3.1218483041376723E-2</v>
      </c>
      <c r="G64">
        <f>estuary_data!T64*weights!$C$7</f>
        <v>5.8781924977465566E-2</v>
      </c>
      <c r="H64">
        <f>SUM(B64:G64)</f>
        <v>0.24797704069817353</v>
      </c>
      <c r="I64" t="str">
        <f>IF(H64&gt;$L$5/10*9,"1",IF(H64&gt;$L$5/10*8,"2",IF(H64&gt;$L$5/10*7,"3",IF(H64&gt;$L$5/10*6,"4",IF(H64&gt;$L$5/10*5,"5",IF(H64&gt;$L$5/10*4,"6",IF(H64&gt;$L$5/10*3,"7",IF(H64&gt;$L$5/10*2,"8",IF(H64&gt;$L$5/10,"9","10")))))))))</f>
        <v>7</v>
      </c>
    </row>
    <row r="65" spans="1:9" x14ac:dyDescent="0.55000000000000004">
      <c r="A65">
        <v>64</v>
      </c>
      <c r="B65">
        <f>estuary_data!U65*weights!$C$2</f>
        <v>3.1889800455680739E-2</v>
      </c>
      <c r="C65">
        <f>estuary_data!R65*weights!$C$5</f>
        <v>9.4457147100562508E-2</v>
      </c>
      <c r="D65">
        <f>estuary_data!V65*weights!$C$3</f>
        <v>2.1262613658134265E-2</v>
      </c>
      <c r="E65">
        <f>estuary_data!S65*weights!$C$6</f>
        <v>3.7951247831825648E-3</v>
      </c>
      <c r="F65">
        <f>estuary_data!W65*weights!$C$4</f>
        <v>2.4998107779090763E-2</v>
      </c>
      <c r="G65">
        <f>estuary_data!T65*weights!$C$7</f>
        <v>7.719748963660257E-2</v>
      </c>
      <c r="H65">
        <f>SUM(B65:G65)</f>
        <v>0.25360028341325341</v>
      </c>
      <c r="I65" t="str">
        <f>IF(H65&gt;$L$5/10*9,"1",IF(H65&gt;$L$5/10*8,"2",IF(H65&gt;$L$5/10*7,"3",IF(H65&gt;$L$5/10*6,"4",IF(H65&gt;$L$5/10*5,"5",IF(H65&gt;$L$5/10*4,"6",IF(H65&gt;$L$5/10*3,"7",IF(H65&gt;$L$5/10*2,"8",IF(H65&gt;$L$5/10,"9","10")))))))))</f>
        <v>7</v>
      </c>
    </row>
    <row r="66" spans="1:9" x14ac:dyDescent="0.55000000000000004">
      <c r="A66">
        <v>65</v>
      </c>
      <c r="B66">
        <f>estuary_data!U66*weights!$C$2</f>
        <v>3.3734279630308395E-2</v>
      </c>
      <c r="C66">
        <f>estuary_data!R66*weights!$C$5</f>
        <v>8.9734874052136732E-2</v>
      </c>
      <c r="D66">
        <f>estuary_data!V66*weights!$C$3</f>
        <v>1.8448423669911632E-2</v>
      </c>
      <c r="E66">
        <f>estuary_data!S66*weights!$C$6</f>
        <v>4.5996615695606743E-3</v>
      </c>
      <c r="F66">
        <f>estuary_data!W66*weights!$C$4</f>
        <v>2.4398194997129828E-2</v>
      </c>
      <c r="G66">
        <f>estuary_data!T66*weights!$C$7</f>
        <v>7.87334026831287E-2</v>
      </c>
      <c r="H66">
        <f>SUM(B66:G66)</f>
        <v>0.24964883660217599</v>
      </c>
      <c r="I66" t="str">
        <f>IF(H66&gt;$L$5/10*9,"1",IF(H66&gt;$L$5/10*8,"2",IF(H66&gt;$L$5/10*7,"3",IF(H66&gt;$L$5/10*6,"4",IF(H66&gt;$L$5/10*5,"5",IF(H66&gt;$L$5/10*4,"6",IF(H66&gt;$L$5/10*3,"7",IF(H66&gt;$L$5/10*2,"8",IF(H66&gt;$L$5/10,"9","10")))))))))</f>
        <v>7</v>
      </c>
    </row>
    <row r="67" spans="1:9" x14ac:dyDescent="0.55000000000000004">
      <c r="A67">
        <v>66</v>
      </c>
      <c r="B67">
        <f>estuary_data!U67*weights!$C$2</f>
        <v>3.4114999563881851E-2</v>
      </c>
      <c r="C67">
        <f>estuary_data!R67*weights!$C$5</f>
        <v>9.46503979262074E-2</v>
      </c>
      <c r="D67">
        <f>estuary_data!V67*weights!$C$3</f>
        <v>1.7834091047290775E-2</v>
      </c>
      <c r="E67">
        <f>estuary_data!S67*weights!$C$6</f>
        <v>6.6670462272271974E-3</v>
      </c>
      <c r="F67">
        <f>estuary_data!W67*weights!$C$4</f>
        <v>1.9830937520121907E-2</v>
      </c>
      <c r="G67">
        <f>estuary_data!T67*weights!$C$7</f>
        <v>6.5459428564632327E-2</v>
      </c>
      <c r="H67">
        <f>SUM(B67:G67)</f>
        <v>0.23855690084936146</v>
      </c>
      <c r="I67" t="str">
        <f>IF(H67&gt;$L$5/10*9,"1",IF(H67&gt;$L$5/10*8,"2",IF(H67&gt;$L$5/10*7,"3",IF(H67&gt;$L$5/10*6,"4",IF(H67&gt;$L$5/10*5,"5",IF(H67&gt;$L$5/10*4,"6",IF(H67&gt;$L$5/10*3,"7",IF(H67&gt;$L$5/10*2,"8",IF(H67&gt;$L$5/10,"9","10")))))))))</f>
        <v>7</v>
      </c>
    </row>
    <row r="68" spans="1:9" x14ac:dyDescent="0.55000000000000004">
      <c r="A68">
        <v>67</v>
      </c>
      <c r="B68">
        <f>estuary_data!U68*weights!$C$2</f>
        <v>3.2600420085132968E-2</v>
      </c>
      <c r="C68">
        <f>estuary_data!R68*weights!$C$5</f>
        <v>9.7208571551289327E-2</v>
      </c>
      <c r="D68">
        <f>estuary_data!V68*weights!$C$3</f>
        <v>1.6321356612092545E-2</v>
      </c>
      <c r="E68">
        <f>estuary_data!S68*weights!$C$6</f>
        <v>6.8282581940193824E-3</v>
      </c>
      <c r="F68">
        <f>estuary_data!W68*weights!$C$4</f>
        <v>1.4423729510327124E-2</v>
      </c>
      <c r="G68">
        <f>estuary_data!T68*weights!$C$7</f>
        <v>6.6027627632383915E-2</v>
      </c>
      <c r="H68">
        <f>SUM(B68:G68)</f>
        <v>0.23340996358524524</v>
      </c>
      <c r="I68" t="str">
        <f>IF(H68&gt;$L$5/10*9,"1",IF(H68&gt;$L$5/10*8,"2",IF(H68&gt;$L$5/10*7,"3",IF(H68&gt;$L$5/10*6,"4",IF(H68&gt;$L$5/10*5,"5",IF(H68&gt;$L$5/10*4,"6",IF(H68&gt;$L$5/10*3,"7",IF(H68&gt;$L$5/10*2,"8",IF(H68&gt;$L$5/10,"9","10")))))))))</f>
        <v>7</v>
      </c>
    </row>
    <row r="69" spans="1:9" x14ac:dyDescent="0.55000000000000004">
      <c r="A69">
        <v>68</v>
      </c>
      <c r="B69">
        <f>estuary_data!U69*weights!$C$2</f>
        <v>3.2144794649057798E-2</v>
      </c>
      <c r="C69">
        <f>estuary_data!R69*weights!$C$5</f>
        <v>9.9234684127863224E-2</v>
      </c>
      <c r="D69">
        <f>estuary_data!V69*weights!$C$3</f>
        <v>1.7695407921362795E-2</v>
      </c>
      <c r="E69">
        <f>estuary_data!S69*weights!$C$6</f>
        <v>7.4643124728179496E-3</v>
      </c>
      <c r="F69">
        <f>estuary_data!W69*weights!$C$4</f>
        <v>1.5809892818467636E-2</v>
      </c>
      <c r="G69">
        <f>estuary_data!T69*weights!$C$7</f>
        <v>6.6798604860456134E-2</v>
      </c>
      <c r="H69">
        <f>SUM(B69:G69)</f>
        <v>0.23914769685002554</v>
      </c>
      <c r="I69" t="str">
        <f>IF(H69&gt;$L$5/10*9,"1",IF(H69&gt;$L$5/10*8,"2",IF(H69&gt;$L$5/10*7,"3",IF(H69&gt;$L$5/10*6,"4",IF(H69&gt;$L$5/10*5,"5",IF(H69&gt;$L$5/10*4,"6",IF(H69&gt;$L$5/10*3,"7",IF(H69&gt;$L$5/10*2,"8",IF(H69&gt;$L$5/10,"9","10")))))))))</f>
        <v>7</v>
      </c>
    </row>
    <row r="70" spans="1:9" x14ac:dyDescent="0.55000000000000004">
      <c r="A70">
        <v>69</v>
      </c>
      <c r="B70">
        <f>estuary_data!U70*weights!$C$2</f>
        <v>3.1766870258936451E-2</v>
      </c>
      <c r="C70">
        <f>estuary_data!R70*weights!$C$5</f>
        <v>9.9095674199423847E-2</v>
      </c>
      <c r="D70">
        <f>estuary_data!V70*weights!$C$3</f>
        <v>1.6046686589922241E-2</v>
      </c>
      <c r="E70">
        <f>estuary_data!S70*weights!$C$6</f>
        <v>8.3493952360292716E-3</v>
      </c>
      <c r="F70">
        <f>estuary_data!W70*weights!$C$4</f>
        <v>1.3725028559595653E-2</v>
      </c>
      <c r="G70">
        <f>estuary_data!T70*weights!$C$7</f>
        <v>0.14259390344685771</v>
      </c>
      <c r="H70">
        <f>SUM(B70:G70)</f>
        <v>0.31157755829076517</v>
      </c>
      <c r="I70" t="str">
        <f>IF(H70&gt;$L$5/10*9,"1",IF(H70&gt;$L$5/10*8,"2",IF(H70&gt;$L$5/10*7,"3",IF(H70&gt;$L$5/10*6,"4",IF(H70&gt;$L$5/10*5,"5",IF(H70&gt;$L$5/10*4,"6",IF(H70&gt;$L$5/10*3,"7",IF(H70&gt;$L$5/10*2,"8",IF(H70&gt;$L$5/10,"9","10")))))))))</f>
        <v>6</v>
      </c>
    </row>
    <row r="71" spans="1:9" x14ac:dyDescent="0.55000000000000004">
      <c r="A71">
        <v>70</v>
      </c>
      <c r="B71">
        <f>estuary_data!U71*weights!$C$2</f>
        <v>3.5850388647453151E-2</v>
      </c>
      <c r="C71">
        <f>estuary_data!R71*weights!$C$5</f>
        <v>0.10176496363385953</v>
      </c>
      <c r="D71">
        <f>estuary_data!V71*weights!$C$3</f>
        <v>1.4788971986480453E-2</v>
      </c>
      <c r="E71">
        <f>estuary_data!S71*weights!$C$6</f>
        <v>7.1019862846586667E-3</v>
      </c>
      <c r="F71">
        <f>estuary_data!W71*weights!$C$4</f>
        <v>1.0559080677541714E-2</v>
      </c>
      <c r="G71">
        <f>estuary_data!T71*weights!$C$7</f>
        <v>6.511670491807646E-2</v>
      </c>
      <c r="H71">
        <f>SUM(B71:G71)</f>
        <v>0.23518209614807001</v>
      </c>
      <c r="I71" t="str">
        <f>IF(H71&gt;$L$5/10*9,"1",IF(H71&gt;$L$5/10*8,"2",IF(H71&gt;$L$5/10*7,"3",IF(H71&gt;$L$5/10*6,"4",IF(H71&gt;$L$5/10*5,"5",IF(H71&gt;$L$5/10*4,"6",IF(H71&gt;$L$5/10*3,"7",IF(H71&gt;$L$5/10*2,"8",IF(H71&gt;$L$5/10,"9","10")))))))))</f>
        <v>7</v>
      </c>
    </row>
    <row r="72" spans="1:9" x14ac:dyDescent="0.55000000000000004">
      <c r="A72">
        <v>71</v>
      </c>
      <c r="B72">
        <f>estuary_data!U72*weights!$C$2</f>
        <v>7.9211675267620518E-2</v>
      </c>
      <c r="C72">
        <f>estuary_data!R72*weights!$C$5</f>
        <v>8.2568102077776054E-2</v>
      </c>
      <c r="D72">
        <f>estuary_data!V72*weights!$C$3</f>
        <v>3.7965820251947766E-2</v>
      </c>
      <c r="E72">
        <f>estuary_data!S72*weights!$C$6</f>
        <v>1.7941192267858043E-2</v>
      </c>
      <c r="F72">
        <f>estuary_data!W72*weights!$C$4</f>
        <v>0.16345272250350648</v>
      </c>
      <c r="G72">
        <f>estuary_data!T72*weights!$C$7</f>
        <v>7.1951996355861525E-2</v>
      </c>
      <c r="H72">
        <f>SUM(B72:G72)</f>
        <v>0.45309150872457038</v>
      </c>
      <c r="I72" t="str">
        <f>IF(H72&gt;$L$5/10*9,"1",IF(H72&gt;$L$5/10*8,"2",IF(H72&gt;$L$5/10*7,"3",IF(H72&gt;$L$5/10*6,"4",IF(H72&gt;$L$5/10*5,"5",IF(H72&gt;$L$5/10*4,"6",IF(H72&gt;$L$5/10*3,"7",IF(H72&gt;$L$5/10*2,"8",IF(H72&gt;$L$5/10,"9","10")))))))))</f>
        <v>4</v>
      </c>
    </row>
    <row r="73" spans="1:9" x14ac:dyDescent="0.55000000000000004">
      <c r="A73">
        <v>72</v>
      </c>
      <c r="B73">
        <f>estuary_data!U73*weights!$C$2</f>
        <v>8.1719487974302077E-2</v>
      </c>
      <c r="C73">
        <f>estuary_data!R73*weights!$C$5</f>
        <v>8.4151893345977627E-2</v>
      </c>
      <c r="D73">
        <f>estuary_data!V73*weights!$C$3</f>
        <v>3.6041388284426885E-2</v>
      </c>
      <c r="E73">
        <f>estuary_data!S73*weights!$C$6</f>
        <v>1.756223615094293E-2</v>
      </c>
      <c r="F73">
        <f>estuary_data!W73*weights!$C$4</f>
        <v>0.15526706724889158</v>
      </c>
      <c r="G73">
        <f>estuary_data!T73*weights!$C$7</f>
        <v>7.1946885384917433E-2</v>
      </c>
      <c r="H73">
        <f>SUM(B73:G73)</f>
        <v>0.44668895838945855</v>
      </c>
      <c r="I73" t="str">
        <f>IF(H73&gt;$L$5/10*9,"1",IF(H73&gt;$L$5/10*8,"2",IF(H73&gt;$L$5/10*7,"3",IF(H73&gt;$L$5/10*6,"4",IF(H73&gt;$L$5/10*5,"5",IF(H73&gt;$L$5/10*4,"6",IF(H73&gt;$L$5/10*3,"7",IF(H73&gt;$L$5/10*2,"8",IF(H73&gt;$L$5/10,"9","10")))))))))</f>
        <v>4</v>
      </c>
    </row>
    <row r="74" spans="1:9" x14ac:dyDescent="0.55000000000000004">
      <c r="A74">
        <v>73</v>
      </c>
      <c r="B74">
        <f>estuary_data!U74*weights!$C$2</f>
        <v>8.4333122983153E-2</v>
      </c>
      <c r="C74">
        <f>estuary_data!R74*weights!$C$5</f>
        <v>9.0694887134275134E-2</v>
      </c>
      <c r="D74">
        <f>estuary_data!V74*weights!$C$3</f>
        <v>3.074760775012644E-2</v>
      </c>
      <c r="E74">
        <f>estuary_data!S74*weights!$C$6</f>
        <v>1.8712848547196785E-2</v>
      </c>
      <c r="F74">
        <f>estuary_data!W74*weights!$C$4</f>
        <v>0.13375615035757463</v>
      </c>
      <c r="G74">
        <f>estuary_data!T74*weights!$C$7</f>
        <v>7.8402720564219763E-2</v>
      </c>
      <c r="H74">
        <f>SUM(B74:G74)</f>
        <v>0.43664733733654576</v>
      </c>
      <c r="I74" t="str">
        <f>IF(H74&gt;$L$5/10*9,"1",IF(H74&gt;$L$5/10*8,"2",IF(H74&gt;$L$5/10*7,"3",IF(H74&gt;$L$5/10*6,"4",IF(H74&gt;$L$5/10*5,"5",IF(H74&gt;$L$5/10*4,"6",IF(H74&gt;$L$5/10*3,"7",IF(H74&gt;$L$5/10*2,"8",IF(H74&gt;$L$5/10,"9","10")))))))))</f>
        <v>4</v>
      </c>
    </row>
    <row r="75" spans="1:9" x14ac:dyDescent="0.55000000000000004">
      <c r="A75">
        <v>74</v>
      </c>
      <c r="B75">
        <f>estuary_data!U75*weights!$C$2</f>
        <v>3.6805591938038687E-2</v>
      </c>
      <c r="C75">
        <f>estuary_data!R75*weights!$C$5</f>
        <v>7.123086103602623E-2</v>
      </c>
      <c r="D75">
        <f>estuary_data!V75*weights!$C$3</f>
        <v>3.2301529003571083E-2</v>
      </c>
      <c r="E75">
        <f>estuary_data!S75*weights!$C$6</f>
        <v>3.0914488557971669E-2</v>
      </c>
      <c r="F75">
        <f>estuary_data!W75*weights!$C$4</f>
        <v>8.3894607052105316E-2</v>
      </c>
      <c r="G75">
        <f>estuary_data!T75*weights!$C$7</f>
        <v>2.7359958625860541E-2</v>
      </c>
      <c r="H75">
        <f>SUM(B75:G75)</f>
        <v>0.28250703621357354</v>
      </c>
      <c r="I75" t="str">
        <f>IF(H75&gt;$L$5/10*9,"1",IF(H75&gt;$L$5/10*8,"2",IF(H75&gt;$L$5/10*7,"3",IF(H75&gt;$L$5/10*6,"4",IF(H75&gt;$L$5/10*5,"5",IF(H75&gt;$L$5/10*4,"6",IF(H75&gt;$L$5/10*3,"7",IF(H75&gt;$L$5/10*2,"8",IF(H75&gt;$L$5/10,"9","10")))))))))</f>
        <v>6</v>
      </c>
    </row>
    <row r="76" spans="1:9" x14ac:dyDescent="0.55000000000000004">
      <c r="A76">
        <v>75</v>
      </c>
      <c r="B76">
        <f>estuary_data!U76*weights!$C$2</f>
        <v>4.2922155832458155E-2</v>
      </c>
      <c r="C76">
        <f>estuary_data!R76*weights!$C$5</f>
        <v>7.5875680809304805E-2</v>
      </c>
      <c r="D76">
        <f>estuary_data!V76*weights!$C$3</f>
        <v>3.1059996988478826E-2</v>
      </c>
      <c r="E76">
        <f>estuary_data!S76*weights!$C$6</f>
        <v>1.9505162043652872E-2</v>
      </c>
      <c r="F76">
        <f>estuary_data!W76*weights!$C$4</f>
        <v>9.4769285545527521E-2</v>
      </c>
      <c r="G76">
        <f>estuary_data!T76*weights!$C$7</f>
        <v>3.9289015206721463E-3</v>
      </c>
      <c r="H76">
        <f>SUM(B76:G76)</f>
        <v>0.26806118274009438</v>
      </c>
      <c r="I76" t="str">
        <f>IF(H76&gt;$L$5/10*9,"1",IF(H76&gt;$L$5/10*8,"2",IF(H76&gt;$L$5/10*7,"3",IF(H76&gt;$L$5/10*6,"4",IF(H76&gt;$L$5/10*5,"5",IF(H76&gt;$L$5/10*4,"6",IF(H76&gt;$L$5/10*3,"7",IF(H76&gt;$L$5/10*2,"8",IF(H76&gt;$L$5/10,"9","10")))))))))</f>
        <v>6</v>
      </c>
    </row>
    <row r="77" spans="1:9" x14ac:dyDescent="0.55000000000000004">
      <c r="A77">
        <v>76</v>
      </c>
      <c r="B77">
        <f>estuary_data!U77*weights!$C$2</f>
        <v>7.9931643363038762E-2</v>
      </c>
      <c r="C77">
        <f>estuary_data!R77*weights!$C$5</f>
        <v>0.10839375066678819</v>
      </c>
      <c r="D77">
        <f>estuary_data!V77*weights!$C$3</f>
        <v>4.4192246823067938E-2</v>
      </c>
      <c r="E77">
        <f>estuary_data!S77*weights!$C$6</f>
        <v>8.0467404187864315E-4</v>
      </c>
      <c r="F77">
        <f>estuary_data!W77*weights!$C$4</f>
        <v>0.15031998223586046</v>
      </c>
      <c r="G77">
        <f>estuary_data!T77*weights!$C$7</f>
        <v>5.6982452023129092E-2</v>
      </c>
      <c r="H77">
        <f>SUM(B77:G77)</f>
        <v>0.4406247491537631</v>
      </c>
      <c r="I77" t="str">
        <f>IF(H77&gt;$L$5/10*9,"1",IF(H77&gt;$L$5/10*8,"2",IF(H77&gt;$L$5/10*7,"3",IF(H77&gt;$L$5/10*6,"4",IF(H77&gt;$L$5/10*5,"5",IF(H77&gt;$L$5/10*4,"6",IF(H77&gt;$L$5/10*3,"7",IF(H77&gt;$L$5/10*2,"8",IF(H77&gt;$L$5/10,"9","10")))))))))</f>
        <v>4</v>
      </c>
    </row>
    <row r="78" spans="1:9" x14ac:dyDescent="0.55000000000000004">
      <c r="A78">
        <v>77</v>
      </c>
      <c r="B78">
        <f>estuary_data!U78*weights!$C$2</f>
        <v>8.5802818910039741E-2</v>
      </c>
      <c r="C78">
        <f>estuary_data!R78*weights!$C$5</f>
        <v>9.8494401223283692E-2</v>
      </c>
      <c r="D78">
        <f>estuary_data!V78*weights!$C$3</f>
        <v>3.1718837536458239E-2</v>
      </c>
      <c r="E78">
        <f>estuary_data!S78*weights!$C$6</f>
        <v>1.3925179544747431E-2</v>
      </c>
      <c r="F78">
        <f>estuary_data!W78*weights!$C$4</f>
        <v>0.11384558734965138</v>
      </c>
      <c r="G78">
        <f>estuary_data!T78*weights!$C$7</f>
        <v>7.6612875014893278E-2</v>
      </c>
      <c r="H78">
        <f>SUM(B78:G78)</f>
        <v>0.42039969957907375</v>
      </c>
      <c r="I78" t="str">
        <f>IF(H78&gt;$L$5/10*9,"1",IF(H78&gt;$L$5/10*8,"2",IF(H78&gt;$L$5/10*7,"3",IF(H78&gt;$L$5/10*6,"4",IF(H78&gt;$L$5/10*5,"5",IF(H78&gt;$L$5/10*4,"6",IF(H78&gt;$L$5/10*3,"7",IF(H78&gt;$L$5/10*2,"8",IF(H78&gt;$L$5/10,"9","10")))))))))</f>
        <v>4</v>
      </c>
    </row>
    <row r="79" spans="1:9" x14ac:dyDescent="0.55000000000000004">
      <c r="A79">
        <v>78</v>
      </c>
      <c r="B79">
        <f>estuary_data!U79*weights!$C$2</f>
        <v>8.8632498106241742E-2</v>
      </c>
      <c r="C79">
        <f>estuary_data!R79*weights!$C$5</f>
        <v>9.6770704237372121E-2</v>
      </c>
      <c r="D79">
        <f>estuary_data!V79*weights!$C$3</f>
        <v>2.9495028214451199E-2</v>
      </c>
      <c r="E79">
        <f>estuary_data!S79*weights!$C$6</f>
        <v>1.7129888186559094E-2</v>
      </c>
      <c r="F79">
        <f>estuary_data!W79*weights!$C$4</f>
        <v>0.11269969362348553</v>
      </c>
      <c r="G79">
        <f>estuary_data!T79*weights!$C$7</f>
        <v>8.1250181320721926E-2</v>
      </c>
      <c r="H79">
        <f>SUM(B79:G79)</f>
        <v>0.4259779936888316</v>
      </c>
      <c r="I79" t="str">
        <f>IF(H79&gt;$L$5/10*9,"1",IF(H79&gt;$L$5/10*8,"2",IF(H79&gt;$L$5/10*7,"3",IF(H79&gt;$L$5/10*6,"4",IF(H79&gt;$L$5/10*5,"5",IF(H79&gt;$L$5/10*4,"6",IF(H79&gt;$L$5/10*3,"7",IF(H79&gt;$L$5/10*2,"8",IF(H79&gt;$L$5/10,"9","10")))))))))</f>
        <v>4</v>
      </c>
    </row>
    <row r="80" spans="1:9" x14ac:dyDescent="0.55000000000000004">
      <c r="A80">
        <v>79</v>
      </c>
      <c r="B80">
        <f>estuary_data!U80*weights!$C$2</f>
        <v>7.7251735996651472E-2</v>
      </c>
      <c r="C80">
        <f>estuary_data!R80*weights!$C$5</f>
        <v>8.4121438989804273E-2</v>
      </c>
      <c r="D80">
        <f>estuary_data!V80*weights!$C$3</f>
        <v>4.1175290044275059E-2</v>
      </c>
      <c r="E80">
        <f>estuary_data!S80*weights!$C$6</f>
        <v>8.8120995677703415E-3</v>
      </c>
      <c r="F80">
        <f>estuary_data!W80*weights!$C$4</f>
        <v>0.17203438507205529</v>
      </c>
      <c r="G80">
        <f>estuary_data!T80*weights!$C$7</f>
        <v>5.7356753573275333E-2</v>
      </c>
      <c r="H80">
        <f>SUM(B80:G80)</f>
        <v>0.44075170324383178</v>
      </c>
      <c r="I80" t="str">
        <f>IF(H80&gt;$L$5/10*9,"1",IF(H80&gt;$L$5/10*8,"2",IF(H80&gt;$L$5/10*7,"3",IF(H80&gt;$L$5/10*6,"4",IF(H80&gt;$L$5/10*5,"5",IF(H80&gt;$L$5/10*4,"6",IF(H80&gt;$L$5/10*3,"7",IF(H80&gt;$L$5/10*2,"8",IF(H80&gt;$L$5/10,"9","10")))))))))</f>
        <v>4</v>
      </c>
    </row>
    <row r="81" spans="1:9" x14ac:dyDescent="0.55000000000000004">
      <c r="A81">
        <v>80</v>
      </c>
      <c r="B81">
        <f>estuary_data!U81*weights!$C$2</f>
        <v>7.6590542795544045E-2</v>
      </c>
      <c r="C81">
        <f>estuary_data!R81*weights!$C$5</f>
        <v>8.2192598338866107E-2</v>
      </c>
      <c r="D81">
        <f>estuary_data!V81*weights!$C$3</f>
        <v>3.8765550120949649E-2</v>
      </c>
      <c r="E81">
        <f>estuary_data!S81*weights!$C$6</f>
        <v>1.3725047842562088E-2</v>
      </c>
      <c r="F81">
        <f>estuary_data!W81*weights!$C$4</f>
        <v>0.16983025072316332</v>
      </c>
      <c r="G81">
        <f>estuary_data!T81*weights!$C$7</f>
        <v>6.4408908988655381E-2</v>
      </c>
      <c r="H81">
        <f>SUM(B81:G81)</f>
        <v>0.4455128988097406</v>
      </c>
      <c r="I81" t="str">
        <f>IF(H81&gt;$L$5/10*9,"1",IF(H81&gt;$L$5/10*8,"2",IF(H81&gt;$L$5/10*7,"3",IF(H81&gt;$L$5/10*6,"4",IF(H81&gt;$L$5/10*5,"5",IF(H81&gt;$L$5/10*4,"6",IF(H81&gt;$L$5/10*3,"7",IF(H81&gt;$L$5/10*2,"8",IF(H81&gt;$L$5/10,"9","10")))))))))</f>
        <v>4</v>
      </c>
    </row>
    <row r="82" spans="1:9" x14ac:dyDescent="0.55000000000000004">
      <c r="A82">
        <v>81</v>
      </c>
      <c r="B82">
        <f>estuary_data!U82*weights!$C$2</f>
        <v>7.6119206962493358E-2</v>
      </c>
      <c r="C82">
        <f>estuary_data!R82*weights!$C$5</f>
        <v>8.2690306391602422E-2</v>
      </c>
      <c r="D82">
        <f>estuary_data!V82*weights!$C$3</f>
        <v>4.0826755409297574E-2</v>
      </c>
      <c r="E82">
        <f>estuary_data!S82*weights!$C$6</f>
        <v>1.1611446553034222E-2</v>
      </c>
      <c r="F82">
        <f>estuary_data!W82*weights!$C$4</f>
        <v>0.17436984329964686</v>
      </c>
      <c r="G82">
        <f>estuary_data!T82*weights!$C$7</f>
        <v>6.0809579307041617E-2</v>
      </c>
      <c r="H82">
        <f>SUM(B82:G82)</f>
        <v>0.44642713792311606</v>
      </c>
      <c r="I82" t="str">
        <f>IF(H82&gt;$L$5/10*9,"1",IF(H82&gt;$L$5/10*8,"2",IF(H82&gt;$L$5/10*7,"3",IF(H82&gt;$L$5/10*6,"4",IF(H82&gt;$L$5/10*5,"5",IF(H82&gt;$L$5/10*4,"6",IF(H82&gt;$L$5/10*3,"7",IF(H82&gt;$L$5/10*2,"8",IF(H82&gt;$L$5/10,"9","10")))))))))</f>
        <v>4</v>
      </c>
    </row>
    <row r="83" spans="1:9" x14ac:dyDescent="0.55000000000000004">
      <c r="A83">
        <v>82</v>
      </c>
      <c r="B83">
        <f>estuary_data!U83*weights!$C$2</f>
        <v>8.750784896688947E-2</v>
      </c>
      <c r="C83">
        <f>estuary_data!R83*weights!$C$5</f>
        <v>8.406972750358481E-2</v>
      </c>
      <c r="D83">
        <f>estuary_data!V83*weights!$C$3</f>
        <v>4.418889682079595E-2</v>
      </c>
      <c r="E83">
        <f>estuary_data!S83*weights!$C$6</f>
        <v>8.3232209510911495E-3</v>
      </c>
      <c r="F83">
        <f>estuary_data!W83*weights!$C$4</f>
        <v>0.19494550828831883</v>
      </c>
      <c r="G83">
        <f>estuary_data!T83*weights!$C$7</f>
        <v>5.5592329312549919E-2</v>
      </c>
      <c r="H83">
        <f>SUM(B83:G83)</f>
        <v>0.47462753184323014</v>
      </c>
      <c r="I83" t="str">
        <f>IF(H83&gt;$L$5/10*9,"1",IF(H83&gt;$L$5/10*8,"2",IF(H83&gt;$L$5/10*7,"3",IF(H83&gt;$L$5/10*6,"4",IF(H83&gt;$L$5/10*5,"5",IF(H83&gt;$L$5/10*4,"6",IF(H83&gt;$L$5/10*3,"7",IF(H83&gt;$L$5/10*2,"8",IF(H83&gt;$L$5/10,"9","10")))))))))</f>
        <v>3</v>
      </c>
    </row>
    <row r="84" spans="1:9" x14ac:dyDescent="0.55000000000000004">
      <c r="A84">
        <v>83</v>
      </c>
      <c r="B84">
        <f>estuary_data!U84*weights!$C$2</f>
        <v>7.3278502293237471E-2</v>
      </c>
      <c r="C84">
        <f>estuary_data!R84*weights!$C$5</f>
        <v>9.4135484327912522E-2</v>
      </c>
      <c r="D84">
        <f>estuary_data!V84*weights!$C$3</f>
        <v>3.6816197746367768E-2</v>
      </c>
      <c r="E84">
        <f>estuary_data!S84*weights!$C$6</f>
        <v>1.2415046154370932E-2</v>
      </c>
      <c r="F84">
        <f>estuary_data!W84*weights!$C$4</f>
        <v>0.1812463393216921</v>
      </c>
      <c r="G84">
        <f>estuary_data!T84*weights!$C$7</f>
        <v>9.4074323121216316E-2</v>
      </c>
      <c r="H84">
        <f>SUM(B84:G84)</f>
        <v>0.49196589296479709</v>
      </c>
      <c r="I84" t="str">
        <f>IF(H84&gt;$L$5/10*9,"1",IF(H84&gt;$L$5/10*8,"2",IF(H84&gt;$L$5/10*7,"3",IF(H84&gt;$L$5/10*6,"4",IF(H84&gt;$L$5/10*5,"5",IF(H84&gt;$L$5/10*4,"6",IF(H84&gt;$L$5/10*3,"7",IF(H84&gt;$L$5/10*2,"8",IF(H84&gt;$L$5/10,"9","10")))))))))</f>
        <v>3</v>
      </c>
    </row>
    <row r="85" spans="1:9" x14ac:dyDescent="0.55000000000000004">
      <c r="A85">
        <v>84</v>
      </c>
      <c r="B85">
        <f>estuary_data!U85*weights!$C$2</f>
        <v>6.9874979950325419E-2</v>
      </c>
      <c r="C85">
        <f>estuary_data!R85*weights!$C$5</f>
        <v>9.3927239998966086E-2</v>
      </c>
      <c r="D85">
        <f>estuary_data!V85*weights!$C$3</f>
        <v>3.8059749787674541E-2</v>
      </c>
      <c r="E85">
        <f>estuary_data!S85*weights!$C$6</f>
        <v>1.3089126080344923E-2</v>
      </c>
      <c r="F85">
        <f>estuary_data!W85*weights!$C$4</f>
        <v>0.18171350278835743</v>
      </c>
      <c r="G85">
        <f>estuary_data!T85*weights!$C$7</f>
        <v>9.5175364897134643E-2</v>
      </c>
      <c r="H85">
        <f>SUM(B85:G85)</f>
        <v>0.49183996350280301</v>
      </c>
      <c r="I85" t="str">
        <f>IF(H85&gt;$L$5/10*9,"1",IF(H85&gt;$L$5/10*8,"2",IF(H85&gt;$L$5/10*7,"3",IF(H85&gt;$L$5/10*6,"4",IF(H85&gt;$L$5/10*5,"5",IF(H85&gt;$L$5/10*4,"6",IF(H85&gt;$L$5/10*3,"7",IF(H85&gt;$L$5/10*2,"8",IF(H85&gt;$L$5/10,"9","10")))))))))</f>
        <v>3</v>
      </c>
    </row>
    <row r="86" spans="1:9" x14ac:dyDescent="0.55000000000000004">
      <c r="A86">
        <v>85</v>
      </c>
      <c r="B86">
        <f>estuary_data!U86*weights!$C$2</f>
        <v>7.5025249539918237E-2</v>
      </c>
      <c r="C86">
        <f>estuary_data!R86*weights!$C$5</f>
        <v>9.351170587239048E-2</v>
      </c>
      <c r="D86">
        <f>estuary_data!V86*weights!$C$3</f>
        <v>3.6503476952664489E-2</v>
      </c>
      <c r="E86">
        <f>estuary_data!S86*weights!$C$6</f>
        <v>1.2987415908629164E-2</v>
      </c>
      <c r="F86">
        <f>estuary_data!W86*weights!$C$4</f>
        <v>0.17893054202123201</v>
      </c>
      <c r="G86">
        <f>estuary_data!T86*weights!$C$7</f>
        <v>9.4657077198574024E-2</v>
      </c>
      <c r="H86">
        <f>SUM(B86:G86)</f>
        <v>0.4916154674934084</v>
      </c>
      <c r="I86" t="str">
        <f>IF(H86&gt;$L$5/10*9,"1",IF(H86&gt;$L$5/10*8,"2",IF(H86&gt;$L$5/10*7,"3",IF(H86&gt;$L$5/10*6,"4",IF(H86&gt;$L$5/10*5,"5",IF(H86&gt;$L$5/10*4,"6",IF(H86&gt;$L$5/10*3,"7",IF(H86&gt;$L$5/10*2,"8",IF(H86&gt;$L$5/10,"9","10")))))))))</f>
        <v>3</v>
      </c>
    </row>
    <row r="87" spans="1:9" x14ac:dyDescent="0.55000000000000004">
      <c r="A87">
        <v>86</v>
      </c>
      <c r="B87">
        <f>estuary_data!U87*weights!$C$2</f>
        <v>6.8741709328850098E-2</v>
      </c>
      <c r="C87">
        <f>estuary_data!R87*weights!$C$5</f>
        <v>9.1630753516574168E-2</v>
      </c>
      <c r="D87">
        <f>estuary_data!V87*weights!$C$3</f>
        <v>3.1017982295163997E-2</v>
      </c>
      <c r="E87">
        <f>estuary_data!S87*weights!$C$6</f>
        <v>1.3163827338669363E-2</v>
      </c>
      <c r="F87">
        <f>estuary_data!W87*weights!$C$4</f>
        <v>0.15404808499654965</v>
      </c>
      <c r="G87">
        <f>estuary_data!T87*weights!$C$7</f>
        <v>9.3983914635517113E-2</v>
      </c>
      <c r="H87">
        <f>SUM(B87:G87)</f>
        <v>0.45258627211132441</v>
      </c>
      <c r="I87" t="str">
        <f>IF(H87&gt;$L$5/10*9,"1",IF(H87&gt;$L$5/10*8,"2",IF(H87&gt;$L$5/10*7,"3",IF(H87&gt;$L$5/10*6,"4",IF(H87&gt;$L$5/10*5,"5",IF(H87&gt;$L$5/10*4,"6",IF(H87&gt;$L$5/10*3,"7",IF(H87&gt;$L$5/10*2,"8",IF(H87&gt;$L$5/10,"9","10")))))))))</f>
        <v>4</v>
      </c>
    </row>
    <row r="88" spans="1:9" x14ac:dyDescent="0.55000000000000004">
      <c r="A88">
        <v>87</v>
      </c>
      <c r="B88">
        <f>estuary_data!U88*weights!$C$2</f>
        <v>7.0438187382219339E-2</v>
      </c>
      <c r="C88">
        <f>estuary_data!R88*weights!$C$5</f>
        <v>9.1576863778247711E-2</v>
      </c>
      <c r="D88">
        <f>estuary_data!V88*weights!$C$3</f>
        <v>3.1128202912317281E-2</v>
      </c>
      <c r="E88">
        <f>estuary_data!S88*weights!$C$6</f>
        <v>1.3113895576514566E-2</v>
      </c>
      <c r="F88">
        <f>estuary_data!W88*weights!$C$4</f>
        <v>0.1550387626108411</v>
      </c>
      <c r="G88">
        <f>estuary_data!T88*weights!$C$7</f>
        <v>9.3608965923533391E-2</v>
      </c>
      <c r="H88">
        <f>SUM(B88:G88)</f>
        <v>0.45490487818367342</v>
      </c>
      <c r="I88" t="str">
        <f>IF(H88&gt;$L$5/10*9,"1",IF(H88&gt;$L$5/10*8,"2",IF(H88&gt;$L$5/10*7,"3",IF(H88&gt;$L$5/10*6,"4",IF(H88&gt;$L$5/10*5,"5",IF(H88&gt;$L$5/10*4,"6",IF(H88&gt;$L$5/10*3,"7",IF(H88&gt;$L$5/10*2,"8",IF(H88&gt;$L$5/10,"9","10")))))))))</f>
        <v>4</v>
      </c>
    </row>
    <row r="89" spans="1:9" x14ac:dyDescent="0.55000000000000004">
      <c r="A89">
        <v>88</v>
      </c>
      <c r="B89">
        <f>estuary_data!U89*weights!$C$2</f>
        <v>7.4768959973574883E-2</v>
      </c>
      <c r="C89">
        <f>estuary_data!R89*weights!$C$5</f>
        <v>9.2166483787346445E-2</v>
      </c>
      <c r="D89">
        <f>estuary_data!V89*weights!$C$3</f>
        <v>3.2496183756063279E-2</v>
      </c>
      <c r="E89">
        <f>estuary_data!S89*weights!$C$6</f>
        <v>1.3869184850530101E-2</v>
      </c>
      <c r="F89">
        <f>estuary_data!W89*weights!$C$4</f>
        <v>0.16408681736624259</v>
      </c>
      <c r="G89">
        <f>estuary_data!T89*weights!$C$7</f>
        <v>9.4602729946067457E-2</v>
      </c>
      <c r="H89">
        <f>SUM(B89:G89)</f>
        <v>0.47199035967982472</v>
      </c>
      <c r="I89" t="str">
        <f>IF(H89&gt;$L$5/10*9,"1",IF(H89&gt;$L$5/10*8,"2",IF(H89&gt;$L$5/10*7,"3",IF(H89&gt;$L$5/10*6,"4",IF(H89&gt;$L$5/10*5,"5",IF(H89&gt;$L$5/10*4,"6",IF(H89&gt;$L$5/10*3,"7",IF(H89&gt;$L$5/10*2,"8",IF(H89&gt;$L$5/10,"9","10")))))))))</f>
        <v>3</v>
      </c>
    </row>
    <row r="90" spans="1:9" x14ac:dyDescent="0.55000000000000004">
      <c r="A90">
        <v>89</v>
      </c>
      <c r="B90">
        <f>estuary_data!U90*weights!$C$2</f>
        <v>6.8510318635174455E-2</v>
      </c>
      <c r="C90">
        <f>estuary_data!R90*weights!$C$5</f>
        <v>9.2034922673813843E-2</v>
      </c>
      <c r="D90">
        <f>estuary_data!V90*weights!$C$3</f>
        <v>2.7939499118163846E-2</v>
      </c>
      <c r="E90">
        <f>estuary_data!S90*weights!$C$6</f>
        <v>1.156073824152495E-2</v>
      </c>
      <c r="F90">
        <f>estuary_data!W90*weights!$C$4</f>
        <v>0.13454462490948982</v>
      </c>
      <c r="G90">
        <f>estuary_data!T90*weights!$C$7</f>
        <v>8.5548575861966708E-2</v>
      </c>
      <c r="H90">
        <f>SUM(B90:G90)</f>
        <v>0.42013867944013361</v>
      </c>
      <c r="I90" t="str">
        <f>IF(H90&gt;$L$5/10*9,"1",IF(H90&gt;$L$5/10*8,"2",IF(H90&gt;$L$5/10*7,"3",IF(H90&gt;$L$5/10*6,"4",IF(H90&gt;$L$5/10*5,"5",IF(H90&gt;$L$5/10*4,"6",IF(H90&gt;$L$5/10*3,"7",IF(H90&gt;$L$5/10*2,"8",IF(H90&gt;$L$5/10,"9","10")))))))))</f>
        <v>4</v>
      </c>
    </row>
    <row r="91" spans="1:9" x14ac:dyDescent="0.55000000000000004">
      <c r="A91">
        <v>90</v>
      </c>
      <c r="B91">
        <f>estuary_data!U91*weights!$C$2</f>
        <v>5.1777451280529338E-2</v>
      </c>
      <c r="C91">
        <f>estuary_data!R91*weights!$C$5</f>
        <v>9.7782768377874973E-2</v>
      </c>
      <c r="D91">
        <f>estuary_data!V91*weights!$C$3</f>
        <v>2.0631152009379858E-2</v>
      </c>
      <c r="E91">
        <f>estuary_data!S91*weights!$C$6</f>
        <v>7.5987598448373373E-3</v>
      </c>
      <c r="F91">
        <f>estuary_data!W91*weights!$C$4</f>
        <v>7.812608146152912E-2</v>
      </c>
      <c r="G91">
        <f>estuary_data!T91*weights!$C$7</f>
        <v>0.11129174204621091</v>
      </c>
      <c r="H91">
        <f>SUM(B91:G91)</f>
        <v>0.36720795502036158</v>
      </c>
      <c r="I91" t="str">
        <f>IF(H91&gt;$L$5/10*9,"1",IF(H91&gt;$L$5/10*8,"2",IF(H91&gt;$L$5/10*7,"3",IF(H91&gt;$L$5/10*6,"4",IF(H91&gt;$L$5/10*5,"5",IF(H91&gt;$L$5/10*4,"6",IF(H91&gt;$L$5/10*3,"7",IF(H91&gt;$L$5/10*2,"8",IF(H91&gt;$L$5/10,"9","10")))))))))</f>
        <v>5</v>
      </c>
    </row>
    <row r="92" spans="1:9" x14ac:dyDescent="0.55000000000000004">
      <c r="A92">
        <v>91</v>
      </c>
      <c r="B92">
        <f>estuary_data!U92*weights!$C$2</f>
        <v>3.7814247580453854E-2</v>
      </c>
      <c r="C92">
        <f>estuary_data!R92*weights!$C$5</f>
        <v>9.7887628213117944E-2</v>
      </c>
      <c r="D92">
        <f>estuary_data!V92*weights!$C$3</f>
        <v>1.8480353747160162E-2</v>
      </c>
      <c r="E92">
        <f>estuary_data!S92*weights!$C$6</f>
        <v>5.4065638511912751E-3</v>
      </c>
      <c r="F92">
        <f>estuary_data!W92*weights!$C$4</f>
        <v>2.5429899897423395E-2</v>
      </c>
      <c r="G92">
        <f>estuary_data!T92*weights!$C$7</f>
        <v>5.9883009158789552E-2</v>
      </c>
      <c r="H92">
        <f>SUM(B92:G92)</f>
        <v>0.24490170244813619</v>
      </c>
      <c r="I92" t="str">
        <f>IF(H92&gt;$L$5/10*9,"1",IF(H92&gt;$L$5/10*8,"2",IF(H92&gt;$L$5/10*7,"3",IF(H92&gt;$L$5/10*6,"4",IF(H92&gt;$L$5/10*5,"5",IF(H92&gt;$L$5/10*4,"6",IF(H92&gt;$L$5/10*3,"7",IF(H92&gt;$L$5/10*2,"8",IF(H92&gt;$L$5/10,"9","10")))))))))</f>
        <v>7</v>
      </c>
    </row>
    <row r="93" spans="1:9" x14ac:dyDescent="0.55000000000000004">
      <c r="A93">
        <v>92</v>
      </c>
      <c r="B93">
        <f>estuary_data!U93*weights!$C$2</f>
        <v>3.2784236100822581E-2</v>
      </c>
      <c r="C93">
        <f>estuary_data!R93*weights!$C$5</f>
        <v>0.10069027082465315</v>
      </c>
      <c r="D93">
        <f>estuary_data!V93*weights!$C$3</f>
        <v>1.6614653942735574E-2</v>
      </c>
      <c r="E93">
        <f>estuary_data!S93*weights!$C$6</f>
        <v>6.2198393273846363E-3</v>
      </c>
      <c r="F93">
        <f>estuary_data!W93*weights!$C$4</f>
        <v>8.4108856106885153E-3</v>
      </c>
      <c r="G93">
        <f>estuary_data!T93*weights!$C$7</f>
        <v>6.3612677498527309E-2</v>
      </c>
      <c r="H93">
        <f>SUM(B93:G93)</f>
        <v>0.22833256330481175</v>
      </c>
      <c r="I93" t="str">
        <f>IF(H93&gt;$L$5/10*9,"1",IF(H93&gt;$L$5/10*8,"2",IF(H93&gt;$L$5/10*7,"3",IF(H93&gt;$L$5/10*6,"4",IF(H93&gt;$L$5/10*5,"5",IF(H93&gt;$L$5/10*4,"6",IF(H93&gt;$L$5/10*3,"7",IF(H93&gt;$L$5/10*2,"8",IF(H93&gt;$L$5/10,"9","10")))))))))</f>
        <v>7</v>
      </c>
    </row>
    <row r="94" spans="1:9" x14ac:dyDescent="0.55000000000000004">
      <c r="A94">
        <v>93</v>
      </c>
      <c r="B94">
        <f>estuary_data!U94*weights!$C$2</f>
        <v>4.2036871581150534E-2</v>
      </c>
      <c r="C94">
        <f>estuary_data!R94*weights!$C$5</f>
        <v>9.2990412780010717E-2</v>
      </c>
      <c r="D94">
        <f>estuary_data!V94*weights!$C$3</f>
        <v>2.8456263572161831E-2</v>
      </c>
      <c r="E94">
        <f>estuary_data!S94*weights!$C$6</f>
        <v>4.2449366668440326E-3</v>
      </c>
      <c r="F94">
        <f>estuary_data!W94*weights!$C$4</f>
        <v>7.2078493001386926E-2</v>
      </c>
      <c r="G94">
        <f>estuary_data!T94*weights!$C$7</f>
        <v>6.3739331376069741E-2</v>
      </c>
      <c r="H94">
        <f>SUM(B94:G94)</f>
        <v>0.30354630897762375</v>
      </c>
      <c r="I94" t="str">
        <f>IF(H94&gt;$L$5/10*9,"1",IF(H94&gt;$L$5/10*8,"2",IF(H94&gt;$L$5/10*7,"3",IF(H94&gt;$L$5/10*6,"4",IF(H94&gt;$L$5/10*5,"5",IF(H94&gt;$L$5/10*4,"6",IF(H94&gt;$L$5/10*3,"7",IF(H94&gt;$L$5/10*2,"8",IF(H94&gt;$L$5/10,"9","10")))))))))</f>
        <v>6</v>
      </c>
    </row>
    <row r="95" spans="1:9" x14ac:dyDescent="0.55000000000000004">
      <c r="A95">
        <v>94</v>
      </c>
      <c r="B95">
        <f>estuary_data!U95*weights!$C$2</f>
        <v>3.5856123924968675E-2</v>
      </c>
      <c r="C95">
        <f>estuary_data!R95*weights!$C$5</f>
        <v>9.3880861751693967E-2</v>
      </c>
      <c r="D95">
        <f>estuary_data!V95*weights!$C$3</f>
        <v>2.4227044272658527E-2</v>
      </c>
      <c r="E95">
        <f>estuary_data!S95*weights!$C$6</f>
        <v>0</v>
      </c>
      <c r="F95">
        <f>estuary_data!W95*weights!$C$4</f>
        <v>4.253692901693553E-2</v>
      </c>
      <c r="G95">
        <f>estuary_data!T95*weights!$C$7</f>
        <v>7.3202480775390336E-2</v>
      </c>
      <c r="H95">
        <f>SUM(B95:G95)</f>
        <v>0.26970343974164707</v>
      </c>
      <c r="I95" t="str">
        <f>IF(H95&gt;$L$5/10*9,"1",IF(H95&gt;$L$5/10*8,"2",IF(H95&gt;$L$5/10*7,"3",IF(H95&gt;$L$5/10*6,"4",IF(H95&gt;$L$5/10*5,"5",IF(H95&gt;$L$5/10*4,"6",IF(H95&gt;$L$5/10*3,"7",IF(H95&gt;$L$5/10*2,"8",IF(H95&gt;$L$5/10,"9","10")))))))))</f>
        <v>6</v>
      </c>
    </row>
    <row r="96" spans="1:9" x14ac:dyDescent="0.55000000000000004">
      <c r="A96">
        <v>95</v>
      </c>
      <c r="B96">
        <f>estuary_data!U96*weights!$C$2</f>
        <v>4.6631040995266458E-2</v>
      </c>
      <c r="C96">
        <f>estuary_data!R96*weights!$C$5</f>
        <v>9.2363041412993466E-2</v>
      </c>
      <c r="D96">
        <f>estuary_data!V96*weights!$C$3</f>
        <v>2.892713979894488E-2</v>
      </c>
      <c r="E96">
        <f>estuary_data!S96*weights!$C$6</f>
        <v>4.2742797393854432E-3</v>
      </c>
      <c r="F96">
        <f>estuary_data!W96*weights!$C$4</f>
        <v>8.1887678546196205E-2</v>
      </c>
      <c r="G96">
        <f>estuary_data!T96*weights!$C$7</f>
        <v>3.9551929893261811E-2</v>
      </c>
      <c r="H96">
        <f>SUM(B96:G96)</f>
        <v>0.29363511038604828</v>
      </c>
      <c r="I96" t="str">
        <f>IF(H96&gt;$L$5/10*9,"1",IF(H96&gt;$L$5/10*8,"2",IF(H96&gt;$L$5/10*7,"3",IF(H96&gt;$L$5/10*6,"4",IF(H96&gt;$L$5/10*5,"5",IF(H96&gt;$L$5/10*4,"6",IF(H96&gt;$L$5/10*3,"7",IF(H96&gt;$L$5/10*2,"8",IF(H96&gt;$L$5/10,"9","10")))))))))</f>
        <v>6</v>
      </c>
    </row>
    <row r="97" spans="1:9" x14ac:dyDescent="0.55000000000000004">
      <c r="A97">
        <v>96</v>
      </c>
      <c r="B97">
        <f>estuary_data!U97*weights!$C$2</f>
        <v>6.2212665786699199E-2</v>
      </c>
      <c r="C97">
        <f>estuary_data!R97*weights!$C$5</f>
        <v>9.5332368624700209E-2</v>
      </c>
      <c r="D97">
        <f>estuary_data!V97*weights!$C$3</f>
        <v>4.0755604381186764E-2</v>
      </c>
      <c r="E97">
        <f>estuary_data!S97*weights!$C$6</f>
        <v>1.2009126690594053E-2</v>
      </c>
      <c r="F97">
        <f>estuary_data!W97*weights!$C$4</f>
        <v>0.13383629265055197</v>
      </c>
      <c r="G97">
        <f>estuary_data!T97*weights!$C$7</f>
        <v>2.2728135512376089E-2</v>
      </c>
      <c r="H97">
        <f>SUM(B97:G97)</f>
        <v>0.36687419364610829</v>
      </c>
      <c r="I97" t="str">
        <f>IF(H97&gt;$L$5/10*9,"1",IF(H97&gt;$L$5/10*8,"2",IF(H97&gt;$L$5/10*7,"3",IF(H97&gt;$L$5/10*6,"4",IF(H97&gt;$L$5/10*5,"5",IF(H97&gt;$L$5/10*4,"6",IF(H97&gt;$L$5/10*3,"7",IF(H97&gt;$L$5/10*2,"8",IF(H97&gt;$L$5/10,"9","10")))))))))</f>
        <v>5</v>
      </c>
    </row>
    <row r="98" spans="1:9" x14ac:dyDescent="0.55000000000000004">
      <c r="A98">
        <v>97</v>
      </c>
      <c r="B98">
        <f>estuary_data!U98*weights!$C$2</f>
        <v>6.9939122842298307E-2</v>
      </c>
      <c r="C98">
        <f>estuary_data!R98*weights!$C$5</f>
        <v>5.9150742954675734E-2</v>
      </c>
      <c r="D98">
        <f>estuary_data!V98*weights!$C$3</f>
        <v>5.7776789500939715E-2</v>
      </c>
      <c r="E98">
        <f>estuary_data!S98*weights!$C$6</f>
        <v>3.3506013108509987E-2</v>
      </c>
      <c r="F98">
        <f>estuary_data!W98*weights!$C$4</f>
        <v>0.21346869021866965</v>
      </c>
      <c r="G98">
        <f>estuary_data!T98*weights!$C$7</f>
        <v>4.1947205664237604E-2</v>
      </c>
      <c r="H98">
        <f>SUM(B98:G98)</f>
        <v>0.47578856428933097</v>
      </c>
      <c r="I98" t="str">
        <f>IF(H98&gt;$L$5/10*9,"1",IF(H98&gt;$L$5/10*8,"2",IF(H98&gt;$L$5/10*7,"3",IF(H98&gt;$L$5/10*6,"4",IF(H98&gt;$L$5/10*5,"5",IF(H98&gt;$L$5/10*4,"6",IF(H98&gt;$L$5/10*3,"7",IF(H98&gt;$L$5/10*2,"8",IF(H98&gt;$L$5/10,"9","10")))))))))</f>
        <v>3</v>
      </c>
    </row>
    <row r="99" spans="1:9" x14ac:dyDescent="0.55000000000000004">
      <c r="A99">
        <v>98</v>
      </c>
      <c r="B99">
        <f>estuary_data!U99*weights!$C$2</f>
        <v>6.8939711746933224E-2</v>
      </c>
      <c r="C99">
        <f>estuary_data!R99*weights!$C$5</f>
        <v>5.7144895360363636E-2</v>
      </c>
      <c r="D99">
        <f>estuary_data!V99*weights!$C$3</f>
        <v>5.6026603659133131E-2</v>
      </c>
      <c r="E99">
        <f>estuary_data!S99*weights!$C$6</f>
        <v>2.9013908661933811E-2</v>
      </c>
      <c r="F99">
        <f>estuary_data!W99*weights!$C$4</f>
        <v>0.20986968932336791</v>
      </c>
      <c r="G99">
        <f>estuary_data!T99*weights!$C$7</f>
        <v>3.2524540934239121E-2</v>
      </c>
      <c r="H99">
        <f>SUM(B99:G99)</f>
        <v>0.45351934968597085</v>
      </c>
      <c r="I99" t="str">
        <f>IF(H99&gt;$L$5/10*9,"1",IF(H99&gt;$L$5/10*8,"2",IF(H99&gt;$L$5/10*7,"3",IF(H99&gt;$L$5/10*6,"4",IF(H99&gt;$L$5/10*5,"5",IF(H99&gt;$L$5/10*4,"6",IF(H99&gt;$L$5/10*3,"7",IF(H99&gt;$L$5/10*2,"8",IF(H99&gt;$L$5/10,"9","10")))))))))</f>
        <v>4</v>
      </c>
    </row>
    <row r="100" spans="1:9" x14ac:dyDescent="0.55000000000000004">
      <c r="A100">
        <v>99</v>
      </c>
      <c r="B100">
        <f>estuary_data!U100*weights!$C$2</f>
        <v>5.2642437600657226E-2</v>
      </c>
      <c r="C100">
        <f>estuary_data!R100*weights!$C$5</f>
        <v>8.9604145351134049E-2</v>
      </c>
      <c r="D100">
        <f>estuary_data!V100*weights!$C$3</f>
        <v>3.5972661986452631E-2</v>
      </c>
      <c r="E100">
        <f>estuary_data!S100*weights!$C$6</f>
        <v>8.4250161134979511E-3</v>
      </c>
      <c r="F100">
        <f>estuary_data!W100*weights!$C$4</f>
        <v>0.10420130765972882</v>
      </c>
      <c r="G100">
        <f>estuary_data!T100*weights!$C$7</f>
        <v>3.4476194901735147E-2</v>
      </c>
      <c r="H100">
        <f>SUM(B100:G100)</f>
        <v>0.32532176361320581</v>
      </c>
      <c r="I100" t="str">
        <f>IF(H100&gt;$L$5/10*9,"1",IF(H100&gt;$L$5/10*8,"2",IF(H100&gt;$L$5/10*7,"3",IF(H100&gt;$L$5/10*6,"4",IF(H100&gt;$L$5/10*5,"5",IF(H100&gt;$L$5/10*4,"6",IF(H100&gt;$L$5/10*3,"7",IF(H100&gt;$L$5/10*2,"8",IF(H100&gt;$L$5/10,"9","10")))))))))</f>
        <v>6</v>
      </c>
    </row>
    <row r="101" spans="1:9" x14ac:dyDescent="0.55000000000000004">
      <c r="A101">
        <v>100</v>
      </c>
      <c r="B101">
        <f>estuary_data!U101*weights!$C$2</f>
        <v>4.8898275280198467E-2</v>
      </c>
      <c r="C101">
        <f>estuary_data!R101*weights!$C$5</f>
        <v>9.1951910999836461E-2</v>
      </c>
      <c r="D101">
        <f>estuary_data!V101*weights!$C$3</f>
        <v>3.5723369472468867E-2</v>
      </c>
      <c r="E101">
        <f>estuary_data!S101*weights!$C$6</f>
        <v>4.7992366993698903E-3</v>
      </c>
      <c r="F101">
        <f>estuary_data!W101*weights!$C$4</f>
        <v>9.9251928633356468E-2</v>
      </c>
      <c r="G101">
        <f>estuary_data!T101*weights!$C$7</f>
        <v>4.109577704516193E-2</v>
      </c>
      <c r="H101">
        <f>SUM(B101:G101)</f>
        <v>0.32172049813039211</v>
      </c>
      <c r="I101" t="str">
        <f>IF(H101&gt;$L$5/10*9,"1",IF(H101&gt;$L$5/10*8,"2",IF(H101&gt;$L$5/10*7,"3",IF(H101&gt;$L$5/10*6,"4",IF(H101&gt;$L$5/10*5,"5",IF(H101&gt;$L$5/10*4,"6",IF(H101&gt;$L$5/10*3,"7",IF(H101&gt;$L$5/10*2,"8",IF(H101&gt;$L$5/10,"9","10")))))))))</f>
        <v>6</v>
      </c>
    </row>
    <row r="102" spans="1:9" x14ac:dyDescent="0.55000000000000004">
      <c r="A102">
        <v>101</v>
      </c>
      <c r="B102">
        <f>estuary_data!U102*weights!$C$2</f>
        <v>4.752072956450136E-2</v>
      </c>
      <c r="C102">
        <f>estuary_data!R102*weights!$C$5</f>
        <v>8.9219046018013448E-2</v>
      </c>
      <c r="D102">
        <f>estuary_data!V102*weights!$C$3</f>
        <v>3.2663756969711868E-2</v>
      </c>
      <c r="E102">
        <f>estuary_data!S102*weights!$C$6</f>
        <v>4.8142815098163108E-3</v>
      </c>
      <c r="F102">
        <f>estuary_data!W102*weights!$C$4</f>
        <v>8.9331738422956677E-2</v>
      </c>
      <c r="G102">
        <f>estuary_data!T102*weights!$C$7</f>
        <v>3.4483667921524026E-2</v>
      </c>
      <c r="H102">
        <f>SUM(B102:G102)</f>
        <v>0.29803322040652369</v>
      </c>
      <c r="I102" t="str">
        <f>IF(H102&gt;$L$5/10*9,"1",IF(H102&gt;$L$5/10*8,"2",IF(H102&gt;$L$5/10*7,"3",IF(H102&gt;$L$5/10*6,"4",IF(H102&gt;$L$5/10*5,"5",IF(H102&gt;$L$5/10*4,"6",IF(H102&gt;$L$5/10*3,"7",IF(H102&gt;$L$5/10*2,"8",IF(H102&gt;$L$5/10,"9","10")))))))))</f>
        <v>6</v>
      </c>
    </row>
    <row r="103" spans="1:9" x14ac:dyDescent="0.55000000000000004">
      <c r="A103">
        <v>102</v>
      </c>
      <c r="B103">
        <f>estuary_data!U103*weights!$C$2</f>
        <v>5.0710369183680472E-2</v>
      </c>
      <c r="C103">
        <f>estuary_data!R103*weights!$C$5</f>
        <v>9.5019856030647998E-2</v>
      </c>
      <c r="D103">
        <f>estuary_data!V103*weights!$C$3</f>
        <v>3.3489527487460036E-2</v>
      </c>
      <c r="E103">
        <f>estuary_data!S103*weights!$C$6</f>
        <v>8.2763065635183784E-3</v>
      </c>
      <c r="F103">
        <f>estuary_data!W103*weights!$C$4</f>
        <v>9.2299349301326439E-2</v>
      </c>
      <c r="G103">
        <f>estuary_data!T103*weights!$C$7</f>
        <v>3.1845186688196997E-2</v>
      </c>
      <c r="H103">
        <f>SUM(B103:G103)</f>
        <v>0.31164059525483034</v>
      </c>
      <c r="I103" t="str">
        <f>IF(H103&gt;$L$5/10*9,"1",IF(H103&gt;$L$5/10*8,"2",IF(H103&gt;$L$5/10*7,"3",IF(H103&gt;$L$5/10*6,"4",IF(H103&gt;$L$5/10*5,"5",IF(H103&gt;$L$5/10*4,"6",IF(H103&gt;$L$5/10*3,"7",IF(H103&gt;$L$5/10*2,"8",IF(H103&gt;$L$5/10,"9","10")))))))))</f>
        <v>6</v>
      </c>
    </row>
    <row r="104" spans="1:9" x14ac:dyDescent="0.55000000000000004">
      <c r="A104">
        <v>103</v>
      </c>
      <c r="B104">
        <f>estuary_data!U104*weights!$C$2</f>
        <v>7.1061656471625087E-2</v>
      </c>
      <c r="C104">
        <f>estuary_data!R104*weights!$C$5</f>
        <v>0.10333447503379255</v>
      </c>
      <c r="D104">
        <f>estuary_data!V104*weights!$C$3</f>
        <v>3.67453126194155E-2</v>
      </c>
      <c r="E104">
        <f>estuary_data!S104*weights!$C$6</f>
        <v>3.5651911124926108E-3</v>
      </c>
      <c r="F104">
        <f>estuary_data!W104*weights!$C$4</f>
        <v>0.17790477102642138</v>
      </c>
      <c r="G104">
        <f>estuary_data!T104*weights!$C$7</f>
        <v>0.19465027274922639</v>
      </c>
      <c r="H104">
        <f>SUM(B104:G104)</f>
        <v>0.58726167901297355</v>
      </c>
      <c r="I104" t="str">
        <f>IF(H104&gt;$L$5/10*9,"1",IF(H104&gt;$L$5/10*8,"2",IF(H104&gt;$L$5/10*7,"3",IF(H104&gt;$L$5/10*6,"4",IF(H104&gt;$L$5/10*5,"5",IF(H104&gt;$L$5/10*4,"6",IF(H104&gt;$L$5/10*3,"7",IF(H104&gt;$L$5/10*2,"8",IF(H104&gt;$L$5/10,"9","10")))))))))</f>
        <v>2</v>
      </c>
    </row>
    <row r="105" spans="1:9" x14ac:dyDescent="0.55000000000000004">
      <c r="A105">
        <v>104</v>
      </c>
      <c r="B105">
        <f>estuary_data!U105*weights!$C$2</f>
        <v>6.9589993212620979E-2</v>
      </c>
      <c r="C105">
        <f>estuary_data!R105*weights!$C$5</f>
        <v>9.318431407951519E-2</v>
      </c>
      <c r="D105">
        <f>estuary_data!V105*weights!$C$3</f>
        <v>3.2022559443568778E-2</v>
      </c>
      <c r="E105">
        <f>estuary_data!S105*weights!$C$6</f>
        <v>1.4079490460627661E-2</v>
      </c>
      <c r="F105">
        <f>estuary_data!W105*weights!$C$4</f>
        <v>0.16483137309310908</v>
      </c>
      <c r="G105">
        <f>estuary_data!T105*weights!$C$7</f>
        <v>9.4811418751652055E-2</v>
      </c>
      <c r="H105">
        <f>SUM(B105:G105)</f>
        <v>0.46851914904109371</v>
      </c>
      <c r="I105" t="str">
        <f>IF(H105&gt;$L$5/10*9,"1",IF(H105&gt;$L$5/10*8,"2",IF(H105&gt;$L$5/10*7,"3",IF(H105&gt;$L$5/10*6,"4",IF(H105&gt;$L$5/10*5,"5",IF(H105&gt;$L$5/10*4,"6",IF(H105&gt;$L$5/10*3,"7",IF(H105&gt;$L$5/10*2,"8",IF(H105&gt;$L$5/10,"9","10")))))))))</f>
        <v>3</v>
      </c>
    </row>
    <row r="106" spans="1:9" x14ac:dyDescent="0.55000000000000004">
      <c r="A106">
        <v>105</v>
      </c>
      <c r="B106">
        <f>estuary_data!U106*weights!$C$2</f>
        <v>5.8774487307574189E-2</v>
      </c>
      <c r="C106">
        <f>estuary_data!R106*weights!$C$5</f>
        <v>9.133778300036359E-2</v>
      </c>
      <c r="D106">
        <f>estuary_data!V106*weights!$C$3</f>
        <v>2.7272376654543098E-2</v>
      </c>
      <c r="E106">
        <f>estuary_data!S106*weights!$C$6</f>
        <v>1.4473213473168394E-2</v>
      </c>
      <c r="F106">
        <f>estuary_data!W106*weights!$C$4</f>
        <v>0.13591047141942858</v>
      </c>
      <c r="G106">
        <f>estuary_data!T106*weights!$C$7</f>
        <v>9.6061528791043363E-2</v>
      </c>
      <c r="H106">
        <f>SUM(B106:G106)</f>
        <v>0.42382986064612121</v>
      </c>
      <c r="I106" t="str">
        <f>IF(H106&gt;$L$5/10*9,"1",IF(H106&gt;$L$5/10*8,"2",IF(H106&gt;$L$5/10*7,"3",IF(H106&gt;$L$5/10*6,"4",IF(H106&gt;$L$5/10*5,"5",IF(H106&gt;$L$5/10*4,"6",IF(H106&gt;$L$5/10*3,"7",IF(H106&gt;$L$5/10*2,"8",IF(H106&gt;$L$5/10,"9","10")))))))))</f>
        <v>4</v>
      </c>
    </row>
    <row r="107" spans="1:9" x14ac:dyDescent="0.55000000000000004">
      <c r="A107">
        <v>106</v>
      </c>
      <c r="B107">
        <f>estuary_data!U107*weights!$C$2</f>
        <v>5.6935500982831955E-2</v>
      </c>
      <c r="C107">
        <f>estuary_data!R107*weights!$C$5</f>
        <v>9.1477305763040695E-2</v>
      </c>
      <c r="D107">
        <f>estuary_data!V107*weights!$C$3</f>
        <v>2.9571340466009236E-2</v>
      </c>
      <c r="E107">
        <f>estuary_data!S107*weights!$C$6</f>
        <v>1.4926328456335897E-2</v>
      </c>
      <c r="F107">
        <f>estuary_data!W107*weights!$C$4</f>
        <v>0.13760242096684808</v>
      </c>
      <c r="G107">
        <f>estuary_data!T107*weights!$C$7</f>
        <v>9.7977570140780054E-2</v>
      </c>
      <c r="H107">
        <f>SUM(B107:G107)</f>
        <v>0.42849046677584596</v>
      </c>
      <c r="I107" t="str">
        <f>IF(H107&gt;$L$5/10*9,"1",IF(H107&gt;$L$5/10*8,"2",IF(H107&gt;$L$5/10*7,"3",IF(H107&gt;$L$5/10*6,"4",IF(H107&gt;$L$5/10*5,"5",IF(H107&gt;$L$5/10*4,"6",IF(H107&gt;$L$5/10*3,"7",IF(H107&gt;$L$5/10*2,"8",IF(H107&gt;$L$5/10,"9","10")))))))))</f>
        <v>4</v>
      </c>
    </row>
    <row r="108" spans="1:9" x14ac:dyDescent="0.55000000000000004">
      <c r="A108">
        <v>107</v>
      </c>
      <c r="B108">
        <f>estuary_data!U108*weights!$C$2</f>
        <v>3.9847454173137106E-2</v>
      </c>
      <c r="C108">
        <f>estuary_data!R108*weights!$C$5</f>
        <v>0.10389395724707022</v>
      </c>
      <c r="D108">
        <f>estuary_data!V108*weights!$C$3</f>
        <v>1.455086657215348E-2</v>
      </c>
      <c r="E108">
        <f>estuary_data!S108*weights!$C$6</f>
        <v>8.5600584568079896E-3</v>
      </c>
      <c r="F108">
        <f>estuary_data!W108*weights!$C$4</f>
        <v>1.812423820778709E-2</v>
      </c>
      <c r="G108">
        <f>estuary_data!T108*weights!$C$7</f>
        <v>0.1253920531389367</v>
      </c>
      <c r="H108">
        <f>SUM(B108:G108)</f>
        <v>0.31036862779589258</v>
      </c>
      <c r="I108" t="str">
        <f>IF(H108&gt;$L$5/10*9,"1",IF(H108&gt;$L$5/10*8,"2",IF(H108&gt;$L$5/10*7,"3",IF(H108&gt;$L$5/10*6,"4",IF(H108&gt;$L$5/10*5,"5",IF(H108&gt;$L$5/10*4,"6",IF(H108&gt;$L$5/10*3,"7",IF(H108&gt;$L$5/10*2,"8",IF(H108&gt;$L$5/10,"9","10")))))))))</f>
        <v>6</v>
      </c>
    </row>
    <row r="109" spans="1:9" x14ac:dyDescent="0.55000000000000004">
      <c r="A109">
        <v>108</v>
      </c>
      <c r="B109">
        <f>estuary_data!U109*weights!$C$2</f>
        <v>3.9076889776566648E-2</v>
      </c>
      <c r="C109">
        <f>estuary_data!R109*weights!$C$5</f>
        <v>0.10307300135646784</v>
      </c>
      <c r="D109">
        <f>estuary_data!V109*weights!$C$3</f>
        <v>1.5103834866241771E-2</v>
      </c>
      <c r="E109">
        <f>estuary_data!S109*weights!$C$6</f>
        <v>8.1391916858447808E-3</v>
      </c>
      <c r="F109">
        <f>estuary_data!W109*weights!$C$4</f>
        <v>2.0074132897057576E-2</v>
      </c>
      <c r="G109">
        <f>estuary_data!T109*weights!$C$7</f>
        <v>9.2720247405350953E-2</v>
      </c>
      <c r="H109">
        <f>SUM(B109:G109)</f>
        <v>0.27818729798752961</v>
      </c>
      <c r="I109" t="str">
        <f>IF(H109&gt;$L$5/10*9,"1",IF(H109&gt;$L$5/10*8,"2",IF(H109&gt;$L$5/10*7,"3",IF(H109&gt;$L$5/10*6,"4",IF(H109&gt;$L$5/10*5,"5",IF(H109&gt;$L$5/10*4,"6",IF(H109&gt;$L$5/10*3,"7",IF(H109&gt;$L$5/10*2,"8",IF(H109&gt;$L$5/10,"9","10")))))))))</f>
        <v>6</v>
      </c>
    </row>
    <row r="110" spans="1:9" x14ac:dyDescent="0.55000000000000004">
      <c r="A110">
        <v>109</v>
      </c>
      <c r="B110">
        <f>estuary_data!U110*weights!$C$2</f>
        <v>3.954716548714729E-2</v>
      </c>
      <c r="C110">
        <f>estuary_data!R110*weights!$C$5</f>
        <v>0.10307844076223406</v>
      </c>
      <c r="D110">
        <f>estuary_data!V110*weights!$C$3</f>
        <v>1.4736492255263269E-2</v>
      </c>
      <c r="E110">
        <f>estuary_data!S110*weights!$C$6</f>
        <v>7.484850756736214E-3</v>
      </c>
      <c r="F110">
        <f>estuary_data!W110*weights!$C$4</f>
        <v>2.0954531600086628E-2</v>
      </c>
      <c r="G110">
        <f>estuary_data!T110*weights!$C$7</f>
        <v>5.0059517430442652E-2</v>
      </c>
      <c r="H110">
        <f>SUM(B110:G110)</f>
        <v>0.23586099829191012</v>
      </c>
      <c r="I110" t="str">
        <f>IF(H110&gt;$L$5/10*9,"1",IF(H110&gt;$L$5/10*8,"2",IF(H110&gt;$L$5/10*7,"3",IF(H110&gt;$L$5/10*6,"4",IF(H110&gt;$L$5/10*5,"5",IF(H110&gt;$L$5/10*4,"6",IF(H110&gt;$L$5/10*3,"7",IF(H110&gt;$L$5/10*2,"8",IF(H110&gt;$L$5/10,"9","10")))))))))</f>
        <v>7</v>
      </c>
    </row>
    <row r="111" spans="1:9" x14ac:dyDescent="0.55000000000000004">
      <c r="A111">
        <v>110</v>
      </c>
      <c r="B111">
        <f>estuary_data!U111*weights!$C$2</f>
        <v>3.8843995323838608E-2</v>
      </c>
      <c r="C111">
        <f>estuary_data!R111*weights!$C$5</f>
        <v>0.10327827948150115</v>
      </c>
      <c r="D111">
        <f>estuary_data!V111*weights!$C$3</f>
        <v>1.4594581806462035E-2</v>
      </c>
      <c r="E111">
        <f>estuary_data!S111*weights!$C$6</f>
        <v>9.2812243556787168E-3</v>
      </c>
      <c r="F111">
        <f>estuary_data!W111*weights!$C$4</f>
        <v>1.3164647654342125E-2</v>
      </c>
      <c r="G111">
        <f>estuary_data!T111*weights!$C$7</f>
        <v>0.15063653462286589</v>
      </c>
      <c r="H111">
        <f>SUM(B111:G111)</f>
        <v>0.32979926324468856</v>
      </c>
      <c r="I111" t="str">
        <f>IF(H111&gt;$L$5/10*9,"1",IF(H111&gt;$L$5/10*8,"2",IF(H111&gt;$L$5/10*7,"3",IF(H111&gt;$L$5/10*6,"4",IF(H111&gt;$L$5/10*5,"5",IF(H111&gt;$L$5/10*4,"6",IF(H111&gt;$L$5/10*3,"7",IF(H111&gt;$L$5/10*2,"8",IF(H111&gt;$L$5/10,"9","10")))))))))</f>
        <v>6</v>
      </c>
    </row>
    <row r="112" spans="1:9" x14ac:dyDescent="0.55000000000000004">
      <c r="A112">
        <v>111</v>
      </c>
      <c r="B112">
        <f>estuary_data!U112*weights!$C$2</f>
        <v>3.4220059594633298E-2</v>
      </c>
      <c r="C112">
        <f>estuary_data!R112*weights!$C$5</f>
        <v>0.10135193137956713</v>
      </c>
      <c r="D112">
        <f>estuary_data!V112*weights!$C$3</f>
        <v>1.4515424210219346E-2</v>
      </c>
      <c r="E112">
        <f>estuary_data!S112*weights!$C$6</f>
        <v>7.3134817279778205E-3</v>
      </c>
      <c r="F112">
        <f>estuary_data!W112*weights!$C$4</f>
        <v>8.7835319264432735E-3</v>
      </c>
      <c r="G112">
        <f>estuary_data!T112*weights!$C$7</f>
        <v>6.3923750200392135E-2</v>
      </c>
      <c r="H112">
        <f>SUM(B112:G112)</f>
        <v>0.23010817903923297</v>
      </c>
      <c r="I112" t="str">
        <f>IF(H112&gt;$L$5/10*9,"1",IF(H112&gt;$L$5/10*8,"2",IF(H112&gt;$L$5/10*7,"3",IF(H112&gt;$L$5/10*6,"4",IF(H112&gt;$L$5/10*5,"5",IF(H112&gt;$L$5/10*4,"6",IF(H112&gt;$L$5/10*3,"7",IF(H112&gt;$L$5/10*2,"8",IF(H112&gt;$L$5/10,"9","10")))))))))</f>
        <v>7</v>
      </c>
    </row>
    <row r="113" spans="1:9" x14ac:dyDescent="0.55000000000000004">
      <c r="A113">
        <v>112</v>
      </c>
      <c r="B113">
        <f>estuary_data!U113*weights!$C$2</f>
        <v>3.8569512819846573E-2</v>
      </c>
      <c r="C113">
        <f>estuary_data!R113*weights!$C$5</f>
        <v>9.499447639452363E-2</v>
      </c>
      <c r="D113">
        <f>estuary_data!V113*weights!$C$3</f>
        <v>2.6166225659204387E-2</v>
      </c>
      <c r="E113">
        <f>estuary_data!S113*weights!$C$6</f>
        <v>4.6006761539093351E-4</v>
      </c>
      <c r="F113">
        <f>estuary_data!W113*weights!$C$4</f>
        <v>5.824006047586075E-2</v>
      </c>
      <c r="G113">
        <f>estuary_data!T113*weights!$C$7</f>
        <v>5.2195890137449644E-2</v>
      </c>
      <c r="H113">
        <f>SUM(B113:G113)</f>
        <v>0.2706262331022759</v>
      </c>
      <c r="I113" t="str">
        <f>IF(H113&gt;$L$5/10*9,"1",IF(H113&gt;$L$5/10*8,"2",IF(H113&gt;$L$5/10*7,"3",IF(H113&gt;$L$5/10*6,"4",IF(H113&gt;$L$5/10*5,"5",IF(H113&gt;$L$5/10*4,"6",IF(H113&gt;$L$5/10*3,"7",IF(H113&gt;$L$5/10*2,"8",IF(H113&gt;$L$5/10,"9","10")))))))))</f>
        <v>6</v>
      </c>
    </row>
    <row r="114" spans="1:9" x14ac:dyDescent="0.55000000000000004">
      <c r="A114">
        <v>113</v>
      </c>
      <c r="B114">
        <f>estuary_data!U114*weights!$C$2</f>
        <v>5.4806819919984456E-2</v>
      </c>
      <c r="C114">
        <f>estuary_data!R114*weights!$C$5</f>
        <v>8.9209746235817039E-2</v>
      </c>
      <c r="D114">
        <f>estuary_data!V114*weights!$C$3</f>
        <v>4.3378814594564934E-2</v>
      </c>
      <c r="E114">
        <f>estuary_data!S114*weights!$C$6</f>
        <v>2.1232917648119003E-2</v>
      </c>
      <c r="F114">
        <f>estuary_data!W114*weights!$C$4</f>
        <v>0.14300723639928667</v>
      </c>
      <c r="G114">
        <f>estuary_data!T114*weights!$C$7</f>
        <v>3.791554531598107E-2</v>
      </c>
      <c r="H114">
        <f>SUM(B114:G114)</f>
        <v>0.38955108011375317</v>
      </c>
      <c r="I114" t="str">
        <f>IF(H114&gt;$L$5/10*9,"1",IF(H114&gt;$L$5/10*8,"2",IF(H114&gt;$L$5/10*7,"3",IF(H114&gt;$L$5/10*6,"4",IF(H114&gt;$L$5/10*5,"5",IF(H114&gt;$L$5/10*4,"6",IF(H114&gt;$L$5/10*3,"7",IF(H114&gt;$L$5/10*2,"8",IF(H114&gt;$L$5/10,"9","10")))))))))</f>
        <v>5</v>
      </c>
    </row>
    <row r="115" spans="1:9" x14ac:dyDescent="0.55000000000000004">
      <c r="A115">
        <v>114</v>
      </c>
      <c r="B115">
        <f>estuary_data!U115*weights!$C$2</f>
        <v>0.10048241285449841</v>
      </c>
      <c r="C115">
        <f>estuary_data!R115*weights!$C$5</f>
        <v>9.2310536855248107E-2</v>
      </c>
      <c r="D115">
        <f>estuary_data!V115*weights!$C$3</f>
        <v>2.9556755479179877E-2</v>
      </c>
      <c r="E115">
        <f>estuary_data!S115*weights!$C$6</f>
        <v>1.8269248552583203E-2</v>
      </c>
      <c r="F115">
        <f>estuary_data!W115*weights!$C$4</f>
        <v>0.13609214210090786</v>
      </c>
      <c r="G115">
        <f>estuary_data!T115*weights!$C$7</f>
        <v>7.8869615885082636E-2</v>
      </c>
      <c r="H115">
        <f>SUM(B115:G115)</f>
        <v>0.45558071172750009</v>
      </c>
      <c r="I115" t="str">
        <f>IF(H115&gt;$L$5/10*9,"1",IF(H115&gt;$L$5/10*8,"2",IF(H115&gt;$L$5/10*7,"3",IF(H115&gt;$L$5/10*6,"4",IF(H115&gt;$L$5/10*5,"5",IF(H115&gt;$L$5/10*4,"6",IF(H115&gt;$L$5/10*3,"7",IF(H115&gt;$L$5/10*2,"8",IF(H115&gt;$L$5/10,"9","10")))))))))</f>
        <v>4</v>
      </c>
    </row>
    <row r="116" spans="1:9" x14ac:dyDescent="0.55000000000000004">
      <c r="A116">
        <v>115</v>
      </c>
      <c r="B116">
        <f>estuary_data!U116*weights!$C$2</f>
        <v>8.4676982254092578E-2</v>
      </c>
      <c r="C116">
        <f>estuary_data!R116*weights!$C$5</f>
        <v>9.3711203833893267E-2</v>
      </c>
      <c r="D116">
        <f>estuary_data!V116*weights!$C$3</f>
        <v>2.8554294910565624E-2</v>
      </c>
      <c r="E116">
        <f>estuary_data!S116*weights!$C$6</f>
        <v>1.8677975069511302E-2</v>
      </c>
      <c r="F116">
        <f>estuary_data!W116*weights!$C$4</f>
        <v>0.1215623867642522</v>
      </c>
      <c r="G116">
        <f>estuary_data!T116*weights!$C$7</f>
        <v>8.0792955592104782E-2</v>
      </c>
      <c r="H116">
        <f>SUM(B116:G116)</f>
        <v>0.4279757984244198</v>
      </c>
      <c r="I116" t="str">
        <f>IF(H116&gt;$L$5/10*9,"1",IF(H116&gt;$L$5/10*8,"2",IF(H116&gt;$L$5/10*7,"3",IF(H116&gt;$L$5/10*6,"4",IF(H116&gt;$L$5/10*5,"5",IF(H116&gt;$L$5/10*4,"6",IF(H116&gt;$L$5/10*3,"7",IF(H116&gt;$L$5/10*2,"8",IF(H116&gt;$L$5/10,"9","10")))))))))</f>
        <v>4</v>
      </c>
    </row>
    <row r="117" spans="1:9" x14ac:dyDescent="0.55000000000000004">
      <c r="A117">
        <v>116</v>
      </c>
      <c r="B117">
        <f>estuary_data!U117*weights!$C$2</f>
        <v>9.469140853350487E-2</v>
      </c>
      <c r="C117">
        <f>estuary_data!R117*weights!$C$5</f>
        <v>8.5514990366456739E-2</v>
      </c>
      <c r="D117">
        <f>estuary_data!V117*weights!$C$3</f>
        <v>4.2748043219903234E-2</v>
      </c>
      <c r="E117">
        <f>estuary_data!S117*weights!$C$6</f>
        <v>5.5703487958719518E-3</v>
      </c>
      <c r="F117">
        <f>estuary_data!W117*weights!$C$4</f>
        <v>0.19835362637422715</v>
      </c>
      <c r="G117">
        <f>estuary_data!T117*weights!$C$7</f>
        <v>5.1720683586723291E-2</v>
      </c>
      <c r="H117">
        <f>SUM(B117:G117)</f>
        <v>0.47859910087668717</v>
      </c>
      <c r="I117" t="str">
        <f>IF(H117&gt;$L$5/10*9,"1",IF(H117&gt;$L$5/10*8,"2",IF(H117&gt;$L$5/10*7,"3",IF(H117&gt;$L$5/10*6,"4",IF(H117&gt;$L$5/10*5,"5",IF(H117&gt;$L$5/10*4,"6",IF(H117&gt;$L$5/10*3,"7",IF(H117&gt;$L$5/10*2,"8",IF(H117&gt;$L$5/10,"9","10")))))))))</f>
        <v>3</v>
      </c>
    </row>
    <row r="118" spans="1:9" x14ac:dyDescent="0.55000000000000004">
      <c r="A118">
        <v>117</v>
      </c>
      <c r="B118">
        <f>estuary_data!U118*weights!$C$2</f>
        <v>7.7797185953521295E-2</v>
      </c>
      <c r="C118">
        <f>estuary_data!R118*weights!$C$5</f>
        <v>9.3157094793376527E-2</v>
      </c>
      <c r="D118">
        <f>estuary_data!V118*weights!$C$3</f>
        <v>4.0426519600082651E-2</v>
      </c>
      <c r="E118">
        <f>estuary_data!S118*weights!$C$6</f>
        <v>8.659049277272117E-3</v>
      </c>
      <c r="F118">
        <f>estuary_data!W118*weights!$C$4</f>
        <v>0.18286145261472575</v>
      </c>
      <c r="G118">
        <f>estuary_data!T118*weights!$C$7</f>
        <v>6.53440606682196E-2</v>
      </c>
      <c r="H118">
        <f>SUM(B118:G118)</f>
        <v>0.46824536290719798</v>
      </c>
      <c r="I118" t="str">
        <f>IF(H118&gt;$L$5/10*9,"1",IF(H118&gt;$L$5/10*8,"2",IF(H118&gt;$L$5/10*7,"3",IF(H118&gt;$L$5/10*6,"4",IF(H118&gt;$L$5/10*5,"5",IF(H118&gt;$L$5/10*4,"6",IF(H118&gt;$L$5/10*3,"7",IF(H118&gt;$L$5/10*2,"8",IF(H118&gt;$L$5/10,"9","10")))))))))</f>
        <v>3</v>
      </c>
    </row>
    <row r="119" spans="1:9" x14ac:dyDescent="0.55000000000000004">
      <c r="A119">
        <v>118</v>
      </c>
      <c r="B119">
        <f>estuary_data!U119*weights!$C$2</f>
        <v>8.3534933848469689E-2</v>
      </c>
      <c r="C119">
        <f>estuary_data!R119*weights!$C$5</f>
        <v>9.929711754662536E-2</v>
      </c>
      <c r="D119">
        <f>estuary_data!V119*weights!$C$3</f>
        <v>4.3053917484252392E-2</v>
      </c>
      <c r="E119">
        <f>estuary_data!S119*weights!$C$6</f>
        <v>9.0987911492655688E-3</v>
      </c>
      <c r="F119">
        <f>estuary_data!W119*weights!$C$4</f>
        <v>0.20651005617613932</v>
      </c>
      <c r="G119">
        <f>estuary_data!T119*weights!$C$7</f>
        <v>7.2897766863434257E-2</v>
      </c>
      <c r="H119">
        <f>SUM(B119:G119)</f>
        <v>0.51439258306818658</v>
      </c>
      <c r="I119" t="str">
        <f>IF(H119&gt;$L$5/10*9,"1",IF(H119&gt;$L$5/10*8,"2",IF(H119&gt;$L$5/10*7,"3",IF(H119&gt;$L$5/10*6,"4",IF(H119&gt;$L$5/10*5,"5",IF(H119&gt;$L$5/10*4,"6",IF(H119&gt;$L$5/10*3,"7",IF(H119&gt;$L$5/10*2,"8",IF(H119&gt;$L$5/10,"9","10")))))))))</f>
        <v>3</v>
      </c>
    </row>
    <row r="120" spans="1:9" x14ac:dyDescent="0.55000000000000004">
      <c r="A120">
        <v>119</v>
      </c>
      <c r="B120">
        <f>estuary_data!U120*weights!$C$2</f>
        <v>5.7918570292812784E-2</v>
      </c>
      <c r="C120">
        <f>estuary_data!R120*weights!$C$5</f>
        <v>9.5520846739866244E-2</v>
      </c>
      <c r="D120">
        <f>estuary_data!V120*weights!$C$3</f>
        <v>3.1161696429706835E-2</v>
      </c>
      <c r="E120">
        <f>estuary_data!S120*weights!$C$6</f>
        <v>3.3491886609448396E-3</v>
      </c>
      <c r="F120">
        <f>estuary_data!W120*weights!$C$4</f>
        <v>9.9483905123809765E-2</v>
      </c>
      <c r="G120">
        <f>estuary_data!T120*weights!$C$7</f>
        <v>4.3458291729387789E-2</v>
      </c>
      <c r="H120">
        <f>SUM(B120:G120)</f>
        <v>0.33089249897652828</v>
      </c>
      <c r="I120" t="str">
        <f>IF(H120&gt;$L$5/10*9,"1",IF(H120&gt;$L$5/10*8,"2",IF(H120&gt;$L$5/10*7,"3",IF(H120&gt;$L$5/10*6,"4",IF(H120&gt;$L$5/10*5,"5",IF(H120&gt;$L$5/10*4,"6",IF(H120&gt;$L$5/10*3,"7",IF(H120&gt;$L$5/10*2,"8",IF(H120&gt;$L$5/10,"9","10")))))))))</f>
        <v>6</v>
      </c>
    </row>
    <row r="121" spans="1:9" x14ac:dyDescent="0.55000000000000004">
      <c r="A121">
        <v>120</v>
      </c>
      <c r="B121">
        <f>estuary_data!U121*weights!$C$2</f>
        <v>7.8127355190646827E-2</v>
      </c>
      <c r="C121">
        <f>estuary_data!R121*weights!$C$5</f>
        <v>9.9155481309768381E-2</v>
      </c>
      <c r="D121">
        <f>estuary_data!V121*weights!$C$3</f>
        <v>4.148856448521538E-2</v>
      </c>
      <c r="E121">
        <f>estuary_data!S121*weights!$C$6</f>
        <v>9.8469070121082591E-3</v>
      </c>
      <c r="F121">
        <f>estuary_data!W121*weights!$C$4</f>
        <v>0.19757405463333202</v>
      </c>
      <c r="G121">
        <f>estuary_data!T121*weights!$C$7</f>
        <v>7.4502974591444948E-2</v>
      </c>
      <c r="H121">
        <f>SUM(B121:G121)</f>
        <v>0.5006953372225158</v>
      </c>
      <c r="I121" t="str">
        <f>IF(H121&gt;$L$5/10*9,"1",IF(H121&gt;$L$5/10*8,"2",IF(H121&gt;$L$5/10*7,"3",IF(H121&gt;$L$5/10*6,"4",IF(H121&gt;$L$5/10*5,"5",IF(H121&gt;$L$5/10*4,"6",IF(H121&gt;$L$5/10*3,"7",IF(H121&gt;$L$5/10*2,"8",IF(H121&gt;$L$5/10,"9","10")))))))))</f>
        <v>3</v>
      </c>
    </row>
    <row r="122" spans="1:9" x14ac:dyDescent="0.55000000000000004">
      <c r="A122">
        <v>121</v>
      </c>
      <c r="B122">
        <f>estuary_data!U122*weights!$C$2</f>
        <v>7.3012823490820625E-2</v>
      </c>
      <c r="C122">
        <f>estuary_data!R122*weights!$C$5</f>
        <v>9.9374466756733434E-2</v>
      </c>
      <c r="D122">
        <f>estuary_data!V122*weights!$C$3</f>
        <v>3.6794731214117422E-2</v>
      </c>
      <c r="E122">
        <f>estuary_data!S122*weights!$C$6</f>
        <v>9.3952810975624478E-3</v>
      </c>
      <c r="F122">
        <f>estuary_data!W122*weights!$C$4</f>
        <v>0.18459337350735153</v>
      </c>
      <c r="G122">
        <f>estuary_data!T122*weights!$C$7</f>
        <v>0.14274410378424032</v>
      </c>
      <c r="H122">
        <f>SUM(B122:G122)</f>
        <v>0.5459147798508257</v>
      </c>
      <c r="I122" t="str">
        <f>IF(H122&gt;$L$5/10*9,"1",IF(H122&gt;$L$5/10*8,"2",IF(H122&gt;$L$5/10*7,"3",IF(H122&gt;$L$5/10*6,"4",IF(H122&gt;$L$5/10*5,"5",IF(H122&gt;$L$5/10*4,"6",IF(H122&gt;$L$5/10*3,"7",IF(H122&gt;$L$5/10*2,"8",IF(H122&gt;$L$5/10,"9","10")))))))))</f>
        <v>2</v>
      </c>
    </row>
    <row r="123" spans="1:9" x14ac:dyDescent="0.55000000000000004">
      <c r="A123">
        <v>122</v>
      </c>
      <c r="B123">
        <f>estuary_data!U123*weights!$C$2</f>
        <v>6.574457439343033E-2</v>
      </c>
      <c r="C123">
        <f>estuary_data!R123*weights!$C$5</f>
        <v>9.6381482559848519E-2</v>
      </c>
      <c r="D123">
        <f>estuary_data!V123*weights!$C$3</f>
        <v>3.5948325364631342E-2</v>
      </c>
      <c r="E123">
        <f>estuary_data!S123*weights!$C$6</f>
        <v>1.1621345922605492E-2</v>
      </c>
      <c r="F123">
        <f>estuary_data!W123*weights!$C$4</f>
        <v>0.17821395718755936</v>
      </c>
      <c r="G123">
        <f>estuary_data!T123*weights!$C$7</f>
        <v>7.8315689675399577E-2</v>
      </c>
      <c r="H123">
        <f>SUM(B123:G123)</f>
        <v>0.46622537510347462</v>
      </c>
      <c r="I123" t="str">
        <f>IF(H123&gt;$L$5/10*9,"1",IF(H123&gt;$L$5/10*8,"2",IF(H123&gt;$L$5/10*7,"3",IF(H123&gt;$L$5/10*6,"4",IF(H123&gt;$L$5/10*5,"5",IF(H123&gt;$L$5/10*4,"6",IF(H123&gt;$L$5/10*3,"7",IF(H123&gt;$L$5/10*2,"8",IF(H123&gt;$L$5/10,"9","10")))))))))</f>
        <v>3</v>
      </c>
    </row>
    <row r="124" spans="1:9" x14ac:dyDescent="0.55000000000000004">
      <c r="A124">
        <v>123</v>
      </c>
      <c r="B124">
        <f>estuary_data!U124*weights!$C$2</f>
        <v>6.745925799427363E-2</v>
      </c>
      <c r="C124">
        <f>estuary_data!R124*weights!$C$5</f>
        <v>9.6382495563754056E-2</v>
      </c>
      <c r="D124">
        <f>estuary_data!V124*weights!$C$3</f>
        <v>3.6360116266911928E-2</v>
      </c>
      <c r="E124">
        <f>estuary_data!S124*weights!$C$6</f>
        <v>1.1425043421963911E-2</v>
      </c>
      <c r="F124">
        <f>estuary_data!W124*weights!$C$4</f>
        <v>0.17947816484932466</v>
      </c>
      <c r="G124">
        <f>estuary_data!T124*weights!$C$7</f>
        <v>7.7381371945848904E-2</v>
      </c>
      <c r="H124">
        <f>SUM(B124:G124)</f>
        <v>0.46848645004207712</v>
      </c>
      <c r="I124" t="str">
        <f>IF(H124&gt;$L$5/10*9,"1",IF(H124&gt;$L$5/10*8,"2",IF(H124&gt;$L$5/10*7,"3",IF(H124&gt;$L$5/10*6,"4",IF(H124&gt;$L$5/10*5,"5",IF(H124&gt;$L$5/10*4,"6",IF(H124&gt;$L$5/10*3,"7",IF(H124&gt;$L$5/10*2,"8",IF(H124&gt;$L$5/10,"9","10")))))))))</f>
        <v>3</v>
      </c>
    </row>
    <row r="125" spans="1:9" x14ac:dyDescent="0.55000000000000004">
      <c r="A125">
        <v>124</v>
      </c>
      <c r="B125">
        <f>estuary_data!U125*weights!$C$2</f>
        <v>7.8061581693749854E-2</v>
      </c>
      <c r="C125">
        <f>estuary_data!R125*weights!$C$5</f>
        <v>9.6132688973118677E-2</v>
      </c>
      <c r="D125">
        <f>estuary_data!V125*weights!$C$3</f>
        <v>3.757035218143278E-2</v>
      </c>
      <c r="E125">
        <f>estuary_data!S125*weights!$C$6</f>
        <v>1.1644687504992889E-2</v>
      </c>
      <c r="F125">
        <f>estuary_data!W125*weights!$C$4</f>
        <v>0.18694195765324539</v>
      </c>
      <c r="G125">
        <f>estuary_data!T125*weights!$C$7</f>
        <v>8.9905784071385317E-2</v>
      </c>
      <c r="H125">
        <f>SUM(B125:G125)</f>
        <v>0.50025705207792492</v>
      </c>
      <c r="I125" t="str">
        <f>IF(H125&gt;$L$5/10*9,"1",IF(H125&gt;$L$5/10*8,"2",IF(H125&gt;$L$5/10*7,"3",IF(H125&gt;$L$5/10*6,"4",IF(H125&gt;$L$5/10*5,"5",IF(H125&gt;$L$5/10*4,"6",IF(H125&gt;$L$5/10*3,"7",IF(H125&gt;$L$5/10*2,"8",IF(H125&gt;$L$5/10,"9","10")))))))))</f>
        <v>3</v>
      </c>
    </row>
    <row r="126" spans="1:9" x14ac:dyDescent="0.55000000000000004">
      <c r="A126">
        <v>125</v>
      </c>
      <c r="B126">
        <f>estuary_data!U126*weights!$C$2</f>
        <v>6.6300770712595491E-2</v>
      </c>
      <c r="C126">
        <f>estuary_data!R126*weights!$C$5</f>
        <v>9.4846527112154064E-2</v>
      </c>
      <c r="D126">
        <f>estuary_data!V126*weights!$C$3</f>
        <v>3.5546046956491072E-2</v>
      </c>
      <c r="E126">
        <f>estuary_data!S126*weights!$C$6</f>
        <v>1.3716607763885384E-2</v>
      </c>
      <c r="F126">
        <f>estuary_data!W126*weights!$C$4</f>
        <v>0.17624888678537665</v>
      </c>
      <c r="G126">
        <f>estuary_data!T126*weights!$C$7</f>
        <v>8.0578445097302109E-2</v>
      </c>
      <c r="H126">
        <f>SUM(B126:G126)</f>
        <v>0.46723728442780482</v>
      </c>
      <c r="I126" t="str">
        <f>IF(H126&gt;$L$5/10*9,"1",IF(H126&gt;$L$5/10*8,"2",IF(H126&gt;$L$5/10*7,"3",IF(H126&gt;$L$5/10*6,"4",IF(H126&gt;$L$5/10*5,"5",IF(H126&gt;$L$5/10*4,"6",IF(H126&gt;$L$5/10*3,"7",IF(H126&gt;$L$5/10*2,"8",IF(H126&gt;$L$5/10,"9","10")))))))))</f>
        <v>3</v>
      </c>
    </row>
    <row r="127" spans="1:9" x14ac:dyDescent="0.55000000000000004">
      <c r="A127">
        <v>126</v>
      </c>
      <c r="B127">
        <f>estuary_data!U127*weights!$C$2</f>
        <v>7.3246011009844986E-2</v>
      </c>
      <c r="C127">
        <f>estuary_data!R127*weights!$C$5</f>
        <v>9.1598878249565571E-2</v>
      </c>
      <c r="D127">
        <f>estuary_data!V127*weights!$C$3</f>
        <v>2.9310779862318403E-2</v>
      </c>
      <c r="E127">
        <f>estuary_data!S127*weights!$C$6</f>
        <v>1.2124629736911446E-2</v>
      </c>
      <c r="F127">
        <f>estuary_data!W127*weights!$C$4</f>
        <v>0.14266713256116584</v>
      </c>
      <c r="G127">
        <f>estuary_data!T127*weights!$C$7</f>
        <v>9.1455233019863427E-2</v>
      </c>
      <c r="H127">
        <f>SUM(B127:G127)</f>
        <v>0.44040266443966963</v>
      </c>
      <c r="I127" t="str">
        <f>IF(H127&gt;$L$5/10*9,"1",IF(H127&gt;$L$5/10*8,"2",IF(H127&gt;$L$5/10*7,"3",IF(H127&gt;$L$5/10*6,"4",IF(H127&gt;$L$5/10*5,"5",IF(H127&gt;$L$5/10*4,"6",IF(H127&gt;$L$5/10*3,"7",IF(H127&gt;$L$5/10*2,"8",IF(H127&gt;$L$5/10,"9","10")))))))))</f>
        <v>4</v>
      </c>
    </row>
    <row r="128" spans="1:9" x14ac:dyDescent="0.55000000000000004">
      <c r="A128">
        <v>127</v>
      </c>
      <c r="B128">
        <f>estuary_data!U128*weights!$C$2</f>
        <v>6.4232257555949634E-2</v>
      </c>
      <c r="C128">
        <f>estuary_data!R128*weights!$C$5</f>
        <v>9.2062261923068586E-2</v>
      </c>
      <c r="D128">
        <f>estuary_data!V128*weights!$C$3</f>
        <v>2.7293008519011123E-2</v>
      </c>
      <c r="E128">
        <f>estuary_data!S128*weights!$C$6</f>
        <v>1.1489563832593646E-2</v>
      </c>
      <c r="F128">
        <f>estuary_data!W128*weights!$C$4</f>
        <v>0.12728626771582424</v>
      </c>
      <c r="G128">
        <f>estuary_data!T128*weights!$C$7</f>
        <v>8.4295710160163864E-2</v>
      </c>
      <c r="H128">
        <f>SUM(B128:G128)</f>
        <v>0.40665906970661109</v>
      </c>
      <c r="I128" t="str">
        <f>IF(H128&gt;$L$5/10*9,"1",IF(H128&gt;$L$5/10*8,"2",IF(H128&gt;$L$5/10*7,"3",IF(H128&gt;$L$5/10*6,"4",IF(H128&gt;$L$5/10*5,"5",IF(H128&gt;$L$5/10*4,"6",IF(H128&gt;$L$5/10*3,"7",IF(H128&gt;$L$5/10*2,"8",IF(H128&gt;$L$5/10,"9","10")))))))))</f>
        <v>4</v>
      </c>
    </row>
    <row r="129" spans="1:9" x14ac:dyDescent="0.55000000000000004">
      <c r="A129">
        <v>128</v>
      </c>
      <c r="B129">
        <f>estuary_data!U129*weights!$C$2</f>
        <v>5.0881801104858529E-2</v>
      </c>
      <c r="C129">
        <f>estuary_data!R129*weights!$C$5</f>
        <v>8.9903474451416568E-2</v>
      </c>
      <c r="D129">
        <f>estuary_data!V129*weights!$C$3</f>
        <v>2.3501183741505505E-2</v>
      </c>
      <c r="E129">
        <f>estuary_data!S129*weights!$C$6</f>
        <v>1.2763349999442028E-2</v>
      </c>
      <c r="F129">
        <f>estuary_data!W129*weights!$C$4</f>
        <v>9.8796975954192165E-2</v>
      </c>
      <c r="G129">
        <f>estuary_data!T129*weights!$C$7</f>
        <v>9.4253027538667003E-2</v>
      </c>
      <c r="H129">
        <f>SUM(B129:G129)</f>
        <v>0.37009981279008181</v>
      </c>
      <c r="I129" t="str">
        <f>IF(H129&gt;$L$5/10*9,"1",IF(H129&gt;$L$5/10*8,"2",IF(H129&gt;$L$5/10*7,"3",IF(H129&gt;$L$5/10*6,"4",IF(H129&gt;$L$5/10*5,"5",IF(H129&gt;$L$5/10*4,"6",IF(H129&gt;$L$5/10*3,"7",IF(H129&gt;$L$5/10*2,"8",IF(H129&gt;$L$5/10,"9","10")))))))))</f>
        <v>5</v>
      </c>
    </row>
    <row r="130" spans="1:9" x14ac:dyDescent="0.55000000000000004">
      <c r="A130">
        <v>129</v>
      </c>
      <c r="B130">
        <f>estuary_data!U130*weights!$C$2</f>
        <v>5.6632573155097274E-2</v>
      </c>
      <c r="C130">
        <f>estuary_data!R130*weights!$C$5</f>
        <v>9.4309577270259667E-2</v>
      </c>
      <c r="D130">
        <f>estuary_data!V130*weights!$C$3</f>
        <v>2.2521178735481061E-2</v>
      </c>
      <c r="E130">
        <f>estuary_data!S130*weights!$C$6</f>
        <v>9.1822685849891755E-3</v>
      </c>
      <c r="F130">
        <f>estuary_data!W130*weights!$C$4</f>
        <v>9.6164270750370109E-2</v>
      </c>
      <c r="G130">
        <f>estuary_data!T130*weights!$C$7</f>
        <v>8.7919555700904123E-2</v>
      </c>
      <c r="H130">
        <f>SUM(B130:G130)</f>
        <v>0.36672942419710142</v>
      </c>
      <c r="I130" t="str">
        <f>IF(H130&gt;$L$5/10*9,"1",IF(H130&gt;$L$5/10*8,"2",IF(H130&gt;$L$5/10*7,"3",IF(H130&gt;$L$5/10*6,"4",IF(H130&gt;$L$5/10*5,"5",IF(H130&gt;$L$5/10*4,"6",IF(H130&gt;$L$5/10*3,"7",IF(H130&gt;$L$5/10*2,"8",IF(H130&gt;$L$5/10,"9","10")))))))))</f>
        <v>5</v>
      </c>
    </row>
    <row r="131" spans="1:9" x14ac:dyDescent="0.55000000000000004">
      <c r="A131">
        <v>130</v>
      </c>
      <c r="B131">
        <f>estuary_data!U131*weights!$C$2</f>
        <v>5.6275845133750356E-2</v>
      </c>
      <c r="C131">
        <f>estuary_data!R131*weights!$C$5</f>
        <v>9.6881887627026014E-2</v>
      </c>
      <c r="D131">
        <f>estuary_data!V131*weights!$C$3</f>
        <v>2.1088371749874196E-2</v>
      </c>
      <c r="E131">
        <f>estuary_data!S131*weights!$C$6</f>
        <v>8.1895658215390965E-3</v>
      </c>
      <c r="F131">
        <f>estuary_data!W131*weights!$C$4</f>
        <v>8.8163284687752502E-2</v>
      </c>
      <c r="G131">
        <f>estuary_data!T131*weights!$C$7</f>
        <v>0.14982632692878708</v>
      </c>
      <c r="H131">
        <f>SUM(B131:G131)</f>
        <v>0.42042528194872919</v>
      </c>
      <c r="I131" t="str">
        <f>IF(H131&gt;$L$5/10*9,"1",IF(H131&gt;$L$5/10*8,"2",IF(H131&gt;$L$5/10*7,"3",IF(H131&gt;$L$5/10*6,"4",IF(H131&gt;$L$5/10*5,"5",IF(H131&gt;$L$5/10*4,"6",IF(H131&gt;$L$5/10*3,"7",IF(H131&gt;$L$5/10*2,"8",IF(H131&gt;$L$5/10,"9","10")))))))))</f>
        <v>4</v>
      </c>
    </row>
    <row r="132" spans="1:9" x14ac:dyDescent="0.55000000000000004">
      <c r="A132">
        <v>131</v>
      </c>
      <c r="B132">
        <f>estuary_data!U132*weights!$C$2</f>
        <v>3.3123087476819697E-2</v>
      </c>
      <c r="C132">
        <f>estuary_data!R132*weights!$C$5</f>
        <v>8.6514451966645062E-2</v>
      </c>
      <c r="D132">
        <f>estuary_data!V132*weights!$C$3</f>
        <v>1.6610837575867794E-2</v>
      </c>
      <c r="E132">
        <f>estuary_data!S132*weights!$C$6</f>
        <v>5.518782621535984E-3</v>
      </c>
      <c r="F132">
        <f>estuary_data!W132*weights!$C$4</f>
        <v>2.8406779773295261E-2</v>
      </c>
      <c r="G132">
        <f>estuary_data!T132*weights!$C$7</f>
        <v>7.84898347366597E-2</v>
      </c>
      <c r="H132">
        <f>SUM(B132:G132)</f>
        <v>0.24866377415082347</v>
      </c>
      <c r="I132" t="str">
        <f>IF(H132&gt;$L$5/10*9,"1",IF(H132&gt;$L$5/10*8,"2",IF(H132&gt;$L$5/10*7,"3",IF(H132&gt;$L$5/10*6,"4",IF(H132&gt;$L$5/10*5,"5",IF(H132&gt;$L$5/10*4,"6",IF(H132&gt;$L$5/10*3,"7",IF(H132&gt;$L$5/10*2,"8",IF(H132&gt;$L$5/10,"9","10")))))))))</f>
        <v>7</v>
      </c>
    </row>
    <row r="133" spans="1:9" x14ac:dyDescent="0.55000000000000004">
      <c r="A133">
        <v>132</v>
      </c>
      <c r="B133">
        <f>estuary_data!U133*weights!$C$2</f>
        <v>5.4027238800520516E-2</v>
      </c>
      <c r="C133">
        <f>estuary_data!R133*weights!$C$5</f>
        <v>8.7761247386750105E-2</v>
      </c>
      <c r="D133">
        <f>estuary_data!V133*weights!$C$3</f>
        <v>4.7355628499511172E-2</v>
      </c>
      <c r="E133">
        <f>estuary_data!S133*weights!$C$6</f>
        <v>9.0900985682216343E-3</v>
      </c>
      <c r="F133">
        <f>estuary_data!W133*weights!$C$4</f>
        <v>0.15762023465128</v>
      </c>
      <c r="G133">
        <f>estuary_data!T133*weights!$C$7</f>
        <v>2.89742131848988E-2</v>
      </c>
      <c r="H133">
        <f>SUM(B133:G133)</f>
        <v>0.38482866109118219</v>
      </c>
      <c r="I133" t="str">
        <f>IF(H133&gt;$L$5/10*9,"1",IF(H133&gt;$L$5/10*8,"2",IF(H133&gt;$L$5/10*7,"3",IF(H133&gt;$L$5/10*6,"4",IF(H133&gt;$L$5/10*5,"5",IF(H133&gt;$L$5/10*4,"6",IF(H133&gt;$L$5/10*3,"7",IF(H133&gt;$L$5/10*2,"8",IF(H133&gt;$L$5/10,"9","10")))))))))</f>
        <v>5</v>
      </c>
    </row>
    <row r="134" spans="1:9" x14ac:dyDescent="0.55000000000000004">
      <c r="A134">
        <v>133</v>
      </c>
      <c r="B134">
        <f>estuary_data!U134*weights!$C$2</f>
        <v>6.4611728269514043E-2</v>
      </c>
      <c r="C134">
        <f>estuary_data!R134*weights!$C$5</f>
        <v>4.877485690593017E-2</v>
      </c>
      <c r="D134">
        <f>estuary_data!V134*weights!$C$3</f>
        <v>5.2032409737274993E-2</v>
      </c>
      <c r="E134">
        <f>estuary_data!S134*weights!$C$6</f>
        <v>2.0534487169205373E-2</v>
      </c>
      <c r="F134">
        <f>estuary_data!W134*weights!$C$4</f>
        <v>0.18613771270991869</v>
      </c>
      <c r="G134">
        <f>estuary_data!T134*weights!$C$7</f>
        <v>1.4135148482715154E-2</v>
      </c>
      <c r="H134">
        <f>SUM(B134:G134)</f>
        <v>0.3862263432745584</v>
      </c>
      <c r="I134" t="str">
        <f>IF(H134&gt;$L$5/10*9,"1",IF(H134&gt;$L$5/10*8,"2",IF(H134&gt;$L$5/10*7,"3",IF(H134&gt;$L$5/10*6,"4",IF(H134&gt;$L$5/10*5,"5",IF(H134&gt;$L$5/10*4,"6",IF(H134&gt;$L$5/10*3,"7",IF(H134&gt;$L$5/10*2,"8",IF(H134&gt;$L$5/10,"9","10")))))))))</f>
        <v>5</v>
      </c>
    </row>
    <row r="135" spans="1:9" x14ac:dyDescent="0.55000000000000004">
      <c r="A135">
        <v>134</v>
      </c>
      <c r="B135">
        <f>estuary_data!U135*weights!$C$2</f>
        <v>6.8044064761099601E-2</v>
      </c>
      <c r="C135">
        <f>estuary_data!R135*weights!$C$5</f>
        <v>4.3563770142889223E-2</v>
      </c>
      <c r="D135">
        <f>estuary_data!V135*weights!$C$3</f>
        <v>5.6631584181503422E-2</v>
      </c>
      <c r="E135">
        <f>estuary_data!S135*weights!$C$6</f>
        <v>2.1059180098490525E-2</v>
      </c>
      <c r="F135">
        <f>estuary_data!W135*weights!$C$4</f>
        <v>0.20630934558641106</v>
      </c>
      <c r="G135">
        <f>estuary_data!T135*weights!$C$7</f>
        <v>1.6868015606032443E-2</v>
      </c>
      <c r="H135">
        <f>SUM(B135:G135)</f>
        <v>0.41247596037642631</v>
      </c>
      <c r="I135" t="str">
        <f>IF(H135&gt;$L$5/10*9,"1",IF(H135&gt;$L$5/10*8,"2",IF(H135&gt;$L$5/10*7,"3",IF(H135&gt;$L$5/10*6,"4",IF(H135&gt;$L$5/10*5,"5",IF(H135&gt;$L$5/10*4,"6",IF(H135&gt;$L$5/10*3,"7",IF(H135&gt;$L$5/10*2,"8",IF(H135&gt;$L$5/10,"9","10")))))))))</f>
        <v>4</v>
      </c>
    </row>
    <row r="136" spans="1:9" x14ac:dyDescent="0.55000000000000004">
      <c r="A136">
        <v>135</v>
      </c>
      <c r="B136">
        <f>estuary_data!U136*weights!$C$2</f>
        <v>6.8806189595952333E-2</v>
      </c>
      <c r="C136">
        <f>estuary_data!R136*weights!$C$5</f>
        <v>4.3088016407459032E-2</v>
      </c>
      <c r="D136">
        <f>estuary_data!V136*weights!$C$3</f>
        <v>5.6107257992559258E-2</v>
      </c>
      <c r="E136">
        <f>estuary_data!S136*weights!$C$6</f>
        <v>2.1330376312251039E-2</v>
      </c>
      <c r="F136">
        <f>estuary_data!W136*weights!$C$4</f>
        <v>0.20847678958519938</v>
      </c>
      <c r="G136">
        <f>estuary_data!T136*weights!$C$7</f>
        <v>1.7965826820332962E-2</v>
      </c>
      <c r="H136">
        <f>SUM(B136:G136)</f>
        <v>0.41577445671375401</v>
      </c>
      <c r="I136" t="str">
        <f>IF(H136&gt;$L$5/10*9,"1",IF(H136&gt;$L$5/10*8,"2",IF(H136&gt;$L$5/10*7,"3",IF(H136&gt;$L$5/10*6,"4",IF(H136&gt;$L$5/10*5,"5",IF(H136&gt;$L$5/10*4,"6",IF(H136&gt;$L$5/10*3,"7",IF(H136&gt;$L$5/10*2,"8",IF(H136&gt;$L$5/10,"9","10")))))))))</f>
        <v>4</v>
      </c>
    </row>
    <row r="137" spans="1:9" x14ac:dyDescent="0.55000000000000004">
      <c r="A137">
        <v>136</v>
      </c>
      <c r="B137">
        <f>estuary_data!U137*weights!$C$2</f>
        <v>6.4189181595136979E-2</v>
      </c>
      <c r="C137">
        <f>estuary_data!R137*weights!$C$5</f>
        <v>6.3841159759893421E-2</v>
      </c>
      <c r="D137">
        <f>estuary_data!V137*weights!$C$3</f>
        <v>5.1221363654800768E-2</v>
      </c>
      <c r="E137">
        <f>estuary_data!S137*weights!$C$6</f>
        <v>2.7795351976900719E-2</v>
      </c>
      <c r="F137">
        <f>estuary_data!W137*weights!$C$4</f>
        <v>0.16876228815865427</v>
      </c>
      <c r="G137">
        <f>estuary_data!T137*weights!$C$7</f>
        <v>2.2954356754289466E-2</v>
      </c>
      <c r="H137">
        <f>SUM(B137:G137)</f>
        <v>0.39876370189967558</v>
      </c>
      <c r="I137" t="str">
        <f>IF(H137&gt;$L$5/10*9,"1",IF(H137&gt;$L$5/10*8,"2",IF(H137&gt;$L$5/10*7,"3",IF(H137&gt;$L$5/10*6,"4",IF(H137&gt;$L$5/10*5,"5",IF(H137&gt;$L$5/10*4,"6",IF(H137&gt;$L$5/10*3,"7",IF(H137&gt;$L$5/10*2,"8",IF(H137&gt;$L$5/10,"9","10")))))))))</f>
        <v>4</v>
      </c>
    </row>
    <row r="138" spans="1:9" x14ac:dyDescent="0.55000000000000004">
      <c r="A138">
        <v>137</v>
      </c>
      <c r="B138">
        <f>estuary_data!U138*weights!$C$2</f>
        <v>6.2561559816991727E-2</v>
      </c>
      <c r="C138">
        <f>estuary_data!R138*weights!$C$5</f>
        <v>6.4962593023067006E-2</v>
      </c>
      <c r="D138">
        <f>estuary_data!V138*weights!$C$3</f>
        <v>5.051678754025294E-2</v>
      </c>
      <c r="E138">
        <f>estuary_data!S138*weights!$C$6</f>
        <v>2.8712543559745445E-2</v>
      </c>
      <c r="F138">
        <f>estuary_data!W138*weights!$C$4</f>
        <v>0.16377122603483693</v>
      </c>
      <c r="G138">
        <f>estuary_data!T138*weights!$C$7</f>
        <v>2.4211610227127891E-2</v>
      </c>
      <c r="H138">
        <f>SUM(B138:G138)</f>
        <v>0.39473632020202193</v>
      </c>
      <c r="I138" t="str">
        <f>IF(H138&gt;$L$5/10*9,"1",IF(H138&gt;$L$5/10*8,"2",IF(H138&gt;$L$5/10*7,"3",IF(H138&gt;$L$5/10*6,"4",IF(H138&gt;$L$5/10*5,"5",IF(H138&gt;$L$5/10*4,"6",IF(H138&gt;$L$5/10*3,"7",IF(H138&gt;$L$5/10*2,"8",IF(H138&gt;$L$5/10,"9","10")))))))))</f>
        <v>5</v>
      </c>
    </row>
    <row r="139" spans="1:9" x14ac:dyDescent="0.55000000000000004">
      <c r="A139">
        <v>138</v>
      </c>
      <c r="B139">
        <f>estuary_data!U139*weights!$C$2</f>
        <v>6.1692184131298435E-2</v>
      </c>
      <c r="C139">
        <f>estuary_data!R139*weights!$C$5</f>
        <v>5.576924031418546E-2</v>
      </c>
      <c r="D139">
        <f>estuary_data!V139*weights!$C$3</f>
        <v>5.5456128593105926E-2</v>
      </c>
      <c r="E139">
        <f>estuary_data!S139*weights!$C$6</f>
        <v>2.4269952050567034E-2</v>
      </c>
      <c r="F139">
        <f>estuary_data!W139*weights!$C$4</f>
        <v>0.17910441970580046</v>
      </c>
      <c r="G139">
        <f>estuary_data!T139*weights!$C$7</f>
        <v>1.9340273149220925E-2</v>
      </c>
      <c r="H139">
        <f>SUM(B139:G139)</f>
        <v>0.39563219794417825</v>
      </c>
      <c r="I139" t="str">
        <f>IF(H139&gt;$L$5/10*9,"1",IF(H139&gt;$L$5/10*8,"2",IF(H139&gt;$L$5/10*7,"3",IF(H139&gt;$L$5/10*6,"4",IF(H139&gt;$L$5/10*5,"5",IF(H139&gt;$L$5/10*4,"6",IF(H139&gt;$L$5/10*3,"7",IF(H139&gt;$L$5/10*2,"8",IF(H139&gt;$L$5/10,"9","10")))))))))</f>
        <v>5</v>
      </c>
    </row>
    <row r="140" spans="1:9" x14ac:dyDescent="0.55000000000000004">
      <c r="A140">
        <v>139</v>
      </c>
      <c r="B140">
        <f>estuary_data!U140*weights!$C$2</f>
        <v>6.219811265270573E-2</v>
      </c>
      <c r="C140">
        <f>estuary_data!R140*weights!$C$5</f>
        <v>5.8068992854389205E-2</v>
      </c>
      <c r="D140">
        <f>estuary_data!V140*weights!$C$3</f>
        <v>5.2874175905647074E-2</v>
      </c>
      <c r="E140">
        <f>estuary_data!S140*weights!$C$6</f>
        <v>2.5666495865348058E-2</v>
      </c>
      <c r="F140">
        <f>estuary_data!W140*weights!$C$4</f>
        <v>0.17441801474751753</v>
      </c>
      <c r="G140">
        <f>estuary_data!T140*weights!$C$7</f>
        <v>2.1263485777817542E-2</v>
      </c>
      <c r="H140">
        <f>SUM(B140:G140)</f>
        <v>0.39448927780342513</v>
      </c>
      <c r="I140" t="str">
        <f>IF(H140&gt;$L$5/10*9,"1",IF(H140&gt;$L$5/10*8,"2",IF(H140&gt;$L$5/10*7,"3",IF(H140&gt;$L$5/10*6,"4",IF(H140&gt;$L$5/10*5,"5",IF(H140&gt;$L$5/10*4,"6",IF(H140&gt;$L$5/10*3,"7",IF(H140&gt;$L$5/10*2,"8",IF(H140&gt;$L$5/10,"9","10")))))))))</f>
        <v>5</v>
      </c>
    </row>
    <row r="141" spans="1:9" x14ac:dyDescent="0.55000000000000004">
      <c r="A141">
        <v>140</v>
      </c>
      <c r="B141">
        <f>estuary_data!U141*weights!$C$2</f>
        <v>6.1892649253254134E-2</v>
      </c>
      <c r="C141">
        <f>estuary_data!R141*weights!$C$5</f>
        <v>6.2569504058807748E-2</v>
      </c>
      <c r="D141">
        <f>estuary_data!V141*weights!$C$3</f>
        <v>5.6269663794672811E-2</v>
      </c>
      <c r="E141">
        <f>estuary_data!S141*weights!$C$6</f>
        <v>3.5470177542452172E-2</v>
      </c>
      <c r="F141">
        <f>estuary_data!W141*weights!$C$4</f>
        <v>0.1793668790407644</v>
      </c>
      <c r="G141">
        <f>estuary_data!T141*weights!$C$7</f>
        <v>3.6278591256952479E-2</v>
      </c>
      <c r="H141">
        <f>SUM(B141:G141)</f>
        <v>0.43184746494690379</v>
      </c>
      <c r="I141" t="str">
        <f>IF(H141&gt;$L$5/10*9,"1",IF(H141&gt;$L$5/10*8,"2",IF(H141&gt;$L$5/10*7,"3",IF(H141&gt;$L$5/10*6,"4",IF(H141&gt;$L$5/10*5,"5",IF(H141&gt;$L$5/10*4,"6",IF(H141&gt;$L$5/10*3,"7",IF(H141&gt;$L$5/10*2,"8",IF(H141&gt;$L$5/10,"9","10")))))))))</f>
        <v>4</v>
      </c>
    </row>
    <row r="142" spans="1:9" x14ac:dyDescent="0.55000000000000004">
      <c r="A142">
        <v>141</v>
      </c>
      <c r="B142">
        <f>estuary_data!U142*weights!$C$2</f>
        <v>5.9976748526326049E-2</v>
      </c>
      <c r="C142">
        <f>estuary_data!R142*weights!$C$5</f>
        <v>6.2681853343364374E-2</v>
      </c>
      <c r="D142">
        <f>estuary_data!V142*weights!$C$3</f>
        <v>5.8450185155271867E-2</v>
      </c>
      <c r="E142">
        <f>estuary_data!S142*weights!$C$6</f>
        <v>3.7710034704411782E-2</v>
      </c>
      <c r="F142">
        <f>estuary_data!W142*weights!$C$4</f>
        <v>0.18074779293562171</v>
      </c>
      <c r="G142">
        <f>estuary_data!T142*weights!$C$7</f>
        <v>3.9860997277594734E-2</v>
      </c>
      <c r="H142">
        <f>SUM(B142:G142)</f>
        <v>0.4394276119425905</v>
      </c>
      <c r="I142" t="str">
        <f>IF(H142&gt;$L$5/10*9,"1",IF(H142&gt;$L$5/10*8,"2",IF(H142&gt;$L$5/10*7,"3",IF(H142&gt;$L$5/10*6,"4",IF(H142&gt;$L$5/10*5,"5",IF(H142&gt;$L$5/10*4,"6",IF(H142&gt;$L$5/10*3,"7",IF(H142&gt;$L$5/10*2,"8",IF(H142&gt;$L$5/10,"9","10")))))))))</f>
        <v>4</v>
      </c>
    </row>
    <row r="143" spans="1:9" x14ac:dyDescent="0.55000000000000004">
      <c r="A143">
        <v>142</v>
      </c>
      <c r="B143">
        <f>estuary_data!U143*weights!$C$2</f>
        <v>6.0570571766839353E-2</v>
      </c>
      <c r="C143">
        <f>estuary_data!R143*weights!$C$5</f>
        <v>6.3101667717276502E-2</v>
      </c>
      <c r="D143">
        <f>estuary_data!V143*weights!$C$3</f>
        <v>5.7813740110348268E-2</v>
      </c>
      <c r="E143">
        <f>estuary_data!S143*weights!$C$6</f>
        <v>3.7881929848877921E-2</v>
      </c>
      <c r="F143">
        <f>estuary_data!W143*weights!$C$4</f>
        <v>0.18162405594506828</v>
      </c>
      <c r="G143">
        <f>estuary_data!T143*weights!$C$7</f>
        <v>3.9770010055135925E-2</v>
      </c>
      <c r="H143">
        <f>SUM(B143:G143)</f>
        <v>0.44076197544354623</v>
      </c>
      <c r="I143" t="str">
        <f>IF(H143&gt;$L$5/10*9,"1",IF(H143&gt;$L$5/10*8,"2",IF(H143&gt;$L$5/10*7,"3",IF(H143&gt;$L$5/10*6,"4",IF(H143&gt;$L$5/10*5,"5",IF(H143&gt;$L$5/10*4,"6",IF(H143&gt;$L$5/10*3,"7",IF(H143&gt;$L$5/10*2,"8",IF(H143&gt;$L$5/10,"9","10")))))))))</f>
        <v>4</v>
      </c>
    </row>
    <row r="144" spans="1:9" x14ac:dyDescent="0.55000000000000004">
      <c r="A144">
        <v>143</v>
      </c>
      <c r="B144">
        <f>estuary_data!U144*weights!$C$2</f>
        <v>5.8869710827261827E-2</v>
      </c>
      <c r="C144">
        <f>estuary_data!R144*weights!$C$5</f>
        <v>6.3966695017242184E-2</v>
      </c>
      <c r="D144">
        <f>estuary_data!V144*weights!$C$3</f>
        <v>5.7172505007807656E-2</v>
      </c>
      <c r="E144">
        <f>estuary_data!S144*weights!$C$6</f>
        <v>3.8735912489608726E-2</v>
      </c>
      <c r="F144">
        <f>estuary_data!W144*weights!$C$4</f>
        <v>0.17807767827581836</v>
      </c>
      <c r="G144">
        <f>estuary_data!T144*weights!$C$7</f>
        <v>4.0716891439656684E-2</v>
      </c>
      <c r="H144">
        <f>SUM(B144:G144)</f>
        <v>0.43753939305739542</v>
      </c>
      <c r="I144" t="str">
        <f>IF(H144&gt;$L$5/10*9,"1",IF(H144&gt;$L$5/10*8,"2",IF(H144&gt;$L$5/10*7,"3",IF(H144&gt;$L$5/10*6,"4",IF(H144&gt;$L$5/10*5,"5",IF(H144&gt;$L$5/10*4,"6",IF(H144&gt;$L$5/10*3,"7",IF(H144&gt;$L$5/10*2,"8",IF(H144&gt;$L$5/10,"9","10")))))))))</f>
        <v>4</v>
      </c>
    </row>
    <row r="145" spans="1:9" x14ac:dyDescent="0.55000000000000004">
      <c r="A145">
        <v>144</v>
      </c>
      <c r="B145">
        <f>estuary_data!U145*weights!$C$2</f>
        <v>5.7147519844792889E-2</v>
      </c>
      <c r="C145">
        <f>estuary_data!R145*weights!$C$5</f>
        <v>6.7864788691764932E-2</v>
      </c>
      <c r="D145">
        <f>estuary_data!V145*weights!$C$3</f>
        <v>5.3833160317355841E-2</v>
      </c>
      <c r="E145">
        <f>estuary_data!S145*weights!$C$6</f>
        <v>3.6765071716095422E-2</v>
      </c>
      <c r="F145">
        <f>estuary_data!W145*weights!$C$4</f>
        <v>0.1733748689382924</v>
      </c>
      <c r="G145">
        <f>estuary_data!T145*weights!$C$7</f>
        <v>3.491054285082533E-2</v>
      </c>
      <c r="H145">
        <f>SUM(B145:G145)</f>
        <v>0.42389595235912686</v>
      </c>
      <c r="I145" t="str">
        <f>IF(H145&gt;$L$5/10*9,"1",IF(H145&gt;$L$5/10*8,"2",IF(H145&gt;$L$5/10*7,"3",IF(H145&gt;$L$5/10*6,"4",IF(H145&gt;$L$5/10*5,"5",IF(H145&gt;$L$5/10*4,"6",IF(H145&gt;$L$5/10*3,"7",IF(H145&gt;$L$5/10*2,"8",IF(H145&gt;$L$5/10,"9","10")))))))))</f>
        <v>4</v>
      </c>
    </row>
    <row r="146" spans="1:9" x14ac:dyDescent="0.55000000000000004">
      <c r="A146">
        <v>145</v>
      </c>
      <c r="B146">
        <f>estuary_data!U146*weights!$C$2</f>
        <v>5.5454807643490901E-2</v>
      </c>
      <c r="C146">
        <f>estuary_data!R146*weights!$C$5</f>
        <v>7.5690598092237438E-2</v>
      </c>
      <c r="D146">
        <f>estuary_data!V146*weights!$C$3</f>
        <v>4.860680258162739E-2</v>
      </c>
      <c r="E146">
        <f>estuary_data!S146*weights!$C$6</f>
        <v>3.0308495726280645E-2</v>
      </c>
      <c r="F146">
        <f>estuary_data!W146*weights!$C$4</f>
        <v>0.16696194979762424</v>
      </c>
      <c r="G146">
        <f>estuary_data!T146*weights!$C$7</f>
        <v>1.923639505087555E-2</v>
      </c>
      <c r="H146">
        <f>SUM(B146:G146)</f>
        <v>0.39625904889213615</v>
      </c>
      <c r="I146" t="str">
        <f>IF(H146&gt;$L$5/10*9,"1",IF(H146&gt;$L$5/10*8,"2",IF(H146&gt;$L$5/10*7,"3",IF(H146&gt;$L$5/10*6,"4",IF(H146&gt;$L$5/10*5,"5",IF(H146&gt;$L$5/10*4,"6",IF(H146&gt;$L$5/10*3,"7",IF(H146&gt;$L$5/10*2,"8",IF(H146&gt;$L$5/10,"9","10")))))))))</f>
        <v>5</v>
      </c>
    </row>
    <row r="147" spans="1:9" x14ac:dyDescent="0.55000000000000004">
      <c r="A147">
        <v>146</v>
      </c>
      <c r="B147">
        <f>estuary_data!U147*weights!$C$2</f>
        <v>5.3768047828001604E-2</v>
      </c>
      <c r="C147">
        <f>estuary_data!R147*weights!$C$5</f>
        <v>7.798739989547053E-2</v>
      </c>
      <c r="D147">
        <f>estuary_data!V147*weights!$C$3</f>
        <v>4.8595846046087902E-2</v>
      </c>
      <c r="E147">
        <f>estuary_data!S147*weights!$C$6</f>
        <v>2.7694659766013416E-2</v>
      </c>
      <c r="F147">
        <f>estuary_data!W147*weights!$C$4</f>
        <v>0.16512766782051078</v>
      </c>
      <c r="G147">
        <f>estuary_data!T147*weights!$C$7</f>
        <v>1.338268917744284E-2</v>
      </c>
      <c r="H147">
        <f>SUM(B147:G147)</f>
        <v>0.38655631053352707</v>
      </c>
      <c r="I147" t="str">
        <f>IF(H147&gt;$L$5/10*9,"1",IF(H147&gt;$L$5/10*8,"2",IF(H147&gt;$L$5/10*7,"3",IF(H147&gt;$L$5/10*6,"4",IF(H147&gt;$L$5/10*5,"5",IF(H147&gt;$L$5/10*4,"6",IF(H147&gt;$L$5/10*3,"7",IF(H147&gt;$L$5/10*2,"8",IF(H147&gt;$L$5/10,"9","10")))))))))</f>
        <v>5</v>
      </c>
    </row>
    <row r="148" spans="1:9" x14ac:dyDescent="0.55000000000000004">
      <c r="A148">
        <v>147</v>
      </c>
      <c r="B148">
        <f>estuary_data!U148*weights!$C$2</f>
        <v>7.1830447368531766E-2</v>
      </c>
      <c r="C148">
        <f>estuary_data!R148*weights!$C$5</f>
        <v>4.8864454608874071E-2</v>
      </c>
      <c r="D148">
        <f>estuary_data!V148*weights!$C$3</f>
        <v>6.0941926795343174E-2</v>
      </c>
      <c r="E148">
        <f>estuary_data!S148*weights!$C$6</f>
        <v>2.8042920637290528E-2</v>
      </c>
      <c r="F148">
        <f>estuary_data!W148*weights!$C$4</f>
        <v>0.22724709737853277</v>
      </c>
      <c r="G148">
        <f>estuary_data!T148*weights!$C$7</f>
        <v>3.3742638095988237E-2</v>
      </c>
      <c r="H148">
        <f>SUM(B148:G148)</f>
        <v>0.47066948488456051</v>
      </c>
      <c r="I148" t="str">
        <f>IF(H148&gt;$L$5/10*9,"1",IF(H148&gt;$L$5/10*8,"2",IF(H148&gt;$L$5/10*7,"3",IF(H148&gt;$L$5/10*6,"4",IF(H148&gt;$L$5/10*5,"5",IF(H148&gt;$L$5/10*4,"6",IF(H148&gt;$L$5/10*3,"7",IF(H148&gt;$L$5/10*2,"8",IF(H148&gt;$L$5/10,"9","10")))))))))</f>
        <v>3</v>
      </c>
    </row>
    <row r="149" spans="1:9" x14ac:dyDescent="0.55000000000000004">
      <c r="A149">
        <v>148</v>
      </c>
      <c r="B149">
        <f>estuary_data!U149*weights!$C$2</f>
        <v>7.1830447368531766E-2</v>
      </c>
      <c r="C149">
        <f>estuary_data!R149*weights!$C$5</f>
        <v>4.8864454608874071E-2</v>
      </c>
      <c r="D149">
        <f>estuary_data!V149*weights!$C$3</f>
        <v>6.0941926795343174E-2</v>
      </c>
      <c r="E149">
        <f>estuary_data!S149*weights!$C$6</f>
        <v>2.8042920637290528E-2</v>
      </c>
      <c r="F149">
        <f>estuary_data!W149*weights!$C$4</f>
        <v>0.22724709737853277</v>
      </c>
      <c r="G149">
        <f>estuary_data!T149*weights!$C$7</f>
        <v>3.3742638095988237E-2</v>
      </c>
      <c r="H149">
        <f>SUM(B149:G149)</f>
        <v>0.47066948488456051</v>
      </c>
      <c r="I149" t="str">
        <f>IF(H149&gt;$L$5/10*9,"1",IF(H149&gt;$L$5/10*8,"2",IF(H149&gt;$L$5/10*7,"3",IF(H149&gt;$L$5/10*6,"4",IF(H149&gt;$L$5/10*5,"5",IF(H149&gt;$L$5/10*4,"6",IF(H149&gt;$L$5/10*3,"7",IF(H149&gt;$L$5/10*2,"8",IF(H149&gt;$L$5/10,"9","10")))))))))</f>
        <v>3</v>
      </c>
    </row>
    <row r="150" spans="1:9" x14ac:dyDescent="0.55000000000000004">
      <c r="A150">
        <v>149</v>
      </c>
      <c r="B150">
        <f>estuary_data!U150*weights!$C$2</f>
        <v>9.1984728763483375E-2</v>
      </c>
      <c r="C150">
        <f>estuary_data!R150*weights!$C$5</f>
        <v>0.11408136319204285</v>
      </c>
      <c r="D150">
        <f>estuary_data!V150*weights!$C$3</f>
        <v>3.0904162047235482E-2</v>
      </c>
      <c r="E150">
        <f>estuary_data!S150*weights!$C$6</f>
        <v>1.6089203703372894E-2</v>
      </c>
      <c r="F150">
        <f>estuary_data!W150*weights!$C$4</f>
        <v>0.11154895785811275</v>
      </c>
      <c r="G150">
        <f>estuary_data!T150*weights!$C$7</f>
        <v>9.432067890446641E-2</v>
      </c>
      <c r="H150">
        <f>SUM(B150:G150)</f>
        <v>0.45892909446871377</v>
      </c>
      <c r="I150" t="str">
        <f>IF(H150&gt;$L$5/10*9,"1",IF(H150&gt;$L$5/10*8,"2",IF(H150&gt;$L$5/10*7,"3",IF(H150&gt;$L$5/10*6,"4",IF(H150&gt;$L$5/10*5,"5",IF(H150&gt;$L$5/10*4,"6",IF(H150&gt;$L$5/10*3,"7",IF(H150&gt;$L$5/10*2,"8",IF(H150&gt;$L$5/10,"9","10")))))))))</f>
        <v>4</v>
      </c>
    </row>
    <row r="151" spans="1:9" x14ac:dyDescent="0.55000000000000004">
      <c r="A151">
        <v>150</v>
      </c>
      <c r="B151">
        <f>estuary_data!U151*weights!$C$2</f>
        <v>5.1874277743270913E-2</v>
      </c>
      <c r="C151">
        <f>estuary_data!R151*weights!$C$5</f>
        <v>0.10147401346682242</v>
      </c>
      <c r="D151">
        <f>estuary_data!V151*weights!$C$3</f>
        <v>3.3089468718016261E-2</v>
      </c>
      <c r="E151">
        <f>estuary_data!S151*weights!$C$6</f>
        <v>7.7202529304397803E-3</v>
      </c>
      <c r="F151">
        <f>estuary_data!W151*weights!$C$4</f>
        <v>6.9202621936168884E-2</v>
      </c>
      <c r="G151">
        <f>estuary_data!T151*weights!$C$7</f>
        <v>4.1456804302443084E-2</v>
      </c>
      <c r="H151">
        <f>SUM(B151:G151)</f>
        <v>0.30481743909716136</v>
      </c>
      <c r="I151" t="str">
        <f>IF(H151&gt;$L$5/10*9,"1",IF(H151&gt;$L$5/10*8,"2",IF(H151&gt;$L$5/10*7,"3",IF(H151&gt;$L$5/10*6,"4",IF(H151&gt;$L$5/10*5,"5",IF(H151&gt;$L$5/10*4,"6",IF(H151&gt;$L$5/10*3,"7",IF(H151&gt;$L$5/10*2,"8",IF(H151&gt;$L$5/10,"9","10")))))))))</f>
        <v>6</v>
      </c>
    </row>
    <row r="152" spans="1:9" x14ac:dyDescent="0.55000000000000004">
      <c r="A152">
        <v>151</v>
      </c>
      <c r="B152">
        <f>estuary_data!U152*weights!$C$2</f>
        <v>6.23823512221474E-2</v>
      </c>
      <c r="C152">
        <f>estuary_data!R152*weights!$C$5</f>
        <v>9.6724475970941054E-2</v>
      </c>
      <c r="D152">
        <f>estuary_data!V152*weights!$C$3</f>
        <v>3.4246498651969319E-2</v>
      </c>
      <c r="E152">
        <f>estuary_data!S152*weights!$C$6</f>
        <v>1.1355352053202327E-2</v>
      </c>
      <c r="F152">
        <f>estuary_data!W152*weights!$C$4</f>
        <v>0.1538893672683653</v>
      </c>
      <c r="G152">
        <f>estuary_data!T152*weights!$C$7</f>
        <v>0.14653456878742288</v>
      </c>
      <c r="H152">
        <f>SUM(B152:G152)</f>
        <v>0.50513261395404829</v>
      </c>
      <c r="I152" t="str">
        <f>IF(H152&gt;$L$5/10*9,"1",IF(H152&gt;$L$5/10*8,"2",IF(H152&gt;$L$5/10*7,"3",IF(H152&gt;$L$5/10*6,"4",IF(H152&gt;$L$5/10*5,"5",IF(H152&gt;$L$5/10*4,"6",IF(H152&gt;$L$5/10*3,"7",IF(H152&gt;$L$5/10*2,"8",IF(H152&gt;$L$5/10,"9","10")))))))))</f>
        <v>3</v>
      </c>
    </row>
    <row r="153" spans="1:9" x14ac:dyDescent="0.55000000000000004">
      <c r="A153">
        <v>152</v>
      </c>
      <c r="B153">
        <f>estuary_data!U153*weights!$C$2</f>
        <v>5.4310088895527797E-2</v>
      </c>
      <c r="C153">
        <f>estuary_data!R153*weights!$C$5</f>
        <v>8.0594824631164033E-2</v>
      </c>
      <c r="D153">
        <f>estuary_data!V153*weights!$C$3</f>
        <v>4.9255622980873943E-2</v>
      </c>
      <c r="E153">
        <f>estuary_data!S153*weights!$C$6</f>
        <v>2.2495201460450451E-2</v>
      </c>
      <c r="F153">
        <f>estuary_data!W153*weights!$C$4</f>
        <v>0.16763556328488882</v>
      </c>
      <c r="G153">
        <f>estuary_data!T153*weights!$C$7</f>
        <v>2.4478300659758478E-3</v>
      </c>
      <c r="H153">
        <f>SUM(B153:G153)</f>
        <v>0.37673913131888082</v>
      </c>
      <c r="I153" t="str">
        <f>IF(H153&gt;$L$5/10*9,"1",IF(H153&gt;$L$5/10*8,"2",IF(H153&gt;$L$5/10*7,"3",IF(H153&gt;$L$5/10*6,"4",IF(H153&gt;$L$5/10*5,"5",IF(H153&gt;$L$5/10*4,"6",IF(H153&gt;$L$5/10*3,"7",IF(H153&gt;$L$5/10*2,"8",IF(H153&gt;$L$5/10,"9","10")))))))))</f>
        <v>5</v>
      </c>
    </row>
    <row r="154" spans="1:9" x14ac:dyDescent="0.55000000000000004">
      <c r="A154">
        <v>153</v>
      </c>
      <c r="B154">
        <f>estuary_data!U154*weights!$C$2</f>
        <v>7.9963184523504899E-2</v>
      </c>
      <c r="C154">
        <f>estuary_data!R154*weights!$C$5</f>
        <v>8.28706364459353E-2</v>
      </c>
      <c r="D154">
        <f>estuary_data!V154*weights!$C$3</f>
        <v>2.3747835647680036E-2</v>
      </c>
      <c r="E154">
        <f>estuary_data!S154*weights!$C$6</f>
        <v>3.2303623924863446E-2</v>
      </c>
      <c r="F154">
        <f>estuary_data!W154*weights!$C$4</f>
        <v>6.9565952566203959E-2</v>
      </c>
      <c r="G154">
        <f>estuary_data!T154*weights!$C$7</f>
        <v>3.5317016140998798E-3</v>
      </c>
      <c r="H154">
        <f>SUM(B154:G154)</f>
        <v>0.29198293472228753</v>
      </c>
      <c r="I154" t="str">
        <f>IF(H154&gt;$L$5/10*9,"1",IF(H154&gt;$L$5/10*8,"2",IF(H154&gt;$L$5/10*7,"3",IF(H154&gt;$L$5/10*6,"4",IF(H154&gt;$L$5/10*5,"5",IF(H154&gt;$L$5/10*4,"6",IF(H154&gt;$L$5/10*3,"7",IF(H154&gt;$L$5/10*2,"8",IF(H154&gt;$L$5/10,"9","10")))))))))</f>
        <v>6</v>
      </c>
    </row>
    <row r="155" spans="1:9" x14ac:dyDescent="0.55000000000000004">
      <c r="A155">
        <v>154</v>
      </c>
      <c r="B155">
        <f>estuary_data!U155*weights!$C$2</f>
        <v>7.7139895468435332E-2</v>
      </c>
      <c r="C155">
        <f>estuary_data!R155*weights!$C$5</f>
        <v>8.405713121471757E-2</v>
      </c>
      <c r="D155">
        <f>estuary_data!V155*weights!$C$3</f>
        <v>2.2688822548567023E-2</v>
      </c>
      <c r="E155">
        <f>estuary_data!S155*weights!$C$6</f>
        <v>3.0889870242434038E-2</v>
      </c>
      <c r="F155">
        <f>estuary_data!W155*weights!$C$4</f>
        <v>6.9326621339884792E-2</v>
      </c>
      <c r="G155">
        <f>estuary_data!T155*weights!$C$7</f>
        <v>2.4011466977730536E-3</v>
      </c>
      <c r="H155">
        <f>SUM(B155:G155)</f>
        <v>0.28650348751181176</v>
      </c>
      <c r="I155" t="str">
        <f>IF(H155&gt;$L$5/10*9,"1",IF(H155&gt;$L$5/10*8,"2",IF(H155&gt;$L$5/10*7,"3",IF(H155&gt;$L$5/10*6,"4",IF(H155&gt;$L$5/10*5,"5",IF(H155&gt;$L$5/10*4,"6",IF(H155&gt;$L$5/10*3,"7",IF(H155&gt;$L$5/10*2,"8",IF(H155&gt;$L$5/10,"9","10")))))))))</f>
        <v>6</v>
      </c>
    </row>
    <row r="156" spans="1:9" x14ac:dyDescent="0.55000000000000004">
      <c r="A156">
        <v>155</v>
      </c>
      <c r="B156">
        <f>estuary_data!U156*weights!$C$2</f>
        <v>7.6011099092100756E-2</v>
      </c>
      <c r="C156">
        <f>estuary_data!R156*weights!$C$5</f>
        <v>8.4219384886118395E-2</v>
      </c>
      <c r="D156">
        <f>estuary_data!V156*weights!$C$3</f>
        <v>2.4567495805772808E-2</v>
      </c>
      <c r="E156">
        <f>estuary_data!S156*weights!$C$6</f>
        <v>2.8974083843119336E-2</v>
      </c>
      <c r="F156">
        <f>estuary_data!W156*weights!$C$4</f>
        <v>7.2865064844465324E-2</v>
      </c>
      <c r="G156">
        <f>estuary_data!T156*weights!$C$7</f>
        <v>3.8607437702557136E-3</v>
      </c>
      <c r="H156">
        <f>SUM(B156:G156)</f>
        <v>0.29049787224183232</v>
      </c>
      <c r="I156" t="str">
        <f>IF(H156&gt;$L$5/10*9,"1",IF(H156&gt;$L$5/10*8,"2",IF(H156&gt;$L$5/10*7,"3",IF(H156&gt;$L$5/10*6,"4",IF(H156&gt;$L$5/10*5,"5",IF(H156&gt;$L$5/10*4,"6",IF(H156&gt;$L$5/10*3,"7",IF(H156&gt;$L$5/10*2,"8",IF(H156&gt;$L$5/10,"9","10")))))))))</f>
        <v>6</v>
      </c>
    </row>
    <row r="157" spans="1:9" x14ac:dyDescent="0.55000000000000004">
      <c r="A157">
        <v>156</v>
      </c>
      <c r="B157">
        <f>estuary_data!U157*weights!$C$2</f>
        <v>7.8239789676525201E-2</v>
      </c>
      <c r="C157">
        <f>estuary_data!R157*weights!$C$5</f>
        <v>8.6370727423072211E-2</v>
      </c>
      <c r="D157">
        <f>estuary_data!V157*weights!$C$3</f>
        <v>2.5976710386010415E-2</v>
      </c>
      <c r="E157">
        <f>estuary_data!S157*weights!$C$6</f>
        <v>4.8463100166186684E-2</v>
      </c>
      <c r="F157">
        <f>estuary_data!W157*weights!$C$4</f>
        <v>6.7234589694290289E-2</v>
      </c>
      <c r="G157">
        <f>estuary_data!T157*weights!$C$7</f>
        <v>1.5950041422776409E-2</v>
      </c>
      <c r="H157">
        <f>SUM(B157:G157)</f>
        <v>0.32223495876886116</v>
      </c>
      <c r="I157" t="str">
        <f>IF(H157&gt;$L$5/10*9,"1",IF(H157&gt;$L$5/10*8,"2",IF(H157&gt;$L$5/10*7,"3",IF(H157&gt;$L$5/10*6,"4",IF(H157&gt;$L$5/10*5,"5",IF(H157&gt;$L$5/10*4,"6",IF(H157&gt;$L$5/10*3,"7",IF(H157&gt;$L$5/10*2,"8",IF(H157&gt;$L$5/10,"9","10")))))))))</f>
        <v>6</v>
      </c>
    </row>
    <row r="158" spans="1:9" x14ac:dyDescent="0.55000000000000004">
      <c r="A158">
        <v>157</v>
      </c>
      <c r="B158">
        <f>estuary_data!U158*weights!$C$2</f>
        <v>7.3291330971314433E-2</v>
      </c>
      <c r="C158">
        <f>estuary_data!R158*weights!$C$5</f>
        <v>8.486011780536723E-2</v>
      </c>
      <c r="D158">
        <f>estuary_data!V158*weights!$C$3</f>
        <v>2.1336557928574761E-2</v>
      </c>
      <c r="E158">
        <f>estuary_data!S158*weights!$C$6</f>
        <v>2.6787514764527145E-2</v>
      </c>
      <c r="F158">
        <f>estuary_data!W158*weights!$C$4</f>
        <v>6.4618373838689319E-2</v>
      </c>
      <c r="G158">
        <f>estuary_data!T158*weights!$C$7</f>
        <v>3.5370946676858239E-3</v>
      </c>
      <c r="H158">
        <f>SUM(B158:G158)</f>
        <v>0.27443098997615867</v>
      </c>
      <c r="I158" t="str">
        <f>IF(H158&gt;$L$5/10*9,"1",IF(H158&gt;$L$5/10*8,"2",IF(H158&gt;$L$5/10*7,"3",IF(H158&gt;$L$5/10*6,"4",IF(H158&gt;$L$5/10*5,"5",IF(H158&gt;$L$5/10*4,"6",IF(H158&gt;$L$5/10*3,"7",IF(H158&gt;$L$5/10*2,"8",IF(H158&gt;$L$5/10,"9","10")))))))))</f>
        <v>6</v>
      </c>
    </row>
    <row r="159" spans="1:9" x14ac:dyDescent="0.55000000000000004">
      <c r="A159">
        <v>158</v>
      </c>
      <c r="B159">
        <f>estuary_data!U159*weights!$C$2</f>
        <v>7.0036158538426457E-2</v>
      </c>
      <c r="C159">
        <f>estuary_data!R159*weights!$C$5</f>
        <v>8.6138272801978569E-2</v>
      </c>
      <c r="D159">
        <f>estuary_data!V159*weights!$C$3</f>
        <v>1.9452604590357678E-2</v>
      </c>
      <c r="E159">
        <f>estuary_data!S159*weights!$C$6</f>
        <v>3.1085221022311219E-2</v>
      </c>
      <c r="F159">
        <f>estuary_data!W159*weights!$C$4</f>
        <v>7.2524011738883357E-2</v>
      </c>
      <c r="G159">
        <f>estuary_data!T159*weights!$C$7</f>
        <v>9.2890619464872596E-3</v>
      </c>
      <c r="H159">
        <f>SUM(B159:G159)</f>
        <v>0.28852533063844454</v>
      </c>
      <c r="I159" t="str">
        <f>IF(H159&gt;$L$5/10*9,"1",IF(H159&gt;$L$5/10*8,"2",IF(H159&gt;$L$5/10*7,"3",IF(H159&gt;$L$5/10*6,"4",IF(H159&gt;$L$5/10*5,"5",IF(H159&gt;$L$5/10*4,"6",IF(H159&gt;$L$5/10*3,"7",IF(H159&gt;$L$5/10*2,"8",IF(H159&gt;$L$5/10,"9","10")))))))))</f>
        <v>6</v>
      </c>
    </row>
    <row r="160" spans="1:9" x14ac:dyDescent="0.55000000000000004">
      <c r="A160">
        <v>159</v>
      </c>
      <c r="B160">
        <f>estuary_data!U160*weights!$C$2</f>
        <v>6.8480891140609429E-2</v>
      </c>
      <c r="C160">
        <f>estuary_data!R160*weights!$C$5</f>
        <v>8.8290859269141736E-2</v>
      </c>
      <c r="D160">
        <f>estuary_data!V160*weights!$C$3</f>
        <v>1.8708195277490361E-2</v>
      </c>
      <c r="E160">
        <f>estuary_data!S160*weights!$C$6</f>
        <v>4.40741009151875E-2</v>
      </c>
      <c r="F160">
        <f>estuary_data!W160*weights!$C$4</f>
        <v>6.4750751481786523E-2</v>
      </c>
      <c r="G160">
        <f>estuary_data!T160*weights!$C$7</f>
        <v>3.5444287532190782E-2</v>
      </c>
      <c r="H160">
        <f>SUM(B160:G160)</f>
        <v>0.31974908561640625</v>
      </c>
      <c r="I160" t="str">
        <f>IF(H160&gt;$L$5/10*9,"1",IF(H160&gt;$L$5/10*8,"2",IF(H160&gt;$L$5/10*7,"3",IF(H160&gt;$L$5/10*6,"4",IF(H160&gt;$L$5/10*5,"5",IF(H160&gt;$L$5/10*4,"6",IF(H160&gt;$L$5/10*3,"7",IF(H160&gt;$L$5/10*2,"8",IF(H160&gt;$L$5/10,"9","10")))))))))</f>
        <v>6</v>
      </c>
    </row>
    <row r="161" spans="1:9" x14ac:dyDescent="0.55000000000000004">
      <c r="A161">
        <v>160</v>
      </c>
      <c r="B161">
        <f>estuary_data!U161*weights!$C$2</f>
        <v>6.6608996212049368E-2</v>
      </c>
      <c r="C161">
        <f>estuary_data!R161*weights!$C$5</f>
        <v>9.0155753812770578E-2</v>
      </c>
      <c r="D161">
        <f>estuary_data!V161*weights!$C$3</f>
        <v>1.8092643235829018E-2</v>
      </c>
      <c r="E161">
        <f>estuary_data!S161*weights!$C$6</f>
        <v>5.5225213489125229E-2</v>
      </c>
      <c r="F161">
        <f>estuary_data!W161*weights!$C$4</f>
        <v>5.9957851772763672E-2</v>
      </c>
      <c r="G161">
        <f>estuary_data!T161*weights!$C$7</f>
        <v>5.8695067028752566E-2</v>
      </c>
      <c r="H161">
        <f>SUM(B161:G161)</f>
        <v>0.34873552555129039</v>
      </c>
      <c r="I161" t="str">
        <f>IF(H161&gt;$L$5/10*9,"1",IF(H161&gt;$L$5/10*8,"2",IF(H161&gt;$L$5/10*7,"3",IF(H161&gt;$L$5/10*6,"4",IF(H161&gt;$L$5/10*5,"5",IF(H161&gt;$L$5/10*4,"6",IF(H161&gt;$L$5/10*3,"7",IF(H161&gt;$L$5/10*2,"8",IF(H161&gt;$L$5/10,"9","10")))))))))</f>
        <v>5</v>
      </c>
    </row>
    <row r="162" spans="1:9" x14ac:dyDescent="0.55000000000000004">
      <c r="A162">
        <v>161</v>
      </c>
      <c r="B162">
        <f>estuary_data!U162*weights!$C$2</f>
        <v>6.8196978630436611E-2</v>
      </c>
      <c r="C162">
        <f>estuary_data!R162*weights!$C$5</f>
        <v>9.0386625739886733E-2</v>
      </c>
      <c r="D162">
        <f>estuary_data!V162*weights!$C$3</f>
        <v>1.8733595074735775E-2</v>
      </c>
      <c r="E162">
        <f>estuary_data!S162*weights!$C$6</f>
        <v>5.6826522680159301E-2</v>
      </c>
      <c r="F162">
        <f>estuary_data!W162*weights!$C$4</f>
        <v>6.2273638936573741E-2</v>
      </c>
      <c r="G162">
        <f>estuary_data!T162*weights!$C$7</f>
        <v>6.2089722811388907E-2</v>
      </c>
      <c r="H162">
        <f>SUM(B162:G162)</f>
        <v>0.35850708387318109</v>
      </c>
      <c r="I162" t="str">
        <f>IF(H162&gt;$L$5/10*9,"1",IF(H162&gt;$L$5/10*8,"2",IF(H162&gt;$L$5/10*7,"3",IF(H162&gt;$L$5/10*6,"4",IF(H162&gt;$L$5/10*5,"5",IF(H162&gt;$L$5/10*4,"6",IF(H162&gt;$L$5/10*3,"7",IF(H162&gt;$L$5/10*2,"8",IF(H162&gt;$L$5/10,"9","10")))))))))</f>
        <v>5</v>
      </c>
    </row>
    <row r="163" spans="1:9" x14ac:dyDescent="0.55000000000000004">
      <c r="A163">
        <v>162</v>
      </c>
      <c r="B163">
        <f>estuary_data!U163*weights!$C$2</f>
        <v>6.9727391663783556E-2</v>
      </c>
      <c r="C163">
        <f>estuary_data!R163*weights!$C$5</f>
        <v>9.1545628422308498E-2</v>
      </c>
      <c r="D163">
        <f>estuary_data!V163*weights!$C$3</f>
        <v>1.8136598234276755E-2</v>
      </c>
      <c r="E163">
        <f>estuary_data!S163*weights!$C$6</f>
        <v>6.2455951274920186E-2</v>
      </c>
      <c r="F163">
        <f>estuary_data!W163*weights!$C$4</f>
        <v>6.1408618515482169E-2</v>
      </c>
      <c r="G163">
        <f>estuary_data!T163*weights!$C$7</f>
        <v>7.3490837132225179E-2</v>
      </c>
      <c r="H163">
        <f>SUM(B163:G163)</f>
        <v>0.37676502524299638</v>
      </c>
      <c r="I163" t="str">
        <f>IF(H163&gt;$L$5/10*9,"1",IF(H163&gt;$L$5/10*8,"2",IF(H163&gt;$L$5/10*7,"3",IF(H163&gt;$L$5/10*6,"4",IF(H163&gt;$L$5/10*5,"5",IF(H163&gt;$L$5/10*4,"6",IF(H163&gt;$L$5/10*3,"7",IF(H163&gt;$L$5/10*2,"8",IF(H163&gt;$L$5/10,"9","10")))))))))</f>
        <v>5</v>
      </c>
    </row>
    <row r="164" spans="1:9" x14ac:dyDescent="0.55000000000000004">
      <c r="A164">
        <v>163</v>
      </c>
      <c r="B164">
        <f>estuary_data!U164*weights!$C$2</f>
        <v>6.369667361613815E-2</v>
      </c>
      <c r="C164">
        <f>estuary_data!R164*weights!$C$5</f>
        <v>9.3676447835344429E-2</v>
      </c>
      <c r="D164">
        <f>estuary_data!V164*weights!$C$3</f>
        <v>1.8268757607925019E-2</v>
      </c>
      <c r="E164">
        <f>estuary_data!S164*weights!$C$6</f>
        <v>6.6737554640099991E-2</v>
      </c>
      <c r="F164">
        <f>estuary_data!W164*weights!$C$4</f>
        <v>5.0542609988266457E-2</v>
      </c>
      <c r="G164">
        <f>estuary_data!T164*weights!$C$7</f>
        <v>7.4378064123798618E-2</v>
      </c>
      <c r="H164">
        <f>SUM(B164:G164)</f>
        <v>0.36730010781157268</v>
      </c>
      <c r="I164" t="str">
        <f>IF(H164&gt;$L$5/10*9,"1",IF(H164&gt;$L$5/10*8,"2",IF(H164&gt;$L$5/10*7,"3",IF(H164&gt;$L$5/10*6,"4",IF(H164&gt;$L$5/10*5,"5",IF(H164&gt;$L$5/10*4,"6",IF(H164&gt;$L$5/10*3,"7",IF(H164&gt;$L$5/10*2,"8",IF(H164&gt;$L$5/10,"9","10")))))))))</f>
        <v>5</v>
      </c>
    </row>
    <row r="165" spans="1:9" x14ac:dyDescent="0.55000000000000004">
      <c r="A165">
        <v>164</v>
      </c>
      <c r="B165">
        <f>estuary_data!U165*weights!$C$2</f>
        <v>7.4554727264887224E-2</v>
      </c>
      <c r="C165">
        <f>estuary_data!R165*weights!$C$5</f>
        <v>9.3147827022901253E-2</v>
      </c>
      <c r="D165">
        <f>estuary_data!V165*weights!$C$3</f>
        <v>1.945016269928785E-2</v>
      </c>
      <c r="E165">
        <f>estuary_data!S165*weights!$C$6</f>
        <v>6.9012923580248728E-2</v>
      </c>
      <c r="F165">
        <f>estuary_data!W165*weights!$C$4</f>
        <v>6.5758546320327169E-2</v>
      </c>
      <c r="G165">
        <f>estuary_data!T165*weights!$C$7</f>
        <v>8.1292179414055796E-2</v>
      </c>
      <c r="H165">
        <f>SUM(B165:G165)</f>
        <v>0.40321636630170804</v>
      </c>
      <c r="I165" t="str">
        <f>IF(H165&gt;$L$5/10*9,"1",IF(H165&gt;$L$5/10*8,"2",IF(H165&gt;$L$5/10*7,"3",IF(H165&gt;$L$5/10*6,"4",IF(H165&gt;$L$5/10*5,"5",IF(H165&gt;$L$5/10*4,"6",IF(H165&gt;$L$5/10*3,"7",IF(H165&gt;$L$5/10*2,"8",IF(H165&gt;$L$5/10,"9","10")))))))))</f>
        <v>4</v>
      </c>
    </row>
    <row r="166" spans="1:9" x14ac:dyDescent="0.55000000000000004">
      <c r="A166">
        <v>165</v>
      </c>
      <c r="B166">
        <f>estuary_data!U166*weights!$C$2</f>
        <v>6.36156634629369E-2</v>
      </c>
      <c r="C166">
        <f>estuary_data!R166*weights!$C$5</f>
        <v>9.7539041589101386E-2</v>
      </c>
      <c r="D166">
        <f>estuary_data!V166*weights!$C$3</f>
        <v>1.7306728209191651E-2</v>
      </c>
      <c r="E166">
        <f>estuary_data!S166*weights!$C$6</f>
        <v>6.5675366710104835E-2</v>
      </c>
      <c r="F166">
        <f>estuary_data!W166*weights!$C$4</f>
        <v>4.9298985241579524E-2</v>
      </c>
      <c r="G166">
        <f>estuary_data!T166*weights!$C$7</f>
        <v>6.9326145365359013E-2</v>
      </c>
      <c r="H166">
        <f>SUM(B166:G166)</f>
        <v>0.36276193057827327</v>
      </c>
      <c r="I166" t="str">
        <f>IF(H166&gt;$L$5/10*9,"1",IF(H166&gt;$L$5/10*8,"2",IF(H166&gt;$L$5/10*7,"3",IF(H166&gt;$L$5/10*6,"4",IF(H166&gt;$L$5/10*5,"5",IF(H166&gt;$L$5/10*4,"6",IF(H166&gt;$L$5/10*3,"7",IF(H166&gt;$L$5/10*2,"8",IF(H166&gt;$L$5/10,"9","10")))))))))</f>
        <v>5</v>
      </c>
    </row>
    <row r="167" spans="1:9" x14ac:dyDescent="0.55000000000000004">
      <c r="A167">
        <v>166</v>
      </c>
      <c r="B167">
        <f>estuary_data!U167*weights!$C$2</f>
        <v>7.0535089404230672E-2</v>
      </c>
      <c r="C167">
        <f>estuary_data!R167*weights!$C$5</f>
        <v>0.10017646798996394</v>
      </c>
      <c r="D167">
        <f>estuary_data!V167*weights!$C$3</f>
        <v>1.9010031288359926E-2</v>
      </c>
      <c r="E167">
        <f>estuary_data!S167*weights!$C$6</f>
        <v>6.2713646677307333E-2</v>
      </c>
      <c r="F167">
        <f>estuary_data!W167*weights!$C$4</f>
        <v>5.4825271281689986E-2</v>
      </c>
      <c r="G167">
        <f>estuary_data!T167*weights!$C$7</f>
        <v>6.3874030246882971E-2</v>
      </c>
      <c r="H167">
        <f>SUM(B167:G167)</f>
        <v>0.3711345368884349</v>
      </c>
      <c r="I167" t="str">
        <f>IF(H167&gt;$L$5/10*9,"1",IF(H167&gt;$L$5/10*8,"2",IF(H167&gt;$L$5/10*7,"3",IF(H167&gt;$L$5/10*6,"4",IF(H167&gt;$L$5/10*5,"5",IF(H167&gt;$L$5/10*4,"6",IF(H167&gt;$L$5/10*3,"7",IF(H167&gt;$L$5/10*2,"8",IF(H167&gt;$L$5/10,"9","10")))))))))</f>
        <v>5</v>
      </c>
    </row>
    <row r="168" spans="1:9" x14ac:dyDescent="0.55000000000000004">
      <c r="A168">
        <v>167</v>
      </c>
      <c r="B168">
        <f>estuary_data!U168*weights!$C$2</f>
        <v>6.4910305857030989E-2</v>
      </c>
      <c r="C168">
        <f>estuary_data!R168*weights!$C$5</f>
        <v>0.10718618043717099</v>
      </c>
      <c r="D168">
        <f>estuary_data!V168*weights!$C$3</f>
        <v>2.0045583245701225E-2</v>
      </c>
      <c r="E168">
        <f>estuary_data!S168*weights!$C$6</f>
        <v>5.2785970129858195E-2</v>
      </c>
      <c r="F168">
        <f>estuary_data!W168*weights!$C$4</f>
        <v>5.7067067310266534E-2</v>
      </c>
      <c r="G168">
        <f>estuary_data!T168*weights!$C$7</f>
        <v>4.1337503129541583E-2</v>
      </c>
      <c r="H168">
        <f>SUM(B168:G168)</f>
        <v>0.34333261010956956</v>
      </c>
      <c r="I168" t="str">
        <f>IF(H168&gt;$L$5/10*9,"1",IF(H168&gt;$L$5/10*8,"2",IF(H168&gt;$L$5/10*7,"3",IF(H168&gt;$L$5/10*6,"4",IF(H168&gt;$L$5/10*5,"5",IF(H168&gt;$L$5/10*4,"6",IF(H168&gt;$L$5/10*3,"7",IF(H168&gt;$L$5/10*2,"8",IF(H168&gt;$L$5/10,"9","10")))))))))</f>
        <v>5</v>
      </c>
    </row>
    <row r="169" spans="1:9" x14ac:dyDescent="0.55000000000000004">
      <c r="A169">
        <v>168</v>
      </c>
      <c r="B169">
        <f>estuary_data!U169*weights!$C$2</f>
        <v>6.3532821346335921E-2</v>
      </c>
      <c r="C169">
        <f>estuary_data!R169*weights!$C$5</f>
        <v>0.10793630942498364</v>
      </c>
      <c r="D169">
        <f>estuary_data!V169*weights!$C$3</f>
        <v>1.7811324624733921E-2</v>
      </c>
      <c r="E169">
        <f>estuary_data!S169*weights!$C$6</f>
        <v>5.1828746933617505E-2</v>
      </c>
      <c r="F169">
        <f>estuary_data!W169*weights!$C$4</f>
        <v>5.2241718842901776E-2</v>
      </c>
      <c r="G169">
        <f>estuary_data!T169*weights!$C$7</f>
        <v>3.8700327208779819E-2</v>
      </c>
      <c r="H169">
        <f>SUM(B169:G169)</f>
        <v>0.33205124838135258</v>
      </c>
      <c r="I169" t="str">
        <f>IF(H169&gt;$L$5/10*9,"1",IF(H169&gt;$L$5/10*8,"2",IF(H169&gt;$L$5/10*7,"3",IF(H169&gt;$L$5/10*6,"4",IF(H169&gt;$L$5/10*5,"5",IF(H169&gt;$L$5/10*4,"6",IF(H169&gt;$L$5/10*3,"7",IF(H169&gt;$L$5/10*2,"8",IF(H169&gt;$L$5/10,"9","10")))))))))</f>
        <v>6</v>
      </c>
    </row>
    <row r="170" spans="1:9" x14ac:dyDescent="0.55000000000000004">
      <c r="A170">
        <v>169</v>
      </c>
      <c r="B170">
        <f>estuary_data!U170*weights!$C$2</f>
        <v>6.590001521195557E-2</v>
      </c>
      <c r="C170">
        <f>estuary_data!R170*weights!$C$5</f>
        <v>0.10925329199848431</v>
      </c>
      <c r="D170">
        <f>estuary_data!V170*weights!$C$3</f>
        <v>1.9652017579214885E-2</v>
      </c>
      <c r="E170">
        <f>estuary_data!S170*weights!$C$6</f>
        <v>4.9905365992706556E-2</v>
      </c>
      <c r="F170">
        <f>estuary_data!W170*weights!$C$4</f>
        <v>5.2963008871006162E-2</v>
      </c>
      <c r="G170">
        <f>estuary_data!T170*weights!$C$7</f>
        <v>3.3520550651982416E-2</v>
      </c>
      <c r="H170">
        <f>SUM(B170:G170)</f>
        <v>0.33119425030534988</v>
      </c>
      <c r="I170" t="str">
        <f>IF(H170&gt;$L$5/10*9,"1",IF(H170&gt;$L$5/10*8,"2",IF(H170&gt;$L$5/10*7,"3",IF(H170&gt;$L$5/10*6,"4",IF(H170&gt;$L$5/10*5,"5",IF(H170&gt;$L$5/10*4,"6",IF(H170&gt;$L$5/10*3,"7",IF(H170&gt;$L$5/10*2,"8",IF(H170&gt;$L$5/10,"9","10")))))))))</f>
        <v>6</v>
      </c>
    </row>
    <row r="171" spans="1:9" x14ac:dyDescent="0.55000000000000004">
      <c r="A171">
        <v>170</v>
      </c>
      <c r="B171">
        <f>estuary_data!U171*weights!$C$2</f>
        <v>6.8677790971514052E-2</v>
      </c>
      <c r="C171">
        <f>estuary_data!R171*weights!$C$5</f>
        <v>0.11706793933219618</v>
      </c>
      <c r="D171">
        <f>estuary_data!V171*weights!$C$3</f>
        <v>2.1770245543437185E-2</v>
      </c>
      <c r="E171">
        <f>estuary_data!S171*weights!$C$6</f>
        <v>4.3937694282640528E-2</v>
      </c>
      <c r="F171">
        <f>estuary_data!W171*weights!$C$4</f>
        <v>5.6265611138243334E-2</v>
      </c>
      <c r="G171">
        <f>estuary_data!T171*weights!$C$7</f>
        <v>1.4540804082299751E-2</v>
      </c>
      <c r="H171">
        <f>SUM(B171:G171)</f>
        <v>0.32226008535033102</v>
      </c>
      <c r="I171" t="str">
        <f>IF(H171&gt;$L$5/10*9,"1",IF(H171&gt;$L$5/10*8,"2",IF(H171&gt;$L$5/10*7,"3",IF(H171&gt;$L$5/10*6,"4",IF(H171&gt;$L$5/10*5,"5",IF(H171&gt;$L$5/10*4,"6",IF(H171&gt;$L$5/10*3,"7",IF(H171&gt;$L$5/10*2,"8",IF(H171&gt;$L$5/10,"9","10")))))))))</f>
        <v>6</v>
      </c>
    </row>
    <row r="172" spans="1:9" x14ac:dyDescent="0.55000000000000004">
      <c r="A172">
        <v>171</v>
      </c>
      <c r="B172">
        <f>estuary_data!U172*weights!$C$2</f>
        <v>6.6083123033936819E-2</v>
      </c>
      <c r="C172">
        <f>estuary_data!R172*weights!$C$5</f>
        <v>0.12056779620341382</v>
      </c>
      <c r="D172">
        <f>estuary_data!V172*weights!$C$3</f>
        <v>2.1775428962636935E-2</v>
      </c>
      <c r="E172">
        <f>estuary_data!S172*weights!$C$6</f>
        <v>5.2230654068524694E-2</v>
      </c>
      <c r="F172">
        <f>estuary_data!W172*weights!$C$4</f>
        <v>6.6485881965760524E-2</v>
      </c>
      <c r="G172">
        <f>estuary_data!T172*weights!$C$7</f>
        <v>3.4002926093178523E-2</v>
      </c>
      <c r="H172">
        <f>SUM(B172:G172)</f>
        <v>0.36114581032745124</v>
      </c>
      <c r="I172" t="str">
        <f>IF(H172&gt;$L$5/10*9,"1",IF(H172&gt;$L$5/10*8,"2",IF(H172&gt;$L$5/10*7,"3",IF(H172&gt;$L$5/10*6,"4",IF(H172&gt;$L$5/10*5,"5",IF(H172&gt;$L$5/10*4,"6",IF(H172&gt;$L$5/10*3,"7",IF(H172&gt;$L$5/10*2,"8",IF(H172&gt;$L$5/10,"9","10")))))))))</f>
        <v>5</v>
      </c>
    </row>
    <row r="173" spans="1:9" x14ac:dyDescent="0.55000000000000004">
      <c r="A173">
        <v>172</v>
      </c>
      <c r="B173">
        <f>estuary_data!U173*weights!$C$2</f>
        <v>7.2770071743245318E-2</v>
      </c>
      <c r="C173">
        <f>estuary_data!R173*weights!$C$5</f>
        <v>0.13145048153126834</v>
      </c>
      <c r="D173">
        <f>estuary_data!V173*weights!$C$3</f>
        <v>1.9811563021760292E-2</v>
      </c>
      <c r="E173">
        <f>estuary_data!S173*weights!$C$6</f>
        <v>5.59870340553347E-2</v>
      </c>
      <c r="F173">
        <f>estuary_data!W173*weights!$C$4</f>
        <v>5.9021489608804378E-2</v>
      </c>
      <c r="G173">
        <f>estuary_data!T173*weights!$C$7</f>
        <v>0.19851477256135458</v>
      </c>
      <c r="H173">
        <f>SUM(B173:G173)</f>
        <v>0.53755541252176764</v>
      </c>
      <c r="I173" t="str">
        <f>IF(H173&gt;$L$5/10*9,"1",IF(H173&gt;$L$5/10*8,"2",IF(H173&gt;$L$5/10*7,"3",IF(H173&gt;$L$5/10*6,"4",IF(H173&gt;$L$5/10*5,"5",IF(H173&gt;$L$5/10*4,"6",IF(H173&gt;$L$5/10*3,"7",IF(H173&gt;$L$5/10*2,"8",IF(H173&gt;$L$5/10,"9","10")))))))))</f>
        <v>2</v>
      </c>
    </row>
    <row r="174" spans="1:9" x14ac:dyDescent="0.55000000000000004">
      <c r="A174">
        <v>173</v>
      </c>
      <c r="B174">
        <f>estuary_data!U174*weights!$C$2</f>
        <v>6.2724656444256732E-2</v>
      </c>
      <c r="C174">
        <f>estuary_data!R174*weights!$C$5</f>
        <v>0.12393056331053484</v>
      </c>
      <c r="D174">
        <f>estuary_data!V174*weights!$C$3</f>
        <v>2.0348141676622227E-2</v>
      </c>
      <c r="E174">
        <f>estuary_data!S174*weights!$C$6</f>
        <v>4.5962953130219385E-2</v>
      </c>
      <c r="F174">
        <f>estuary_data!W174*weights!$C$4</f>
        <v>5.5313698607805738E-2</v>
      </c>
      <c r="G174">
        <f>estuary_data!T174*weights!$C$7</f>
        <v>0.18779139427193595</v>
      </c>
      <c r="H174">
        <f>SUM(B174:G174)</f>
        <v>0.49607140744137479</v>
      </c>
      <c r="I174" t="str">
        <f>IF(H174&gt;$L$5/10*9,"1",IF(H174&gt;$L$5/10*8,"2",IF(H174&gt;$L$5/10*7,"3",IF(H174&gt;$L$5/10*6,"4",IF(H174&gt;$L$5/10*5,"5",IF(H174&gt;$L$5/10*4,"6",IF(H174&gt;$L$5/10*3,"7",IF(H174&gt;$L$5/10*2,"8",IF(H174&gt;$L$5/10,"9","10")))))))))</f>
        <v>3</v>
      </c>
    </row>
    <row r="175" spans="1:9" x14ac:dyDescent="0.55000000000000004">
      <c r="A175">
        <v>174</v>
      </c>
      <c r="B175">
        <f>estuary_data!U175*weights!$C$2</f>
        <v>6.9684272789691692E-2</v>
      </c>
      <c r="C175">
        <f>estuary_data!R175*weights!$C$5</f>
        <v>0.12983568674959192</v>
      </c>
      <c r="D175">
        <f>estuary_data!V175*weights!$C$3</f>
        <v>1.8985119969352978E-2</v>
      </c>
      <c r="E175">
        <f>estuary_data!S175*weights!$C$6</f>
        <v>5.2384777432569071E-2</v>
      </c>
      <c r="F175">
        <f>estuary_data!W175*weights!$C$4</f>
        <v>5.3885463551132884E-2</v>
      </c>
      <c r="G175">
        <f>estuary_data!T175*weights!$C$7</f>
        <v>0.17104060232988788</v>
      </c>
      <c r="H175">
        <f>SUM(B175:G175)</f>
        <v>0.49581592282222642</v>
      </c>
      <c r="I175" t="str">
        <f>IF(H175&gt;$L$5/10*9,"1",IF(H175&gt;$L$5/10*8,"2",IF(H175&gt;$L$5/10*7,"3",IF(H175&gt;$L$5/10*6,"4",IF(H175&gt;$L$5/10*5,"5",IF(H175&gt;$L$5/10*4,"6",IF(H175&gt;$L$5/10*3,"7",IF(H175&gt;$L$5/10*2,"8",IF(H175&gt;$L$5/10,"9","10")))))))))</f>
        <v>3</v>
      </c>
    </row>
    <row r="176" spans="1:9" x14ac:dyDescent="0.55000000000000004">
      <c r="A176">
        <v>175</v>
      </c>
      <c r="B176">
        <f>estuary_data!U176*weights!$C$2</f>
        <v>7.1094716891758974E-2</v>
      </c>
      <c r="C176">
        <f>estuary_data!R176*weights!$C$5</f>
        <v>0.13586081232241545</v>
      </c>
      <c r="D176">
        <f>estuary_data!V176*weights!$C$3</f>
        <v>1.8954767022176425E-2</v>
      </c>
      <c r="E176">
        <f>estuary_data!S176*weights!$C$6</f>
        <v>6.6205398177547864E-2</v>
      </c>
      <c r="F176">
        <f>estuary_data!W176*weights!$C$4</f>
        <v>5.1249963762340159E-2</v>
      </c>
      <c r="G176">
        <f>estuary_data!T176*weights!$C$7</f>
        <v>2.3596363940621104E-2</v>
      </c>
      <c r="H176">
        <f>SUM(B176:G176)</f>
        <v>0.36696202211685996</v>
      </c>
      <c r="I176" t="str">
        <f>IF(H176&gt;$L$5/10*9,"1",IF(H176&gt;$L$5/10*8,"2",IF(H176&gt;$L$5/10*7,"3",IF(H176&gt;$L$5/10*6,"4",IF(H176&gt;$L$5/10*5,"5",IF(H176&gt;$L$5/10*4,"6",IF(H176&gt;$L$5/10*3,"7",IF(H176&gt;$L$5/10*2,"8",IF(H176&gt;$L$5/10,"9","10")))))))))</f>
        <v>5</v>
      </c>
    </row>
    <row r="177" spans="1:9" x14ac:dyDescent="0.55000000000000004">
      <c r="A177">
        <v>176</v>
      </c>
      <c r="B177">
        <f>estuary_data!U177*weights!$C$2</f>
        <v>7.4722824958849368E-2</v>
      </c>
      <c r="C177">
        <f>estuary_data!R177*weights!$C$5</f>
        <v>8.999548427526266E-2</v>
      </c>
      <c r="D177">
        <f>estuary_data!V177*weights!$C$3</f>
        <v>2.3336725763486475E-2</v>
      </c>
      <c r="E177">
        <f>estuary_data!S177*weights!$C$6</f>
        <v>4.204571029825397E-2</v>
      </c>
      <c r="F177">
        <f>estuary_data!W177*weights!$C$4</f>
        <v>5.8823735045104804E-2</v>
      </c>
      <c r="G177">
        <f>estuary_data!T177*weights!$C$7</f>
        <v>1.5324388415668076E-2</v>
      </c>
      <c r="H177">
        <f>SUM(B177:G177)</f>
        <v>0.30424886875662532</v>
      </c>
      <c r="I177" t="str">
        <f>IF(H177&gt;$L$5/10*9,"1",IF(H177&gt;$L$5/10*8,"2",IF(H177&gt;$L$5/10*7,"3",IF(H177&gt;$L$5/10*6,"4",IF(H177&gt;$L$5/10*5,"5",IF(H177&gt;$L$5/10*4,"6",IF(H177&gt;$L$5/10*3,"7",IF(H177&gt;$L$5/10*2,"8",IF(H177&gt;$L$5/10,"9","10")))))))))</f>
        <v>6</v>
      </c>
    </row>
    <row r="178" spans="1:9" x14ac:dyDescent="0.55000000000000004">
      <c r="A178">
        <v>177</v>
      </c>
      <c r="B178">
        <f>estuary_data!U178*weights!$C$2</f>
        <v>7.1250356825905567E-2</v>
      </c>
      <c r="C178">
        <f>estuary_data!R178*weights!$C$5</f>
        <v>8.9963826515503262E-2</v>
      </c>
      <c r="D178">
        <f>estuary_data!V178*weights!$C$3</f>
        <v>2.1871296948563081E-2</v>
      </c>
      <c r="E178">
        <f>estuary_data!S178*weights!$C$6</f>
        <v>4.7550444180011156E-2</v>
      </c>
      <c r="F178">
        <f>estuary_data!W178*weights!$C$4</f>
        <v>5.44741083583931E-2</v>
      </c>
      <c r="G178">
        <f>estuary_data!T178*weights!$C$7</f>
        <v>2.3740689447107364E-2</v>
      </c>
      <c r="H178">
        <f>SUM(B178:G178)</f>
        <v>0.30885072227548355</v>
      </c>
      <c r="I178" t="str">
        <f>IF(H178&gt;$L$5/10*9,"1",IF(H178&gt;$L$5/10*8,"2",IF(H178&gt;$L$5/10*7,"3",IF(H178&gt;$L$5/10*6,"4",IF(H178&gt;$L$5/10*5,"5",IF(H178&gt;$L$5/10*4,"6",IF(H178&gt;$L$5/10*3,"7",IF(H178&gt;$L$5/10*2,"8",IF(H178&gt;$L$5/10,"9","10")))))))))</f>
        <v>6</v>
      </c>
    </row>
    <row r="179" spans="1:9" x14ac:dyDescent="0.55000000000000004">
      <c r="A179">
        <v>178</v>
      </c>
      <c r="B179">
        <f>estuary_data!U179*weights!$C$2</f>
        <v>7.3615736970007298E-2</v>
      </c>
      <c r="C179">
        <f>estuary_data!R179*weights!$C$5</f>
        <v>8.9484013014812361E-2</v>
      </c>
      <c r="D179">
        <f>estuary_data!V179*weights!$C$3</f>
        <v>2.2799428753004732E-2</v>
      </c>
      <c r="E179">
        <f>estuary_data!S179*weights!$C$6</f>
        <v>4.680018511823076E-2</v>
      </c>
      <c r="F179">
        <f>estuary_data!W179*weights!$C$4</f>
        <v>5.491478908152897E-2</v>
      </c>
      <c r="G179">
        <f>estuary_data!T179*weights!$C$7</f>
        <v>2.1466207983212131E-2</v>
      </c>
      <c r="H179">
        <f>SUM(B179:G179)</f>
        <v>0.30908036092079622</v>
      </c>
      <c r="I179" t="str">
        <f>IF(H179&gt;$L$5/10*9,"1",IF(H179&gt;$L$5/10*8,"2",IF(H179&gt;$L$5/10*7,"3",IF(H179&gt;$L$5/10*6,"4",IF(H179&gt;$L$5/10*5,"5",IF(H179&gt;$L$5/10*4,"6",IF(H179&gt;$L$5/10*3,"7",IF(H179&gt;$L$5/10*2,"8",IF(H179&gt;$L$5/10,"9","10")))))))))</f>
        <v>6</v>
      </c>
    </row>
    <row r="180" spans="1:9" x14ac:dyDescent="0.55000000000000004">
      <c r="A180">
        <v>179</v>
      </c>
      <c r="B180">
        <f>estuary_data!U180*weights!$C$2</f>
        <v>8.2977271599728203E-2</v>
      </c>
      <c r="C180">
        <f>estuary_data!R180*weights!$C$5</f>
        <v>9.0002393956740492E-2</v>
      </c>
      <c r="D180">
        <f>estuary_data!V180*weights!$C$3</f>
        <v>2.5186362344712963E-2</v>
      </c>
      <c r="E180">
        <f>estuary_data!S180*weights!$C$6</f>
        <v>2.9402489222763645E-2</v>
      </c>
      <c r="F180">
        <f>estuary_data!W180*weights!$C$4</f>
        <v>5.8992816305391417E-2</v>
      </c>
      <c r="G180">
        <f>estuary_data!T180*weights!$C$7</f>
        <v>6.4064838186778149E-3</v>
      </c>
      <c r="H180">
        <f>SUM(B180:G180)</f>
        <v>0.29296781724801457</v>
      </c>
      <c r="I180" t="str">
        <f>IF(H180&gt;$L$5/10*9,"1",IF(H180&gt;$L$5/10*8,"2",IF(H180&gt;$L$5/10*7,"3",IF(H180&gt;$L$5/10*6,"4",IF(H180&gt;$L$5/10*5,"5",IF(H180&gt;$L$5/10*4,"6",IF(H180&gt;$L$5/10*3,"7",IF(H180&gt;$L$5/10*2,"8",IF(H180&gt;$L$5/10,"9","10")))))))))</f>
        <v>6</v>
      </c>
    </row>
    <row r="181" spans="1:9" x14ac:dyDescent="0.55000000000000004">
      <c r="A181">
        <v>180</v>
      </c>
      <c r="B181">
        <f>estuary_data!U181*weights!$C$2</f>
        <v>7.7373869431862877E-2</v>
      </c>
      <c r="C181">
        <f>estuary_data!R181*weights!$C$5</f>
        <v>9.921569400969607E-2</v>
      </c>
      <c r="D181">
        <f>estuary_data!V181*weights!$C$3</f>
        <v>2.6865387267918771E-2</v>
      </c>
      <c r="E181">
        <f>estuary_data!S181*weights!$C$6</f>
        <v>2.9936647628011621E-3</v>
      </c>
      <c r="F181">
        <f>estuary_data!W181*weights!$C$4</f>
        <v>7.9934120098936329E-2</v>
      </c>
      <c r="G181">
        <f>estuary_data!T181*weights!$C$7</f>
        <v>5.3159978884636423E-2</v>
      </c>
      <c r="H181">
        <f>SUM(B181:G181)</f>
        <v>0.3395427144558516</v>
      </c>
      <c r="I181" t="str">
        <f>IF(H181&gt;$L$5/10*9,"1",IF(H181&gt;$L$5/10*8,"2",IF(H181&gt;$L$5/10*7,"3",IF(H181&gt;$L$5/10*6,"4",IF(H181&gt;$L$5/10*5,"5",IF(H181&gt;$L$5/10*4,"6",IF(H181&gt;$L$5/10*3,"7",IF(H181&gt;$L$5/10*2,"8",IF(H181&gt;$L$5/10,"9","10")))))))))</f>
        <v>5</v>
      </c>
    </row>
    <row r="182" spans="1:9" x14ac:dyDescent="0.55000000000000004">
      <c r="A182">
        <v>181</v>
      </c>
      <c r="B182">
        <f>estuary_data!U182*weights!$C$2</f>
        <v>8.4955141743280185E-2</v>
      </c>
      <c r="C182">
        <f>estuary_data!R182*weights!$C$5</f>
        <v>0.10056803740926222</v>
      </c>
      <c r="D182">
        <f>estuary_data!V182*weights!$C$3</f>
        <v>3.1294187705806178E-2</v>
      </c>
      <c r="E182">
        <f>estuary_data!S182*weights!$C$6</f>
        <v>1.0343436208101865E-2</v>
      </c>
      <c r="F182">
        <f>estuary_data!W182*weights!$C$4</f>
        <v>0.11214124798360368</v>
      </c>
      <c r="G182">
        <f>estuary_data!T182*weights!$C$7</f>
        <v>8.1029313287618712E-2</v>
      </c>
      <c r="H182">
        <f>SUM(B182:G182)</f>
        <v>0.42033136433767282</v>
      </c>
      <c r="I182" t="str">
        <f>IF(H182&gt;$L$5/10*9,"1",IF(H182&gt;$L$5/10*8,"2",IF(H182&gt;$L$5/10*7,"3",IF(H182&gt;$L$5/10*6,"4",IF(H182&gt;$L$5/10*5,"5",IF(H182&gt;$L$5/10*4,"6",IF(H182&gt;$L$5/10*3,"7",IF(H182&gt;$L$5/10*2,"8",IF(H182&gt;$L$5/10,"9","10")))))))))</f>
        <v>4</v>
      </c>
    </row>
    <row r="183" spans="1:9" x14ac:dyDescent="0.55000000000000004">
      <c r="A183">
        <v>182</v>
      </c>
      <c r="B183">
        <f>estuary_data!U183*weights!$C$2</f>
        <v>7.1825217929424715E-2</v>
      </c>
      <c r="C183">
        <f>estuary_data!R183*weights!$C$5</f>
        <v>0.10433097059174301</v>
      </c>
      <c r="D183">
        <f>estuary_data!V183*weights!$C$3</f>
        <v>2.752010494461123E-2</v>
      </c>
      <c r="E183">
        <f>estuary_data!S183*weights!$C$6</f>
        <v>7.0413443694444531E-3</v>
      </c>
      <c r="F183">
        <f>estuary_data!W183*weights!$C$4</f>
        <v>9.0406503574042119E-2</v>
      </c>
      <c r="G183">
        <f>estuary_data!T183*weights!$C$7</f>
        <v>7.5828132277911908E-2</v>
      </c>
      <c r="H183">
        <f>SUM(B183:G183)</f>
        <v>0.37695227368717743</v>
      </c>
      <c r="I183" t="str">
        <f>IF(H183&gt;$L$5/10*9,"1",IF(H183&gt;$L$5/10*8,"2",IF(H183&gt;$L$5/10*7,"3",IF(H183&gt;$L$5/10*6,"4",IF(H183&gt;$L$5/10*5,"5",IF(H183&gt;$L$5/10*4,"6",IF(H183&gt;$L$5/10*3,"7",IF(H183&gt;$L$5/10*2,"8",IF(H183&gt;$L$5/10,"9","10")))))))))</f>
        <v>5</v>
      </c>
    </row>
    <row r="184" spans="1:9" x14ac:dyDescent="0.55000000000000004">
      <c r="A184">
        <v>183</v>
      </c>
      <c r="B184">
        <f>estuary_data!U184*weights!$C$2</f>
        <v>6.5073869197356957E-2</v>
      </c>
      <c r="C184">
        <f>estuary_data!R184*weights!$C$5</f>
        <v>0.13649982717151965</v>
      </c>
      <c r="D184">
        <f>estuary_data!V184*weights!$C$3</f>
        <v>1.9246394371573716E-2</v>
      </c>
      <c r="E184">
        <f>estuary_data!S184*weights!$C$6</f>
        <v>7.5317743195853798E-2</v>
      </c>
      <c r="F184">
        <f>estuary_data!W184*weights!$C$4</f>
        <v>6.0902679381108334E-2</v>
      </c>
      <c r="G184">
        <f>estuary_data!T184*weights!$C$7</f>
        <v>0.18491785413351799</v>
      </c>
      <c r="H184">
        <f>SUM(B184:G184)</f>
        <v>0.5419583674509304</v>
      </c>
      <c r="I184" t="str">
        <f>IF(H184&gt;$L$5/10*9,"1",IF(H184&gt;$L$5/10*8,"2",IF(H184&gt;$L$5/10*7,"3",IF(H184&gt;$L$5/10*6,"4",IF(H184&gt;$L$5/10*5,"5",IF(H184&gt;$L$5/10*4,"6",IF(H184&gt;$L$5/10*3,"7",IF(H184&gt;$L$5/10*2,"8",IF(H184&gt;$L$5/10,"9","10")))))))))</f>
        <v>2</v>
      </c>
    </row>
    <row r="185" spans="1:9" x14ac:dyDescent="0.55000000000000004">
      <c r="A185">
        <v>184</v>
      </c>
      <c r="B185">
        <f>estuary_data!U185*weights!$C$2</f>
        <v>6.7991210404070218E-2</v>
      </c>
      <c r="C185">
        <f>estuary_data!R185*weights!$C$5</f>
        <v>0.13955750366138586</v>
      </c>
      <c r="D185">
        <f>estuary_data!V185*weights!$C$3</f>
        <v>1.9737288241001866E-2</v>
      </c>
      <c r="E185">
        <f>estuary_data!S185*weights!$C$6</f>
        <v>9.0115955330249811E-2</v>
      </c>
      <c r="F185">
        <f>estuary_data!W185*weights!$C$4</f>
        <v>5.8693338669882252E-2</v>
      </c>
      <c r="G185">
        <f>estuary_data!T185*weights!$C$7</f>
        <v>1.797566348505427E-2</v>
      </c>
      <c r="H185">
        <f>SUM(B185:G185)</f>
        <v>0.39407095979164425</v>
      </c>
      <c r="I185" t="str">
        <f>IF(H185&gt;$L$5/10*9,"1",IF(H185&gt;$L$5/10*8,"2",IF(H185&gt;$L$5/10*7,"3",IF(H185&gt;$L$5/10*6,"4",IF(H185&gt;$L$5/10*5,"5",IF(H185&gt;$L$5/10*4,"6",IF(H185&gt;$L$5/10*3,"7",IF(H185&gt;$L$5/10*2,"8",IF(H185&gt;$L$5/10,"9","10")))))))))</f>
        <v>5</v>
      </c>
    </row>
    <row r="186" spans="1:9" x14ac:dyDescent="0.55000000000000004">
      <c r="A186">
        <v>185</v>
      </c>
      <c r="B186">
        <f>estuary_data!U186*weights!$C$2</f>
        <v>6.6746587399158896E-2</v>
      </c>
      <c r="C186">
        <f>estuary_data!R186*weights!$C$5</f>
        <v>0.11692643389070419</v>
      </c>
      <c r="D186">
        <f>estuary_data!V186*weights!$C$3</f>
        <v>2.30722709006538E-2</v>
      </c>
      <c r="E186">
        <f>estuary_data!S186*weights!$C$6</f>
        <v>4.1418650414965008E-2</v>
      </c>
      <c r="F186">
        <f>estuary_data!W186*weights!$C$4</f>
        <v>7.7316752093805258E-2</v>
      </c>
      <c r="G186">
        <f>estuary_data!T186*weights!$C$7</f>
        <v>1.0901439977332956E-2</v>
      </c>
      <c r="H186">
        <f>SUM(B186:G186)</f>
        <v>0.33638213467662009</v>
      </c>
      <c r="I186" t="str">
        <f>IF(H186&gt;$L$5/10*9,"1",IF(H186&gt;$L$5/10*8,"2",IF(H186&gt;$L$5/10*7,"3",IF(H186&gt;$L$5/10*6,"4",IF(H186&gt;$L$5/10*5,"5",IF(H186&gt;$L$5/10*4,"6",IF(H186&gt;$L$5/10*3,"7",IF(H186&gt;$L$5/10*2,"8",IF(H186&gt;$L$5/10,"9","10")))))))))</f>
        <v>5</v>
      </c>
    </row>
    <row r="187" spans="1:9" x14ac:dyDescent="0.55000000000000004">
      <c r="A187">
        <v>186</v>
      </c>
      <c r="B187">
        <f>estuary_data!U187*weights!$C$2</f>
        <v>6.2962210501573662E-2</v>
      </c>
      <c r="C187">
        <f>estuary_data!R187*weights!$C$5</f>
        <v>0.14066733822654698</v>
      </c>
      <c r="D187">
        <f>estuary_data!V187*weights!$C$3</f>
        <v>2.1357401602551625E-2</v>
      </c>
      <c r="E187">
        <f>estuary_data!S187*weights!$C$6</f>
        <v>9.0708155310122496E-2</v>
      </c>
      <c r="F187">
        <f>estuary_data!W187*weights!$C$4</f>
        <v>6.2078743206317705E-2</v>
      </c>
      <c r="G187">
        <f>estuary_data!T187*weights!$C$7</f>
        <v>0.16676158755279952</v>
      </c>
      <c r="H187">
        <f>SUM(B187:G187)</f>
        <v>0.54453543639991198</v>
      </c>
      <c r="I187" t="str">
        <f>IF(H187&gt;$L$5/10*9,"1",IF(H187&gt;$L$5/10*8,"2",IF(H187&gt;$L$5/10*7,"3",IF(H187&gt;$L$5/10*6,"4",IF(H187&gt;$L$5/10*5,"5",IF(H187&gt;$L$5/10*4,"6",IF(H187&gt;$L$5/10*3,"7",IF(H187&gt;$L$5/10*2,"8",IF(H187&gt;$L$5/10,"9","10")))))))))</f>
        <v>2</v>
      </c>
    </row>
    <row r="188" spans="1:9" x14ac:dyDescent="0.55000000000000004">
      <c r="A188">
        <v>187</v>
      </c>
      <c r="B188">
        <f>estuary_data!U188*weights!$C$2</f>
        <v>7.1792084242716728E-2</v>
      </c>
      <c r="C188">
        <f>estuary_data!R188*weights!$C$5</f>
        <v>0.14225507480463367</v>
      </c>
      <c r="D188">
        <f>estuary_data!V188*weights!$C$3</f>
        <v>1.9429476530431283E-2</v>
      </c>
      <c r="E188">
        <f>estuary_data!S188*weights!$C$6</f>
        <v>9.1079212036244861E-2</v>
      </c>
      <c r="F188">
        <f>estuary_data!W188*weights!$C$4</f>
        <v>6.1705689740089366E-2</v>
      </c>
      <c r="G188">
        <f>estuary_data!T188*weights!$C$7</f>
        <v>0.10204216426327535</v>
      </c>
      <c r="H188">
        <f>SUM(B188:G188)</f>
        <v>0.48830370161739128</v>
      </c>
      <c r="I188" t="str">
        <f>IF(H188&gt;$L$5/10*9,"1",IF(H188&gt;$L$5/10*8,"2",IF(H188&gt;$L$5/10*7,"3",IF(H188&gt;$L$5/10*6,"4",IF(H188&gt;$L$5/10*5,"5",IF(H188&gt;$L$5/10*4,"6",IF(H188&gt;$L$5/10*3,"7",IF(H188&gt;$L$5/10*2,"8",IF(H188&gt;$L$5/10,"9","10")))))))))</f>
        <v>3</v>
      </c>
    </row>
    <row r="189" spans="1:9" x14ac:dyDescent="0.55000000000000004">
      <c r="A189">
        <v>188</v>
      </c>
      <c r="B189">
        <f>estuary_data!U189*weights!$C$2</f>
        <v>7.0881151955560953E-2</v>
      </c>
      <c r="C189">
        <f>estuary_data!R189*weights!$C$5</f>
        <v>0.14265521</v>
      </c>
      <c r="D189">
        <f>estuary_data!V189*weights!$C$3</f>
        <v>1.9635386231341753E-2</v>
      </c>
      <c r="E189">
        <f>estuary_data!S189*weights!$C$6</f>
        <v>8.8404254659615517E-2</v>
      </c>
      <c r="F189">
        <f>estuary_data!W189*weights!$C$4</f>
        <v>6.5656446105509192E-2</v>
      </c>
      <c r="G189">
        <f>estuary_data!T189*weights!$C$7</f>
        <v>0.144314405582357</v>
      </c>
      <c r="H189">
        <f>SUM(B189:G189)</f>
        <v>0.53154685453438444</v>
      </c>
      <c r="I189" t="str">
        <f>IF(H189&gt;$L$5/10*9,"1",IF(H189&gt;$L$5/10*8,"2",IF(H189&gt;$L$5/10*7,"3",IF(H189&gt;$L$5/10*6,"4",IF(H189&gt;$L$5/10*5,"5",IF(H189&gt;$L$5/10*4,"6",IF(H189&gt;$L$5/10*3,"7",IF(H189&gt;$L$5/10*2,"8",IF(H189&gt;$L$5/10,"9","10")))))))))</f>
        <v>2</v>
      </c>
    </row>
    <row r="190" spans="1:9" x14ac:dyDescent="0.55000000000000004">
      <c r="A190">
        <v>189</v>
      </c>
      <c r="B190">
        <f>estuary_data!U190*weights!$C$2</f>
        <v>8.0074834508787204E-2</v>
      </c>
      <c r="C190">
        <f>estuary_data!R190*weights!$C$5</f>
        <v>0.14249867457046717</v>
      </c>
      <c r="D190">
        <f>estuary_data!V190*weights!$C$3</f>
        <v>1.7932509756999407E-2</v>
      </c>
      <c r="E190">
        <f>estuary_data!S190*weights!$C$6</f>
        <v>8.6090367466209503E-2</v>
      </c>
      <c r="F190">
        <f>estuary_data!W190*weights!$C$4</f>
        <v>6.0650089416557723E-2</v>
      </c>
      <c r="G190">
        <f>estuary_data!T190*weights!$C$7</f>
        <v>2.1402518508651214E-2</v>
      </c>
      <c r="H190">
        <f>SUM(B190:G190)</f>
        <v>0.40864899422767226</v>
      </c>
      <c r="I190" t="str">
        <f>IF(H190&gt;$L$5/10*9,"1",IF(H190&gt;$L$5/10*8,"2",IF(H190&gt;$L$5/10*7,"3",IF(H190&gt;$L$5/10*6,"4",IF(H190&gt;$L$5/10*5,"5",IF(H190&gt;$L$5/10*4,"6",IF(H190&gt;$L$5/10*3,"7",IF(H190&gt;$L$5/10*2,"8",IF(H190&gt;$L$5/10,"9","10")))))))))</f>
        <v>4</v>
      </c>
    </row>
    <row r="191" spans="1:9" x14ac:dyDescent="0.55000000000000004">
      <c r="A191">
        <v>190</v>
      </c>
      <c r="B191">
        <f>estuary_data!U191*weights!$C$2</f>
        <v>6.4546952344372618E-2</v>
      </c>
      <c r="C191">
        <f>estuary_data!R191*weights!$C$5</f>
        <v>0.13634418327380626</v>
      </c>
      <c r="D191">
        <f>estuary_data!V191*weights!$C$3</f>
        <v>1.727237015100767E-2</v>
      </c>
      <c r="E191">
        <f>estuary_data!S191*weights!$C$6</f>
        <v>6.6171668146356832E-2</v>
      </c>
      <c r="F191">
        <f>estuary_data!W191*weights!$C$4</f>
        <v>4.7933614110713271E-2</v>
      </c>
      <c r="G191">
        <f>estuary_data!T191*weights!$C$7</f>
        <v>2.9868181441782649E-2</v>
      </c>
      <c r="H191">
        <f>SUM(B191:G191)</f>
        <v>0.36213696946803936</v>
      </c>
      <c r="I191" t="str">
        <f>IF(H191&gt;$L$5/10*9,"1",IF(H191&gt;$L$5/10*8,"2",IF(H191&gt;$L$5/10*7,"3",IF(H191&gt;$L$5/10*6,"4",IF(H191&gt;$L$5/10*5,"5",IF(H191&gt;$L$5/10*4,"6",IF(H191&gt;$L$5/10*3,"7",IF(H191&gt;$L$5/10*2,"8",IF(H191&gt;$L$5/10,"9","10")))))))))</f>
        <v>5</v>
      </c>
    </row>
    <row r="192" spans="1:9" x14ac:dyDescent="0.55000000000000004">
      <c r="A192">
        <v>191</v>
      </c>
      <c r="B192">
        <f>estuary_data!U192*weights!$C$2</f>
        <v>6.1527405363301625E-2</v>
      </c>
      <c r="C192">
        <f>estuary_data!R192*weights!$C$5</f>
        <v>0.10109206249185229</v>
      </c>
      <c r="D192">
        <f>estuary_data!V192*weights!$C$3</f>
        <v>1.6956240250957082E-2</v>
      </c>
      <c r="E192">
        <f>estuary_data!S192*weights!$C$6</f>
        <v>5.2475548192344783E-2</v>
      </c>
      <c r="F192">
        <f>estuary_data!W192*weights!$C$4</f>
        <v>4.3266496812331655E-2</v>
      </c>
      <c r="G192">
        <f>estuary_data!T192*weights!$C$7</f>
        <v>3.3874912360510039E-2</v>
      </c>
      <c r="H192">
        <f>SUM(B192:G192)</f>
        <v>0.30919266547129748</v>
      </c>
      <c r="I192" t="str">
        <f>IF(H192&gt;$L$5/10*9,"1",IF(H192&gt;$L$5/10*8,"2",IF(H192&gt;$L$5/10*7,"3",IF(H192&gt;$L$5/10*6,"4",IF(H192&gt;$L$5/10*5,"5",IF(H192&gt;$L$5/10*4,"6",IF(H192&gt;$L$5/10*3,"7",IF(H192&gt;$L$5/10*2,"8",IF(H192&gt;$L$5/10,"9","10")))))))))</f>
        <v>6</v>
      </c>
    </row>
    <row r="193" spans="1:9" x14ac:dyDescent="0.55000000000000004">
      <c r="A193">
        <v>192</v>
      </c>
      <c r="B193">
        <f>estuary_data!U193*weights!$C$2</f>
        <v>6.1166064139529547E-2</v>
      </c>
      <c r="C193">
        <f>estuary_data!R193*weights!$C$5</f>
        <v>0.1015187012904363</v>
      </c>
      <c r="D193">
        <f>estuary_data!V193*weights!$C$3</f>
        <v>1.5503353424585925E-2</v>
      </c>
      <c r="E193">
        <f>estuary_data!S193*weights!$C$6</f>
        <v>5.138177504770812E-2</v>
      </c>
      <c r="F193">
        <f>estuary_data!W193*weights!$C$4</f>
        <v>3.332200785927756E-2</v>
      </c>
      <c r="G193">
        <f>estuary_data!T193*weights!$C$7</f>
        <v>2.5426173490242836E-2</v>
      </c>
      <c r="H193">
        <f>SUM(B193:G193)</f>
        <v>0.28831807525178033</v>
      </c>
      <c r="I193" t="str">
        <f>IF(H193&gt;$L$5/10*9,"1",IF(H193&gt;$L$5/10*8,"2",IF(H193&gt;$L$5/10*7,"3",IF(H193&gt;$L$5/10*6,"4",IF(H193&gt;$L$5/10*5,"5",IF(H193&gt;$L$5/10*4,"6",IF(H193&gt;$L$5/10*3,"7",IF(H193&gt;$L$5/10*2,"8",IF(H193&gt;$L$5/10,"9","10")))))))))</f>
        <v>6</v>
      </c>
    </row>
    <row r="194" spans="1:9" x14ac:dyDescent="0.55000000000000004">
      <c r="A194">
        <v>193</v>
      </c>
      <c r="B194">
        <f>estuary_data!U194*weights!$C$2</f>
        <v>5.9422156745133584E-2</v>
      </c>
      <c r="C194">
        <f>estuary_data!R194*weights!$C$5</f>
        <v>0.10164846721467823</v>
      </c>
      <c r="D194">
        <f>estuary_data!V194*weights!$C$3</f>
        <v>1.6019295098050817E-2</v>
      </c>
      <c r="E194">
        <f>estuary_data!S194*weights!$C$6</f>
        <v>3.6609182156909552E-2</v>
      </c>
      <c r="F194">
        <f>estuary_data!W194*weights!$C$4</f>
        <v>3.7374295117548022E-2</v>
      </c>
      <c r="G194">
        <f>estuary_data!T194*weights!$C$7</f>
        <v>6.8847604840319718E-3</v>
      </c>
      <c r="H194">
        <f>SUM(B194:G194)</f>
        <v>0.25795815681635215</v>
      </c>
      <c r="I194" t="str">
        <f>IF(H194&gt;$L$5/10*9,"1",IF(H194&gt;$L$5/10*8,"2",IF(H194&gt;$L$5/10*7,"3",IF(H194&gt;$L$5/10*6,"4",IF(H194&gt;$L$5/10*5,"5",IF(H194&gt;$L$5/10*4,"6",IF(H194&gt;$L$5/10*3,"7",IF(H194&gt;$L$5/10*2,"8",IF(H194&gt;$L$5/10,"9","10")))))))))</f>
        <v>7</v>
      </c>
    </row>
    <row r="195" spans="1:9" x14ac:dyDescent="0.55000000000000004">
      <c r="A195">
        <v>194</v>
      </c>
      <c r="B195">
        <f>estuary_data!U195*weights!$C$2</f>
        <v>5.9702780582953564E-2</v>
      </c>
      <c r="C195">
        <f>estuary_data!R195*weights!$C$5</f>
        <v>0.1015811346553067</v>
      </c>
      <c r="D195">
        <f>estuary_data!V195*weights!$C$3</f>
        <v>1.614845270051735E-2</v>
      </c>
      <c r="E195">
        <f>estuary_data!S195*weights!$C$6</f>
        <v>3.3818443327023454E-2</v>
      </c>
      <c r="F195">
        <f>estuary_data!W195*weights!$C$4</f>
        <v>3.726104734546918E-2</v>
      </c>
      <c r="G195">
        <f>estuary_data!T195*weights!$C$7</f>
        <v>2.522669280090868E-3</v>
      </c>
      <c r="H195">
        <f>SUM(B195:G195)</f>
        <v>0.2510345278913611</v>
      </c>
      <c r="I195" t="str">
        <f>IF(H195&gt;$L$5/10*9,"1",IF(H195&gt;$L$5/10*8,"2",IF(H195&gt;$L$5/10*7,"3",IF(H195&gt;$L$5/10*6,"4",IF(H195&gt;$L$5/10*5,"5",IF(H195&gt;$L$5/10*4,"6",IF(H195&gt;$L$5/10*3,"7",IF(H195&gt;$L$5/10*2,"8",IF(H195&gt;$L$5/10,"9","10")))))))))</f>
        <v>7</v>
      </c>
    </row>
    <row r="196" spans="1:9" x14ac:dyDescent="0.55000000000000004">
      <c r="A196">
        <v>195</v>
      </c>
      <c r="B196">
        <f>estuary_data!U196*weights!$C$2</f>
        <v>6.1995538051510722E-2</v>
      </c>
      <c r="C196">
        <f>estuary_data!R196*weights!$C$5</f>
        <v>9.7644117260948099E-2</v>
      </c>
      <c r="D196">
        <f>estuary_data!V196*weights!$C$3</f>
        <v>1.4735474378283406E-2</v>
      </c>
      <c r="E196">
        <f>estuary_data!S196*weights!$C$6</f>
        <v>5.2379448426929265E-2</v>
      </c>
      <c r="F196">
        <f>estuary_data!W196*weights!$C$4</f>
        <v>3.1694215629487502E-2</v>
      </c>
      <c r="G196">
        <f>estuary_data!T196*weights!$C$7</f>
        <v>3.6416641360493322E-2</v>
      </c>
      <c r="H196">
        <f>SUM(B196:G196)</f>
        <v>0.29486543510765234</v>
      </c>
      <c r="I196" t="str">
        <f>IF(H196&gt;$L$5/10*9,"1",IF(H196&gt;$L$5/10*8,"2",IF(H196&gt;$L$5/10*7,"3",IF(H196&gt;$L$5/10*6,"4",IF(H196&gt;$L$5/10*5,"5",IF(H196&gt;$L$5/10*4,"6",IF(H196&gt;$L$5/10*3,"7",IF(H196&gt;$L$5/10*2,"8",IF(H196&gt;$L$5/10,"9","10")))))))))</f>
        <v>6</v>
      </c>
    </row>
    <row r="197" spans="1:9" x14ac:dyDescent="0.55000000000000004">
      <c r="A197">
        <v>196</v>
      </c>
      <c r="B197">
        <f>estuary_data!U197*weights!$C$2</f>
        <v>6.3469180255633653E-2</v>
      </c>
      <c r="C197">
        <f>estuary_data!R197*weights!$C$5</f>
        <v>9.7104455099345344E-2</v>
      </c>
      <c r="D197">
        <f>estuary_data!V197*weights!$C$3</f>
        <v>1.7442998589271102E-2</v>
      </c>
      <c r="E197">
        <f>estuary_data!S197*weights!$C$6</f>
        <v>5.9156466288309402E-2</v>
      </c>
      <c r="F197">
        <f>estuary_data!W197*weights!$C$4</f>
        <v>4.3280034010301699E-2</v>
      </c>
      <c r="G197">
        <f>estuary_data!T197*weights!$C$7</f>
        <v>4.7581350493598268E-2</v>
      </c>
      <c r="H197">
        <f>SUM(B197:G197)</f>
        <v>0.32803448473645946</v>
      </c>
      <c r="I197" t="str">
        <f>IF(H197&gt;$L$5/10*9,"1",IF(H197&gt;$L$5/10*8,"2",IF(H197&gt;$L$5/10*7,"3",IF(H197&gt;$L$5/10*6,"4",IF(H197&gt;$L$5/10*5,"5",IF(H197&gt;$L$5/10*4,"6",IF(H197&gt;$L$5/10*3,"7",IF(H197&gt;$L$5/10*2,"8",IF(H197&gt;$L$5/10,"9","10")))))))))</f>
        <v>6</v>
      </c>
    </row>
    <row r="198" spans="1:9" x14ac:dyDescent="0.55000000000000004">
      <c r="A198">
        <v>197</v>
      </c>
      <c r="B198">
        <f>estuary_data!U198*weights!$C$2</f>
        <v>5.9313215131032528E-2</v>
      </c>
      <c r="C198">
        <f>estuary_data!R198*weights!$C$5</f>
        <v>0.10149012759592653</v>
      </c>
      <c r="D198">
        <f>estuary_data!V198*weights!$C$3</f>
        <v>1.7183088944042246E-2</v>
      </c>
      <c r="E198">
        <f>estuary_data!S198*weights!$C$6</f>
        <v>4.370438068727555E-2</v>
      </c>
      <c r="F198">
        <f>estuary_data!W198*weights!$C$4</f>
        <v>3.5263099777319638E-2</v>
      </c>
      <c r="G198">
        <f>estuary_data!T198*weights!$C$7</f>
        <v>1.5796245456063427E-2</v>
      </c>
      <c r="H198">
        <f>SUM(B198:G198)</f>
        <v>0.27275015759165994</v>
      </c>
      <c r="I198" t="str">
        <f>IF(H198&gt;$L$5/10*9,"1",IF(H198&gt;$L$5/10*8,"2",IF(H198&gt;$L$5/10*7,"3",IF(H198&gt;$L$5/10*6,"4",IF(H198&gt;$L$5/10*5,"5",IF(H198&gt;$L$5/10*4,"6",IF(H198&gt;$L$5/10*3,"7",IF(H198&gt;$L$5/10*2,"8",IF(H198&gt;$L$5/10,"9","10")))))))))</f>
        <v>6</v>
      </c>
    </row>
    <row r="199" spans="1:9" x14ac:dyDescent="0.55000000000000004">
      <c r="A199">
        <v>198</v>
      </c>
      <c r="B199">
        <f>estuary_data!U199*weights!$C$2</f>
        <v>5.9383963876881399E-2</v>
      </c>
      <c r="C199">
        <f>estuary_data!R199*weights!$C$5</f>
        <v>0.10052182843609055</v>
      </c>
      <c r="D199">
        <f>estuary_data!V199*weights!$C$3</f>
        <v>1.7545808530984794E-2</v>
      </c>
      <c r="E199">
        <f>estuary_data!S199*weights!$C$6</f>
        <v>1.8877351871000342E-2</v>
      </c>
      <c r="F199">
        <f>estuary_data!W199*weights!$C$4</f>
        <v>5.5393882490861801E-2</v>
      </c>
      <c r="G199">
        <f>estuary_data!T199*weights!$C$7</f>
        <v>3.2786171597036839E-2</v>
      </c>
      <c r="H199">
        <f>SUM(B199:G199)</f>
        <v>0.28450900680285568</v>
      </c>
      <c r="I199" t="str">
        <f>IF(H199&gt;$L$5/10*9,"1",IF(H199&gt;$L$5/10*8,"2",IF(H199&gt;$L$5/10*7,"3",IF(H199&gt;$L$5/10*6,"4",IF(H199&gt;$L$5/10*5,"5",IF(H199&gt;$L$5/10*4,"6",IF(H199&gt;$L$5/10*3,"7",IF(H199&gt;$L$5/10*2,"8",IF(H199&gt;$L$5/10,"9","10")))))))))</f>
        <v>6</v>
      </c>
    </row>
    <row r="200" spans="1:9" x14ac:dyDescent="0.55000000000000004">
      <c r="A200">
        <v>199</v>
      </c>
      <c r="B200">
        <f>estuary_data!U200*weights!$C$2</f>
        <v>8.2461024702468952E-2</v>
      </c>
      <c r="C200">
        <f>estuary_data!R200*weights!$C$5</f>
        <v>9.3077086616428453E-2</v>
      </c>
      <c r="D200">
        <f>estuary_data!V200*weights!$C$3</f>
        <v>2.5349806834890347E-2</v>
      </c>
      <c r="E200">
        <f>estuary_data!S200*weights!$C$6</f>
        <v>1.916785528407821E-2</v>
      </c>
      <c r="F200">
        <f>estuary_data!W200*weights!$C$4</f>
        <v>6.0693675222839784E-2</v>
      </c>
      <c r="G200">
        <f>estuary_data!T200*weights!$C$7</f>
        <v>2.1469951681241974E-2</v>
      </c>
      <c r="H200">
        <f>SUM(B200:G200)</f>
        <v>0.30221940034194777</v>
      </c>
      <c r="I200" t="str">
        <f>IF(H200&gt;$L$5/10*9,"1",IF(H200&gt;$L$5/10*8,"2",IF(H200&gt;$L$5/10*7,"3",IF(H200&gt;$L$5/10*6,"4",IF(H200&gt;$L$5/10*5,"5",IF(H200&gt;$L$5/10*4,"6",IF(H200&gt;$L$5/10*3,"7",IF(H200&gt;$L$5/10*2,"8",IF(H200&gt;$L$5/10,"9","10")))))))))</f>
        <v>6</v>
      </c>
    </row>
    <row r="201" spans="1:9" x14ac:dyDescent="0.55000000000000004">
      <c r="A201">
        <v>200</v>
      </c>
      <c r="B201">
        <f>estuary_data!U201*weights!$C$2</f>
        <v>0.11895931739004222</v>
      </c>
      <c r="C201">
        <f>estuary_data!R201*weights!$C$5</f>
        <v>0.12775494967407836</v>
      </c>
      <c r="D201">
        <f>estuary_data!V201*weights!$C$3</f>
        <v>2.0969561921420982E-2</v>
      </c>
      <c r="E201">
        <f>estuary_data!S201*weights!$C$6</f>
        <v>3.6067525624285376E-2</v>
      </c>
      <c r="F201">
        <f>estuary_data!W201*weights!$C$4</f>
        <v>4.6996140045687439E-2</v>
      </c>
      <c r="G201">
        <f>estuary_data!T201*weights!$C$7</f>
        <v>9.7919441963510434E-3</v>
      </c>
      <c r="H201">
        <f>SUM(B201:G201)</f>
        <v>0.3605394388518654</v>
      </c>
      <c r="I201" t="str">
        <f>IF(H201&gt;$L$5/10*9,"1",IF(H201&gt;$L$5/10*8,"2",IF(H201&gt;$L$5/10*7,"3",IF(H201&gt;$L$5/10*6,"4",IF(H201&gt;$L$5/10*5,"5",IF(H201&gt;$L$5/10*4,"6",IF(H201&gt;$L$5/10*3,"7",IF(H201&gt;$L$5/10*2,"8",IF(H201&gt;$L$5/10,"9","10")))))))))</f>
        <v>5</v>
      </c>
    </row>
    <row r="202" spans="1:9" x14ac:dyDescent="0.55000000000000004">
      <c r="A202">
        <v>201</v>
      </c>
      <c r="B202">
        <f>estuary_data!U202*weights!$C$2</f>
        <v>0.13433117549412876</v>
      </c>
      <c r="C202">
        <f>estuary_data!R202*weights!$C$5</f>
        <v>0.12321557483916565</v>
      </c>
      <c r="D202">
        <f>estuary_data!V202*weights!$C$3</f>
        <v>1.5987597775756288E-2</v>
      </c>
      <c r="E202">
        <f>estuary_data!S202*weights!$C$6</f>
        <v>3.6322927758926239E-2</v>
      </c>
      <c r="F202">
        <f>estuary_data!W202*weights!$C$4</f>
        <v>4.8913379919390876E-2</v>
      </c>
      <c r="G202">
        <f>estuary_data!T202*weights!$C$7</f>
        <v>1.0993106593411633E-2</v>
      </c>
      <c r="H202">
        <f>SUM(B202:G202)</f>
        <v>0.36976376238077951</v>
      </c>
      <c r="I202" t="str">
        <f>IF(H202&gt;$L$5/10*9,"1",IF(H202&gt;$L$5/10*8,"2",IF(H202&gt;$L$5/10*7,"3",IF(H202&gt;$L$5/10*6,"4",IF(H202&gt;$L$5/10*5,"5",IF(H202&gt;$L$5/10*4,"6",IF(H202&gt;$L$5/10*3,"7",IF(H202&gt;$L$5/10*2,"8",IF(H202&gt;$L$5/10,"9","10")))))))))</f>
        <v>5</v>
      </c>
    </row>
    <row r="203" spans="1:9" x14ac:dyDescent="0.55000000000000004">
      <c r="A203">
        <v>202</v>
      </c>
      <c r="B203">
        <f>estuary_data!U203*weights!$C$2</f>
        <v>0.14569408373580084</v>
      </c>
      <c r="C203">
        <f>estuary_data!R203*weights!$C$5</f>
        <v>0.12375883912775891</v>
      </c>
      <c r="D203">
        <f>estuary_data!V203*weights!$C$3</f>
        <v>1.5300743672603449E-2</v>
      </c>
      <c r="E203">
        <f>estuary_data!S203*weights!$C$6</f>
        <v>3.5572696952950851E-2</v>
      </c>
      <c r="F203">
        <f>estuary_data!W203*weights!$C$4</f>
        <v>5.4148822662854965E-2</v>
      </c>
      <c r="G203">
        <f>estuary_data!T203*weights!$C$7</f>
        <v>1.1440094648917928E-2</v>
      </c>
      <c r="H203">
        <f>SUM(B203:G203)</f>
        <v>0.38591528080088694</v>
      </c>
      <c r="I203" t="str">
        <f>IF(H203&gt;$L$5/10*9,"1",IF(H203&gt;$L$5/10*8,"2",IF(H203&gt;$L$5/10*7,"3",IF(H203&gt;$L$5/10*6,"4",IF(H203&gt;$L$5/10*5,"5",IF(H203&gt;$L$5/10*4,"6",IF(H203&gt;$L$5/10*3,"7",IF(H203&gt;$L$5/10*2,"8",IF(H203&gt;$L$5/10,"9","10")))))))))</f>
        <v>5</v>
      </c>
    </row>
    <row r="204" spans="1:9" x14ac:dyDescent="0.55000000000000004">
      <c r="A204">
        <v>203</v>
      </c>
      <c r="B204">
        <f>estuary_data!U204*weights!$C$2</f>
        <v>0.11271732391187765</v>
      </c>
      <c r="C204">
        <f>estuary_data!R204*weights!$C$5</f>
        <v>0.12678475260720729</v>
      </c>
      <c r="D204">
        <f>estuary_data!V204*weights!$C$3</f>
        <v>1.720680579043711E-2</v>
      </c>
      <c r="E204">
        <f>estuary_data!S204*weights!$C$6</f>
        <v>3.8797753137187738E-2</v>
      </c>
      <c r="F204">
        <f>estuary_data!W204*weights!$C$4</f>
        <v>3.7708302997947162E-2</v>
      </c>
      <c r="G204">
        <f>estuary_data!T204*weights!$C$7</f>
        <v>1.2968642704373446E-2</v>
      </c>
      <c r="H204">
        <f>SUM(B204:G204)</f>
        <v>0.34618358114903036</v>
      </c>
      <c r="I204" t="str">
        <f>IF(H204&gt;$L$5/10*9,"1",IF(H204&gt;$L$5/10*8,"2",IF(H204&gt;$L$5/10*7,"3",IF(H204&gt;$L$5/10*6,"4",IF(H204&gt;$L$5/10*5,"5",IF(H204&gt;$L$5/10*4,"6",IF(H204&gt;$L$5/10*3,"7",IF(H204&gt;$L$5/10*2,"8",IF(H204&gt;$L$5/10,"9","10")))))))))</f>
        <v>5</v>
      </c>
    </row>
    <row r="205" spans="1:9" x14ac:dyDescent="0.55000000000000004">
      <c r="A205">
        <v>204</v>
      </c>
      <c r="B205">
        <f>estuary_data!U205*weights!$C$2</f>
        <v>0.1081649009942225</v>
      </c>
      <c r="C205">
        <f>estuary_data!R205*weights!$C$5</f>
        <v>0.12641167081906163</v>
      </c>
      <c r="D205">
        <f>estuary_data!V205*weights!$C$3</f>
        <v>2.2898265054130503E-2</v>
      </c>
      <c r="E205">
        <f>estuary_data!S205*weights!$C$6</f>
        <v>3.8334356936930859E-2</v>
      </c>
      <c r="F205">
        <f>estuary_data!W205*weights!$C$4</f>
        <v>5.842211202705775E-2</v>
      </c>
      <c r="G205">
        <f>estuary_data!T205*weights!$C$7</f>
        <v>1.4476018853433576E-2</v>
      </c>
      <c r="H205">
        <f>SUM(B205:G205)</f>
        <v>0.36870732468483686</v>
      </c>
      <c r="I205" t="str">
        <f>IF(H205&gt;$L$5/10*9,"1",IF(H205&gt;$L$5/10*8,"2",IF(H205&gt;$L$5/10*7,"3",IF(H205&gt;$L$5/10*6,"4",IF(H205&gt;$L$5/10*5,"5",IF(H205&gt;$L$5/10*4,"6",IF(H205&gt;$L$5/10*3,"7",IF(H205&gt;$L$5/10*2,"8",IF(H205&gt;$L$5/10,"9","10")))))))))</f>
        <v>5</v>
      </c>
    </row>
    <row r="206" spans="1:9" x14ac:dyDescent="0.55000000000000004">
      <c r="A206">
        <v>205</v>
      </c>
      <c r="B206">
        <f>estuary_data!U206*weights!$C$2</f>
        <v>0.14396111444282292</v>
      </c>
      <c r="C206">
        <f>estuary_data!R206*weights!$C$5</f>
        <v>0.11895078679267472</v>
      </c>
      <c r="D206">
        <f>estuary_data!V206*weights!$C$3</f>
        <v>1.5247542805232377E-2</v>
      </c>
      <c r="E206">
        <f>estuary_data!S206*weights!$C$6</f>
        <v>2.7472765229549299E-2</v>
      </c>
      <c r="F206">
        <f>estuary_data!W206*weights!$C$4</f>
        <v>5.1620911935799832E-2</v>
      </c>
      <c r="G206">
        <f>estuary_data!T206*weights!$C$7</f>
        <v>2.5014854593036734E-2</v>
      </c>
      <c r="H206">
        <f>SUM(B206:G206)</f>
        <v>0.38226797579911587</v>
      </c>
      <c r="I206" t="str">
        <f>IF(H206&gt;$L$5/10*9,"1",IF(H206&gt;$L$5/10*8,"2",IF(H206&gt;$L$5/10*7,"3",IF(H206&gt;$L$5/10*6,"4",IF(H206&gt;$L$5/10*5,"5",IF(H206&gt;$L$5/10*4,"6",IF(H206&gt;$L$5/10*3,"7",IF(H206&gt;$L$5/10*2,"8",IF(H206&gt;$L$5/10,"9","10")))))))))</f>
        <v>5</v>
      </c>
    </row>
    <row r="207" spans="1:9" x14ac:dyDescent="0.55000000000000004">
      <c r="A207">
        <v>206</v>
      </c>
      <c r="B207">
        <f>estuary_data!U207*weights!$C$2</f>
        <v>0.12397638560666184</v>
      </c>
      <c r="C207">
        <f>estuary_data!R207*weights!$C$5</f>
        <v>0.11464252257159929</v>
      </c>
      <c r="D207">
        <f>estuary_data!V207*weights!$C$3</f>
        <v>1.4770700925993243E-2</v>
      </c>
      <c r="E207">
        <f>estuary_data!S207*weights!$C$6</f>
        <v>2.2969423033293714E-2</v>
      </c>
      <c r="F207">
        <f>estuary_data!W207*weights!$C$4</f>
        <v>4.4056154520000501E-2</v>
      </c>
      <c r="G207">
        <f>estuary_data!T207*weights!$C$7</f>
        <v>3.1545174471291453E-2</v>
      </c>
      <c r="H207">
        <f>SUM(B207:G207)</f>
        <v>0.35196036112884005</v>
      </c>
      <c r="I207" t="str">
        <f>IF(H207&gt;$L$5/10*9,"1",IF(H207&gt;$L$5/10*8,"2",IF(H207&gt;$L$5/10*7,"3",IF(H207&gt;$L$5/10*6,"4",IF(H207&gt;$L$5/10*5,"5",IF(H207&gt;$L$5/10*4,"6",IF(H207&gt;$L$5/10*3,"7",IF(H207&gt;$L$5/10*2,"8",IF(H207&gt;$L$5/10,"9","10")))))))))</f>
        <v>5</v>
      </c>
    </row>
    <row r="208" spans="1:9" x14ac:dyDescent="0.55000000000000004">
      <c r="A208">
        <v>207</v>
      </c>
      <c r="B208">
        <f>estuary_data!U208*weights!$C$2</f>
        <v>5.5692469407655848E-2</v>
      </c>
      <c r="C208">
        <f>estuary_data!R208*weights!$C$5</f>
        <v>7.904701933374815E-2</v>
      </c>
      <c r="D208">
        <f>estuary_data!V208*weights!$C$3</f>
        <v>3.7597699647560837E-2</v>
      </c>
      <c r="E208">
        <f>estuary_data!S208*weights!$C$6</f>
        <v>1.5771602066505561E-2</v>
      </c>
      <c r="F208">
        <f>estuary_data!W208*weights!$C$4</f>
        <v>0.1352083657468364</v>
      </c>
      <c r="G208">
        <f>estuary_data!T208*weights!$C$7</f>
        <v>1.8191988467321851E-2</v>
      </c>
      <c r="H208">
        <f>SUM(B208:G208)</f>
        <v>0.34150914466962867</v>
      </c>
      <c r="I208" t="str">
        <f>IF(H208&gt;$L$5/10*9,"1",IF(H208&gt;$L$5/10*8,"2",IF(H208&gt;$L$5/10*7,"3",IF(H208&gt;$L$5/10*6,"4",IF(H208&gt;$L$5/10*5,"5",IF(H208&gt;$L$5/10*4,"6",IF(H208&gt;$L$5/10*3,"7",IF(H208&gt;$L$5/10*2,"8",IF(H208&gt;$L$5/10,"9","10")))))))))</f>
        <v>5</v>
      </c>
    </row>
    <row r="209" spans="1:9" x14ac:dyDescent="0.55000000000000004">
      <c r="A209">
        <v>208</v>
      </c>
      <c r="B209">
        <f>estuary_data!U209*weights!$C$2</f>
        <v>5.6391756243172733E-2</v>
      </c>
      <c r="C209">
        <f>estuary_data!R209*weights!$C$5</f>
        <v>7.9662853331605471E-2</v>
      </c>
      <c r="D209">
        <f>estuary_data!V209*weights!$C$3</f>
        <v>3.7452734138364162E-2</v>
      </c>
      <c r="E209">
        <f>estuary_data!S209*weights!$C$6</f>
        <v>1.5824190357337571E-2</v>
      </c>
      <c r="F209">
        <f>estuary_data!W209*weights!$C$4</f>
        <v>0.13442652354540416</v>
      </c>
      <c r="G209">
        <f>estuary_data!T209*weights!$C$7</f>
        <v>1.8896348513960822E-2</v>
      </c>
      <c r="H209">
        <f>SUM(B209:G209)</f>
        <v>0.34265440612984494</v>
      </c>
      <c r="I209" t="str">
        <f>IF(H209&gt;$L$5/10*9,"1",IF(H209&gt;$L$5/10*8,"2",IF(H209&gt;$L$5/10*7,"3",IF(H209&gt;$L$5/10*6,"4",IF(H209&gt;$L$5/10*5,"5",IF(H209&gt;$L$5/10*4,"6",IF(H209&gt;$L$5/10*3,"7",IF(H209&gt;$L$5/10*2,"8",IF(H209&gt;$L$5/10,"9","10")))))))))</f>
        <v>5</v>
      </c>
    </row>
    <row r="210" spans="1:9" x14ac:dyDescent="0.55000000000000004">
      <c r="A210">
        <v>209</v>
      </c>
      <c r="B210">
        <f>estuary_data!U210*weights!$C$2</f>
        <v>0.14234336511125179</v>
      </c>
      <c r="C210">
        <f>estuary_data!R210*weights!$C$5</f>
        <v>0.11192995544602777</v>
      </c>
      <c r="D210">
        <f>estuary_data!V210*weights!$C$3</f>
        <v>9.1602913167454104E-3</v>
      </c>
      <c r="E210">
        <f>estuary_data!S210*weights!$C$6</f>
        <v>5.7991347641535912E-3</v>
      </c>
      <c r="F210">
        <f>estuary_data!W210*weights!$C$4</f>
        <v>2.2774811479664921E-2</v>
      </c>
      <c r="G210">
        <f>estuary_data!T210*weights!$C$7</f>
        <v>5.3566887677063281E-2</v>
      </c>
      <c r="H210">
        <f>SUM(B210:G210)</f>
        <v>0.34557444579490681</v>
      </c>
      <c r="I210" t="str">
        <f>IF(H210&gt;$L$5/10*9,"1",IF(H210&gt;$L$5/10*8,"2",IF(H210&gt;$L$5/10*7,"3",IF(H210&gt;$L$5/10*6,"4",IF(H210&gt;$L$5/10*5,"5",IF(H210&gt;$L$5/10*4,"6",IF(H210&gt;$L$5/10*3,"7",IF(H210&gt;$L$5/10*2,"8",IF(H210&gt;$L$5/10,"9","10")))))))))</f>
        <v>5</v>
      </c>
    </row>
    <row r="211" spans="1:9" x14ac:dyDescent="0.55000000000000004">
      <c r="A211">
        <v>210</v>
      </c>
      <c r="B211">
        <f>estuary_data!U211*weights!$C$2</f>
        <v>0.14762265868290561</v>
      </c>
      <c r="C211">
        <f>estuary_data!R211*weights!$C$5</f>
        <v>0.11197584063734781</v>
      </c>
      <c r="D211">
        <f>estuary_data!V211*weights!$C$3</f>
        <v>9.862303219121767E-3</v>
      </c>
      <c r="E211">
        <f>estuary_data!S211*weights!$C$6</f>
        <v>6.7273282488771189E-3</v>
      </c>
      <c r="F211">
        <f>estuary_data!W211*weights!$C$4</f>
        <v>2.4806162618961014E-2</v>
      </c>
      <c r="G211">
        <f>estuary_data!T211*weights!$C$7</f>
        <v>5.2283163620097613E-2</v>
      </c>
      <c r="H211">
        <f>SUM(B211:G211)</f>
        <v>0.35327745702731095</v>
      </c>
      <c r="I211" t="str">
        <f>IF(H211&gt;$L$5/10*9,"1",IF(H211&gt;$L$5/10*8,"2",IF(H211&gt;$L$5/10*7,"3",IF(H211&gt;$L$5/10*6,"4",IF(H211&gt;$L$5/10*5,"5",IF(H211&gt;$L$5/10*4,"6",IF(H211&gt;$L$5/10*3,"7",IF(H211&gt;$L$5/10*2,"8",IF(H211&gt;$L$5/10,"9","10")))))))))</f>
        <v>5</v>
      </c>
    </row>
    <row r="212" spans="1:9" x14ac:dyDescent="0.55000000000000004">
      <c r="A212">
        <v>211</v>
      </c>
      <c r="B212">
        <f>estuary_data!U212*weights!$C$2</f>
        <v>0.17465096999999999</v>
      </c>
      <c r="C212">
        <f>estuary_data!R212*weights!$C$5</f>
        <v>0.11264872356393126</v>
      </c>
      <c r="D212">
        <f>estuary_data!V212*weights!$C$3</f>
        <v>1.0396066764340371E-2</v>
      </c>
      <c r="E212">
        <f>estuary_data!S212*weights!$C$6</f>
        <v>1.8469828720553125E-2</v>
      </c>
      <c r="F212">
        <f>estuary_data!W212*weights!$C$4</f>
        <v>3.238956814657918E-2</v>
      </c>
      <c r="G212">
        <f>estuary_data!T212*weights!$C$7</f>
        <v>3.2721162192504344E-2</v>
      </c>
      <c r="H212">
        <f>SUM(B212:G212)</f>
        <v>0.38127631938790829</v>
      </c>
      <c r="I212" t="str">
        <f>IF(H212&gt;$L$5/10*9,"1",IF(H212&gt;$L$5/10*8,"2",IF(H212&gt;$L$5/10*7,"3",IF(H212&gt;$L$5/10*6,"4",IF(H212&gt;$L$5/10*5,"5",IF(H212&gt;$L$5/10*4,"6",IF(H212&gt;$L$5/10*3,"7",IF(H212&gt;$L$5/10*2,"8",IF(H212&gt;$L$5/10,"9","10")))))))))</f>
        <v>5</v>
      </c>
    </row>
    <row r="213" spans="1:9" x14ac:dyDescent="0.55000000000000004">
      <c r="A213">
        <v>212</v>
      </c>
      <c r="B213">
        <f>estuary_data!U213*weights!$C$2</f>
        <v>0.14100412395795153</v>
      </c>
      <c r="C213">
        <f>estuary_data!R213*weights!$C$5</f>
        <v>0.11255496743064455</v>
      </c>
      <c r="D213">
        <f>estuary_data!V213*weights!$C$3</f>
        <v>1.1182618309324353E-2</v>
      </c>
      <c r="E213">
        <f>estuary_data!S213*weights!$C$6</f>
        <v>1.4046065570258817E-3</v>
      </c>
      <c r="F213">
        <f>estuary_data!W213*weights!$C$4</f>
        <v>2.4643659612241697E-2</v>
      </c>
      <c r="G213">
        <f>estuary_data!T213*weights!$C$7</f>
        <v>6.3493686827812645E-2</v>
      </c>
      <c r="H213">
        <f>SUM(B213:G213)</f>
        <v>0.35428366269500072</v>
      </c>
      <c r="I213" t="str">
        <f>IF(H213&gt;$L$5/10*9,"1",IF(H213&gt;$L$5/10*8,"2",IF(H213&gt;$L$5/10*7,"3",IF(H213&gt;$L$5/10*6,"4",IF(H213&gt;$L$5/10*5,"5",IF(H213&gt;$L$5/10*4,"6",IF(H213&gt;$L$5/10*3,"7",IF(H213&gt;$L$5/10*2,"8",IF(H213&gt;$L$5/10,"9","10")))))))))</f>
        <v>5</v>
      </c>
    </row>
    <row r="214" spans="1:9" x14ac:dyDescent="0.55000000000000004">
      <c r="A214">
        <v>213</v>
      </c>
      <c r="B214">
        <f>estuary_data!U214*weights!$C$2</f>
        <v>0.14346539763708485</v>
      </c>
      <c r="C214">
        <f>estuary_data!R214*weights!$C$5</f>
        <v>0.11240350925407457</v>
      </c>
      <c r="D214">
        <f>estuary_data!V214*weights!$C$3</f>
        <v>1.0299593178112673E-2</v>
      </c>
      <c r="E214">
        <f>estuary_data!S214*weights!$C$6</f>
        <v>1.4766343450373675E-3</v>
      </c>
      <c r="F214">
        <f>estuary_data!W214*weights!$C$4</f>
        <v>2.2652773204685155E-2</v>
      </c>
      <c r="G214">
        <f>estuary_data!T214*weights!$C$7</f>
        <v>6.3725963763753696E-2</v>
      </c>
      <c r="H214">
        <f>SUM(B214:G214)</f>
        <v>0.35402387138274838</v>
      </c>
      <c r="I214" t="str">
        <f>IF(H214&gt;$L$5/10*9,"1",IF(H214&gt;$L$5/10*8,"2",IF(H214&gt;$L$5/10*7,"3",IF(H214&gt;$L$5/10*6,"4",IF(H214&gt;$L$5/10*5,"5",IF(H214&gt;$L$5/10*4,"6",IF(H214&gt;$L$5/10*3,"7",IF(H214&gt;$L$5/10*2,"8",IF(H214&gt;$L$5/10,"9","10")))))))))</f>
        <v>5</v>
      </c>
    </row>
    <row r="215" spans="1:9" x14ac:dyDescent="0.55000000000000004">
      <c r="A215">
        <v>214</v>
      </c>
      <c r="B215">
        <f>estuary_data!U215*weights!$C$2</f>
        <v>0.14327383540070607</v>
      </c>
      <c r="C215">
        <f>estuary_data!R215*weights!$C$5</f>
        <v>0.11162352696518021</v>
      </c>
      <c r="D215">
        <f>estuary_data!V215*weights!$C$3</f>
        <v>1.0908974886426458E-2</v>
      </c>
      <c r="E215">
        <f>estuary_data!S215*weights!$C$6</f>
        <v>7.8326174362162004E-3</v>
      </c>
      <c r="F215">
        <f>estuary_data!W215*weights!$C$4</f>
        <v>2.879495622694913E-2</v>
      </c>
      <c r="G215">
        <f>estuary_data!T215*weights!$C$7</f>
        <v>5.1740324604004663E-2</v>
      </c>
      <c r="H215">
        <f>SUM(B215:G215)</f>
        <v>0.35417423551948274</v>
      </c>
      <c r="I215" t="str">
        <f>IF(H215&gt;$L$5/10*9,"1",IF(H215&gt;$L$5/10*8,"2",IF(H215&gt;$L$5/10*7,"3",IF(H215&gt;$L$5/10*6,"4",IF(H215&gt;$L$5/10*5,"5",IF(H215&gt;$L$5/10*4,"6",IF(H215&gt;$L$5/10*3,"7",IF(H215&gt;$L$5/10*2,"8",IF(H215&gt;$L$5/10,"9","10")))))))))</f>
        <v>5</v>
      </c>
    </row>
    <row r="216" spans="1:9" x14ac:dyDescent="0.55000000000000004">
      <c r="A216">
        <v>215</v>
      </c>
      <c r="B216">
        <f>estuary_data!U216*weights!$C$2</f>
        <v>0.13970765867155752</v>
      </c>
      <c r="C216">
        <f>estuary_data!R216*weights!$C$5</f>
        <v>0.11554820001477208</v>
      </c>
      <c r="D216">
        <f>estuary_data!V216*weights!$C$3</f>
        <v>7.1212582004566861E-3</v>
      </c>
      <c r="E216">
        <f>estuary_data!S216*weights!$C$6</f>
        <v>5.5183758627959717E-3</v>
      </c>
      <c r="F216">
        <f>estuary_data!W216*weights!$C$4</f>
        <v>1.148858803627022E-2</v>
      </c>
      <c r="G216">
        <f>estuary_data!T216*weights!$C$7</f>
        <v>6.3070087931400856E-2</v>
      </c>
      <c r="H216">
        <f>SUM(B216:G216)</f>
        <v>0.34245416871725332</v>
      </c>
      <c r="I216" t="str">
        <f>IF(H216&gt;$L$5/10*9,"1",IF(H216&gt;$L$5/10*8,"2",IF(H216&gt;$L$5/10*7,"3",IF(H216&gt;$L$5/10*6,"4",IF(H216&gt;$L$5/10*5,"5",IF(H216&gt;$L$5/10*4,"6",IF(H216&gt;$L$5/10*3,"7",IF(H216&gt;$L$5/10*2,"8",IF(H216&gt;$L$5/10,"9","10")))))))))</f>
        <v>5</v>
      </c>
    </row>
    <row r="217" spans="1:9" x14ac:dyDescent="0.55000000000000004">
      <c r="A217">
        <v>216</v>
      </c>
      <c r="B217">
        <f>estuary_data!U217*weights!$C$2</f>
        <v>0.12738305761480079</v>
      </c>
      <c r="C217">
        <f>estuary_data!R217*weights!$C$5</f>
        <v>0.11546229715424787</v>
      </c>
      <c r="D217">
        <f>estuary_data!V217*weights!$C$3</f>
        <v>6.9820801320151877E-3</v>
      </c>
      <c r="E217">
        <f>estuary_data!S217*weights!$C$6</f>
        <v>5.9094034829663767E-3</v>
      </c>
      <c r="F217">
        <f>estuary_data!W217*weights!$C$4</f>
        <v>9.1342121365032333E-3</v>
      </c>
      <c r="G217">
        <f>estuary_data!T217*weights!$C$7</f>
        <v>6.112317954562211E-2</v>
      </c>
      <c r="H217">
        <f>SUM(B217:G217)</f>
        <v>0.32599423006615558</v>
      </c>
      <c r="I217" t="str">
        <f>IF(H217&gt;$L$5/10*9,"1",IF(H217&gt;$L$5/10*8,"2",IF(H217&gt;$L$5/10*7,"3",IF(H217&gt;$L$5/10*6,"4",IF(H217&gt;$L$5/10*5,"5",IF(H217&gt;$L$5/10*4,"6",IF(H217&gt;$L$5/10*3,"7",IF(H217&gt;$L$5/10*2,"8",IF(H217&gt;$L$5/10,"9","10")))))))))</f>
        <v>6</v>
      </c>
    </row>
    <row r="218" spans="1:9" x14ac:dyDescent="0.55000000000000004">
      <c r="A218">
        <v>217</v>
      </c>
      <c r="B218">
        <f>estuary_data!U218*weights!$C$2</f>
        <v>0.14303857438779355</v>
      </c>
      <c r="C218">
        <f>estuary_data!R218*weights!$C$5</f>
        <v>0.11236909843241633</v>
      </c>
      <c r="D218">
        <f>estuary_data!V218*weights!$C$3</f>
        <v>1.0210532454429199E-2</v>
      </c>
      <c r="E218">
        <f>estuary_data!S218*weights!$C$6</f>
        <v>1.4515603405088362E-2</v>
      </c>
      <c r="F218">
        <f>estuary_data!W218*weights!$C$4</f>
        <v>1.82707167360367E-2</v>
      </c>
      <c r="G218">
        <f>estuary_data!T218*weights!$C$7</f>
        <v>3.9221090117645518E-2</v>
      </c>
      <c r="H218">
        <f>SUM(B218:G218)</f>
        <v>0.33762561553340964</v>
      </c>
      <c r="I218" t="str">
        <f>IF(H218&gt;$L$5/10*9,"1",IF(H218&gt;$L$5/10*8,"2",IF(H218&gt;$L$5/10*7,"3",IF(H218&gt;$L$5/10*6,"4",IF(H218&gt;$L$5/10*5,"5",IF(H218&gt;$L$5/10*4,"6",IF(H218&gt;$L$5/10*3,"7",IF(H218&gt;$L$5/10*2,"8",IF(H218&gt;$L$5/10,"9","10")))))))))</f>
        <v>5</v>
      </c>
    </row>
    <row r="219" spans="1:9" x14ac:dyDescent="0.55000000000000004">
      <c r="A219">
        <v>218</v>
      </c>
      <c r="B219">
        <f>estuary_data!U219*weights!$C$2</f>
        <v>5.6173679431723002E-2</v>
      </c>
      <c r="C219">
        <f>estuary_data!R219*weights!$C$5</f>
        <v>6.2300960587508405E-2</v>
      </c>
      <c r="D219">
        <f>estuary_data!V219*weights!$C$3</f>
        <v>3.8928421559868275E-2</v>
      </c>
      <c r="E219">
        <f>estuary_data!S219*weights!$C$6</f>
        <v>5.1832402280624169E-2</v>
      </c>
      <c r="F219">
        <f>estuary_data!W219*weights!$C$4</f>
        <v>0.13822854469595589</v>
      </c>
      <c r="G219">
        <f>estuary_data!T219*weights!$C$7</f>
        <v>5.2058626445774393E-2</v>
      </c>
      <c r="H219">
        <f>SUM(B219:G219)</f>
        <v>0.39952263500145413</v>
      </c>
      <c r="I219" t="str">
        <f>IF(H219&gt;$L$5/10*9,"1",IF(H219&gt;$L$5/10*8,"2",IF(H219&gt;$L$5/10*7,"3",IF(H219&gt;$L$5/10*6,"4",IF(H219&gt;$L$5/10*5,"5",IF(H219&gt;$L$5/10*4,"6",IF(H219&gt;$L$5/10*3,"7",IF(H219&gt;$L$5/10*2,"8",IF(H219&gt;$L$5/10,"9","10")))))))))</f>
        <v>4</v>
      </c>
    </row>
    <row r="220" spans="1:9" x14ac:dyDescent="0.55000000000000004">
      <c r="A220">
        <v>219</v>
      </c>
      <c r="B220">
        <f>estuary_data!U220*weights!$C$2</f>
        <v>9.6783458601999633E-2</v>
      </c>
      <c r="C220">
        <f>estuary_data!R220*weights!$C$5</f>
        <v>0.12368246503563064</v>
      </c>
      <c r="D220">
        <f>estuary_data!V220*weights!$C$3</f>
        <v>1.8727669865053295E-2</v>
      </c>
      <c r="E220">
        <f>estuary_data!S220*weights!$C$6</f>
        <v>2.5345301193703373E-2</v>
      </c>
      <c r="F220">
        <f>estuary_data!W220*weights!$C$4</f>
        <v>2.6506099399393974E-2</v>
      </c>
      <c r="G220">
        <f>estuary_data!T220*weights!$C$7</f>
        <v>2.4613098488001021E-2</v>
      </c>
      <c r="H220">
        <f>SUM(B220:G220)</f>
        <v>0.31565809258378197</v>
      </c>
      <c r="I220" t="str">
        <f>IF(H220&gt;$L$5/10*9,"1",IF(H220&gt;$L$5/10*8,"2",IF(H220&gt;$L$5/10*7,"3",IF(H220&gt;$L$5/10*6,"4",IF(H220&gt;$L$5/10*5,"5",IF(H220&gt;$L$5/10*4,"6",IF(H220&gt;$L$5/10*3,"7",IF(H220&gt;$L$5/10*2,"8",IF(H220&gt;$L$5/10,"9","10")))))))))</f>
        <v>6</v>
      </c>
    </row>
    <row r="221" spans="1:9" x14ac:dyDescent="0.55000000000000004">
      <c r="A221">
        <v>220</v>
      </c>
      <c r="B221">
        <f>estuary_data!U221*weights!$C$2</f>
        <v>7.8852080081007359E-2</v>
      </c>
      <c r="C221">
        <f>estuary_data!R221*weights!$C$5</f>
        <v>0.12051981887906117</v>
      </c>
      <c r="D221">
        <f>estuary_data!V221*weights!$C$3</f>
        <v>2.4067767194563442E-2</v>
      </c>
      <c r="E221">
        <f>estuary_data!S221*weights!$C$6</f>
        <v>2.0985592677529676E-2</v>
      </c>
      <c r="F221">
        <f>estuary_data!W221*weights!$C$4</f>
        <v>4.9064969197514019E-2</v>
      </c>
      <c r="G221">
        <f>estuary_data!T221*weights!$C$7</f>
        <v>3.656780889249453E-2</v>
      </c>
      <c r="H221">
        <f>SUM(B221:G221)</f>
        <v>0.33005803692217017</v>
      </c>
      <c r="I221" t="str">
        <f>IF(H221&gt;$L$5/10*9,"1",IF(H221&gt;$L$5/10*8,"2",IF(H221&gt;$L$5/10*7,"3",IF(H221&gt;$L$5/10*6,"4",IF(H221&gt;$L$5/10*5,"5",IF(H221&gt;$L$5/10*4,"6",IF(H221&gt;$L$5/10*3,"7",IF(H221&gt;$L$5/10*2,"8",IF(H221&gt;$L$5/10,"9","10")))))))))</f>
        <v>6</v>
      </c>
    </row>
    <row r="222" spans="1:9" x14ac:dyDescent="0.55000000000000004">
      <c r="A222">
        <v>221</v>
      </c>
      <c r="B222">
        <f>estuary_data!U222*weights!$C$2</f>
        <v>7.8040888372276282E-2</v>
      </c>
      <c r="C222">
        <f>estuary_data!R222*weights!$C$5</f>
        <v>0.12261766120751916</v>
      </c>
      <c r="D222">
        <f>estuary_data!V222*weights!$C$3</f>
        <v>1.8970204774518735E-2</v>
      </c>
      <c r="E222">
        <f>estuary_data!S222*weights!$C$6</f>
        <v>2.2002348763446544E-2</v>
      </c>
      <c r="F222">
        <f>estuary_data!W222*weights!$C$4</f>
        <v>1.4093122744334139E-2</v>
      </c>
      <c r="G222">
        <f>estuary_data!T222*weights!$C$7</f>
        <v>3.1886212040794767E-2</v>
      </c>
      <c r="H222">
        <f>SUM(B222:G222)</f>
        <v>0.28761043790288965</v>
      </c>
      <c r="I222" t="str">
        <f>IF(H222&gt;$L$5/10*9,"1",IF(H222&gt;$L$5/10*8,"2",IF(H222&gt;$L$5/10*7,"3",IF(H222&gt;$L$5/10*6,"4",IF(H222&gt;$L$5/10*5,"5",IF(H222&gt;$L$5/10*4,"6",IF(H222&gt;$L$5/10*3,"7",IF(H222&gt;$L$5/10*2,"8",IF(H222&gt;$L$5/10,"9","10")))))))))</f>
        <v>6</v>
      </c>
    </row>
    <row r="223" spans="1:9" x14ac:dyDescent="0.55000000000000004">
      <c r="A223">
        <v>222</v>
      </c>
      <c r="B223">
        <f>estuary_data!U223*weights!$C$2</f>
        <v>7.0327055396600113E-2</v>
      </c>
      <c r="C223">
        <f>estuary_data!R223*weights!$C$5</f>
        <v>0.12081162835062943</v>
      </c>
      <c r="D223">
        <f>estuary_data!V223*weights!$C$3</f>
        <v>2.0903222556982549E-2</v>
      </c>
      <c r="E223">
        <f>estuary_data!S223*weights!$C$6</f>
        <v>2.4479656952547817E-2</v>
      </c>
      <c r="F223">
        <f>estuary_data!W223*weights!$C$4</f>
        <v>3.0413253113804748E-2</v>
      </c>
      <c r="G223">
        <f>estuary_data!T223*weights!$C$7</f>
        <v>2.8534572597947772E-2</v>
      </c>
      <c r="H223">
        <f>SUM(B223:G223)</f>
        <v>0.29546938896851244</v>
      </c>
      <c r="I223" t="str">
        <f>IF(H223&gt;$L$5/10*9,"1",IF(H223&gt;$L$5/10*8,"2",IF(H223&gt;$L$5/10*7,"3",IF(H223&gt;$L$5/10*6,"4",IF(H223&gt;$L$5/10*5,"5",IF(H223&gt;$L$5/10*4,"6",IF(H223&gt;$L$5/10*3,"7",IF(H223&gt;$L$5/10*2,"8",IF(H223&gt;$L$5/10,"9","10")))))))))</f>
        <v>6</v>
      </c>
    </row>
    <row r="224" spans="1:9" x14ac:dyDescent="0.55000000000000004">
      <c r="A224">
        <v>223</v>
      </c>
      <c r="B224">
        <f>estuary_data!U224*weights!$C$2</f>
        <v>6.7575269184839221E-2</v>
      </c>
      <c r="C224">
        <f>estuary_data!R224*weights!$C$5</f>
        <v>0.12133199768390175</v>
      </c>
      <c r="D224">
        <f>estuary_data!V224*weights!$C$3</f>
        <v>1.9293242969100507E-2</v>
      </c>
      <c r="E224">
        <f>estuary_data!S224*weights!$C$6</f>
        <v>2.5402799560615068E-2</v>
      </c>
      <c r="F224">
        <f>estuary_data!W224*weights!$C$4</f>
        <v>2.0801525620774638E-2</v>
      </c>
      <c r="G224">
        <f>estuary_data!T224*weights!$C$7</f>
        <v>2.8254822322318511E-2</v>
      </c>
      <c r="H224">
        <f>SUM(B224:G224)</f>
        <v>0.28265965734154969</v>
      </c>
      <c r="I224" t="str">
        <f>IF(H224&gt;$L$5/10*9,"1",IF(H224&gt;$L$5/10*8,"2",IF(H224&gt;$L$5/10*7,"3",IF(H224&gt;$L$5/10*6,"4",IF(H224&gt;$L$5/10*5,"5",IF(H224&gt;$L$5/10*4,"6",IF(H224&gt;$L$5/10*3,"7",IF(H224&gt;$L$5/10*2,"8",IF(H224&gt;$L$5/10,"9","10")))))))))</f>
        <v>6</v>
      </c>
    </row>
    <row r="225" spans="1:9" x14ac:dyDescent="0.55000000000000004">
      <c r="A225">
        <v>224</v>
      </c>
      <c r="B225">
        <f>estuary_data!U225*weights!$C$2</f>
        <v>6.7651790489426364E-2</v>
      </c>
      <c r="C225">
        <f>estuary_data!R225*weights!$C$5</f>
        <v>0.1236393773669329</v>
      </c>
      <c r="D225">
        <f>estuary_data!V225*weights!$C$3</f>
        <v>1.721856286970232E-2</v>
      </c>
      <c r="E225">
        <f>estuary_data!S225*weights!$C$6</f>
        <v>2.0517332359594742E-2</v>
      </c>
      <c r="F225">
        <f>estuary_data!W225*weights!$C$4</f>
        <v>1.6577606169518675E-2</v>
      </c>
      <c r="G225">
        <f>estuary_data!T225*weights!$C$7</f>
        <v>3.6467731400164419E-2</v>
      </c>
      <c r="H225">
        <f>SUM(B225:G225)</f>
        <v>0.28207240065533939</v>
      </c>
      <c r="I225" t="str">
        <f>IF(H225&gt;$L$5/10*9,"1",IF(H225&gt;$L$5/10*8,"2",IF(H225&gt;$L$5/10*7,"3",IF(H225&gt;$L$5/10*6,"4",IF(H225&gt;$L$5/10*5,"5",IF(H225&gt;$L$5/10*4,"6",IF(H225&gt;$L$5/10*3,"7",IF(H225&gt;$L$5/10*2,"8",IF(H225&gt;$L$5/10,"9","10")))))))))</f>
        <v>6</v>
      </c>
    </row>
    <row r="226" spans="1:9" x14ac:dyDescent="0.55000000000000004">
      <c r="A226">
        <v>225</v>
      </c>
      <c r="B226">
        <f>estuary_data!U226*weights!$C$2</f>
        <v>7.164565411629896E-2</v>
      </c>
      <c r="C226">
        <f>estuary_data!R226*weights!$C$5</f>
        <v>0.12151194278920559</v>
      </c>
      <c r="D226">
        <f>estuary_data!V226*weights!$C$3</f>
        <v>1.9855849478520121E-2</v>
      </c>
      <c r="E226">
        <f>estuary_data!S226*weights!$C$6</f>
        <v>2.8724355821343753E-2</v>
      </c>
      <c r="F226">
        <f>estuary_data!W226*weights!$C$4</f>
        <v>2.9910310030320329E-2</v>
      </c>
      <c r="G226">
        <f>estuary_data!T226*weights!$C$7</f>
        <v>0.138560312280466</v>
      </c>
      <c r="H226">
        <f>SUM(B226:G226)</f>
        <v>0.41020842451615475</v>
      </c>
      <c r="I226" t="str">
        <f>IF(H226&gt;$L$5/10*9,"1",IF(H226&gt;$L$5/10*8,"2",IF(H226&gt;$L$5/10*7,"3",IF(H226&gt;$L$5/10*6,"4",IF(H226&gt;$L$5/10*5,"5",IF(H226&gt;$L$5/10*4,"6",IF(H226&gt;$L$5/10*3,"7",IF(H226&gt;$L$5/10*2,"8",IF(H226&gt;$L$5/10,"9","10")))))))))</f>
        <v>4</v>
      </c>
    </row>
    <row r="227" spans="1:9" x14ac:dyDescent="0.55000000000000004">
      <c r="A227">
        <v>226</v>
      </c>
      <c r="B227">
        <f>estuary_data!U227*weights!$C$2</f>
        <v>6.7333000249035144E-2</v>
      </c>
      <c r="C227">
        <f>estuary_data!R227*weights!$C$5</f>
        <v>0.12179072715496385</v>
      </c>
      <c r="D227">
        <f>estuary_data!V227*weights!$C$3</f>
        <v>2.1549473261367108E-2</v>
      </c>
      <c r="E227">
        <f>estuary_data!S227*weights!$C$6</f>
        <v>2.7733195876793678E-2</v>
      </c>
      <c r="F227">
        <f>estuary_data!W227*weights!$C$4</f>
        <v>2.9912245966499905E-2</v>
      </c>
      <c r="G227">
        <f>estuary_data!T227*weights!$C$7</f>
        <v>2.6837212779136688E-2</v>
      </c>
      <c r="H227">
        <f>SUM(B227:G227)</f>
        <v>0.29515585528779636</v>
      </c>
      <c r="I227" t="str">
        <f>IF(H227&gt;$L$5/10*9,"1",IF(H227&gt;$L$5/10*8,"2",IF(H227&gt;$L$5/10*7,"3",IF(H227&gt;$L$5/10*6,"4",IF(H227&gt;$L$5/10*5,"5",IF(H227&gt;$L$5/10*4,"6",IF(H227&gt;$L$5/10*3,"7",IF(H227&gt;$L$5/10*2,"8",IF(H227&gt;$L$5/10,"9","10")))))))))</f>
        <v>6</v>
      </c>
    </row>
    <row r="228" spans="1:9" x14ac:dyDescent="0.55000000000000004">
      <c r="A228">
        <v>227</v>
      </c>
      <c r="B228">
        <f>estuary_data!U228*weights!$C$2</f>
        <v>9.4416347771830597E-2</v>
      </c>
      <c r="C228">
        <f>estuary_data!R228*weights!$C$5</f>
        <v>0.12681608583063003</v>
      </c>
      <c r="D228">
        <f>estuary_data!V228*weights!$C$3</f>
        <v>2.6138344617935644E-2</v>
      </c>
      <c r="E228">
        <f>estuary_data!S228*weights!$C$6</f>
        <v>5.409046766833959E-3</v>
      </c>
      <c r="F228">
        <f>estuary_data!W228*weights!$C$4</f>
        <v>9.846356990757453E-2</v>
      </c>
      <c r="G228">
        <f>estuary_data!T228*weights!$C$7</f>
        <v>6.6621268152260091E-2</v>
      </c>
      <c r="H228">
        <f>SUM(B228:G228)</f>
        <v>0.41786466304706493</v>
      </c>
      <c r="I228" t="str">
        <f>IF(H228&gt;$L$5/10*9,"1",IF(H228&gt;$L$5/10*8,"2",IF(H228&gt;$L$5/10*7,"3",IF(H228&gt;$L$5/10*6,"4",IF(H228&gt;$L$5/10*5,"5",IF(H228&gt;$L$5/10*4,"6",IF(H228&gt;$L$5/10*3,"7",IF(H228&gt;$L$5/10*2,"8",IF(H228&gt;$L$5/10,"9","10")))))))))</f>
        <v>4</v>
      </c>
    </row>
    <row r="229" spans="1:9" x14ac:dyDescent="0.55000000000000004">
      <c r="A229">
        <v>228</v>
      </c>
      <c r="B229">
        <f>estuary_data!U229*weights!$C$2</f>
        <v>3.5648795618986019E-2</v>
      </c>
      <c r="C229">
        <f>estuary_data!R229*weights!$C$5</f>
        <v>6.9300537606482124E-2</v>
      </c>
      <c r="D229">
        <f>estuary_data!V229*weights!$C$3</f>
        <v>2.8984602123895344E-2</v>
      </c>
      <c r="E229">
        <f>estuary_data!S229*weights!$C$6</f>
        <v>3.4295197483026708E-2</v>
      </c>
      <c r="F229">
        <f>estuary_data!W229*weights!$C$4</f>
        <v>7.8003020294214354E-2</v>
      </c>
      <c r="G229">
        <f>estuary_data!T229*weights!$C$7</f>
        <v>3.558779120285338E-2</v>
      </c>
      <c r="H229">
        <f>SUM(B229:G229)</f>
        <v>0.28181994432945789</v>
      </c>
      <c r="I229" t="str">
        <f>IF(H229&gt;$L$5/10*9,"1",IF(H229&gt;$L$5/10*8,"2",IF(H229&gt;$L$5/10*7,"3",IF(H229&gt;$L$5/10*6,"4",IF(H229&gt;$L$5/10*5,"5",IF(H229&gt;$L$5/10*4,"6",IF(H229&gt;$L$5/10*3,"7",IF(H229&gt;$L$5/10*2,"8",IF(H229&gt;$L$5/10,"9","10")))))))))</f>
        <v>6</v>
      </c>
    </row>
    <row r="230" spans="1:9" x14ac:dyDescent="0.55000000000000004">
      <c r="A230">
        <v>229</v>
      </c>
      <c r="B230">
        <f>estuary_data!U230*weights!$C$2</f>
        <v>0.11097813373850586</v>
      </c>
      <c r="C230">
        <f>estuary_data!R230*weights!$C$5</f>
        <v>0.11441796719296175</v>
      </c>
      <c r="D230">
        <f>estuary_data!V230*weights!$C$3</f>
        <v>1.2792718740332904E-2</v>
      </c>
      <c r="E230">
        <f>estuary_data!S230*weights!$C$6</f>
        <v>1.85522844498795E-2</v>
      </c>
      <c r="F230">
        <f>estuary_data!W230*weights!$C$4</f>
        <v>2.8454886823624702E-2</v>
      </c>
      <c r="G230">
        <f>estuary_data!T230*weights!$C$7</f>
        <v>9.5565833436435793E-2</v>
      </c>
      <c r="H230">
        <f>SUM(B230:G230)</f>
        <v>0.38076182438174055</v>
      </c>
      <c r="I230" t="str">
        <f>IF(H230&gt;$L$5/10*9,"1",IF(H230&gt;$L$5/10*8,"2",IF(H230&gt;$L$5/10*7,"3",IF(H230&gt;$L$5/10*6,"4",IF(H230&gt;$L$5/10*5,"5",IF(H230&gt;$L$5/10*4,"6",IF(H230&gt;$L$5/10*3,"7",IF(H230&gt;$L$5/10*2,"8",IF(H230&gt;$L$5/10,"9","10")))))))))</f>
        <v>5</v>
      </c>
    </row>
    <row r="231" spans="1:9" x14ac:dyDescent="0.55000000000000004">
      <c r="A231">
        <v>230</v>
      </c>
      <c r="B231">
        <f>estuary_data!U231*weights!$C$2</f>
        <v>0.11064643372839385</v>
      </c>
      <c r="C231">
        <f>estuary_data!R231*weights!$C$5</f>
        <v>0.11407797846451781</v>
      </c>
      <c r="D231">
        <f>estuary_data!V231*weights!$C$3</f>
        <v>1.2619206533764303E-2</v>
      </c>
      <c r="E231">
        <f>estuary_data!S231*weights!$C$6</f>
        <v>1.838252774264882E-2</v>
      </c>
      <c r="F231">
        <f>estuary_data!W231*weights!$C$4</f>
        <v>2.6580756795763973E-2</v>
      </c>
      <c r="G231">
        <f>estuary_data!T231*weights!$C$7</f>
        <v>9.5184817754467507E-2</v>
      </c>
      <c r="H231">
        <f>SUM(B231:G231)</f>
        <v>0.3774917210195563</v>
      </c>
      <c r="I231" t="str">
        <f>IF(H231&gt;$L$5/10*9,"1",IF(H231&gt;$L$5/10*8,"2",IF(H231&gt;$L$5/10*7,"3",IF(H231&gt;$L$5/10*6,"4",IF(H231&gt;$L$5/10*5,"5",IF(H231&gt;$L$5/10*4,"6",IF(H231&gt;$L$5/10*3,"7",IF(H231&gt;$L$5/10*2,"8",IF(H231&gt;$L$5/10,"9","10")))))))))</f>
        <v>5</v>
      </c>
    </row>
    <row r="232" spans="1:9" x14ac:dyDescent="0.55000000000000004">
      <c r="A232">
        <v>231</v>
      </c>
      <c r="B232">
        <f>estuary_data!U232*weights!$C$2</f>
        <v>0.10581493314683821</v>
      </c>
      <c r="C232">
        <f>estuary_data!R232*weights!$C$5</f>
        <v>0.11507397746355004</v>
      </c>
      <c r="D232">
        <f>estuary_data!V232*weights!$C$3</f>
        <v>1.2263899831759439E-2</v>
      </c>
      <c r="E232">
        <f>estuary_data!S232*weights!$C$6</f>
        <v>1.9937287137583574E-2</v>
      </c>
      <c r="F232">
        <f>estuary_data!W232*weights!$C$4</f>
        <v>2.6513493429685453E-2</v>
      </c>
      <c r="G232">
        <f>estuary_data!T232*weights!$C$7</f>
        <v>9.8021958805847284E-2</v>
      </c>
      <c r="H232">
        <f>SUM(B232:G232)</f>
        <v>0.37762554981526397</v>
      </c>
      <c r="I232" t="str">
        <f>IF(H232&gt;$L$5/10*9,"1",IF(H232&gt;$L$5/10*8,"2",IF(H232&gt;$L$5/10*7,"3",IF(H232&gt;$L$5/10*6,"4",IF(H232&gt;$L$5/10*5,"5",IF(H232&gt;$L$5/10*4,"6",IF(H232&gt;$L$5/10*3,"7",IF(H232&gt;$L$5/10*2,"8",IF(H232&gt;$L$5/10,"9","10")))))))))</f>
        <v>5</v>
      </c>
    </row>
    <row r="233" spans="1:9" x14ac:dyDescent="0.55000000000000004">
      <c r="A233">
        <v>232</v>
      </c>
      <c r="B233">
        <f>estuary_data!U233*weights!$C$2</f>
        <v>0.110127444119362</v>
      </c>
      <c r="C233">
        <f>estuary_data!R233*weights!$C$5</f>
        <v>0.1229595755433763</v>
      </c>
      <c r="D233">
        <f>estuary_data!V233*weights!$C$3</f>
        <v>1.2532005565570071E-2</v>
      </c>
      <c r="E233">
        <f>estuary_data!S233*weights!$C$6</f>
        <v>1.9314754248003087E-2</v>
      </c>
      <c r="F233">
        <f>estuary_data!W233*weights!$C$4</f>
        <v>3.9049641756452508E-2</v>
      </c>
      <c r="G233">
        <f>estuary_data!T233*weights!$C$7</f>
        <v>0.10142987975264667</v>
      </c>
      <c r="H233">
        <f>SUM(B233:G233)</f>
        <v>0.40541330098541067</v>
      </c>
      <c r="I233" t="str">
        <f>IF(H233&gt;$L$5/10*9,"1",IF(H233&gt;$L$5/10*8,"2",IF(H233&gt;$L$5/10*7,"3",IF(H233&gt;$L$5/10*6,"4",IF(H233&gt;$L$5/10*5,"5",IF(H233&gt;$L$5/10*4,"6",IF(H233&gt;$L$5/10*3,"7",IF(H233&gt;$L$5/10*2,"8",IF(H233&gt;$L$5/10,"9","10")))))))))</f>
        <v>4</v>
      </c>
    </row>
    <row r="234" spans="1:9" x14ac:dyDescent="0.55000000000000004">
      <c r="A234">
        <v>233</v>
      </c>
      <c r="B234">
        <f>estuary_data!U234*weights!$C$2</f>
        <v>9.9836658615154131E-2</v>
      </c>
      <c r="C234">
        <f>estuary_data!R234*weights!$C$5</f>
        <v>0.12642009049449718</v>
      </c>
      <c r="D234">
        <f>estuary_data!V234*weights!$C$3</f>
        <v>1.3267566861006096E-2</v>
      </c>
      <c r="E234">
        <f>estuary_data!S234*weights!$C$6</f>
        <v>1.9204888505908371E-2</v>
      </c>
      <c r="F234">
        <f>estuary_data!W234*weights!$C$4</f>
        <v>4.1403042599928254E-2</v>
      </c>
      <c r="G234">
        <f>estuary_data!T234*weights!$C$7</f>
        <v>0.10357906721709094</v>
      </c>
      <c r="H234">
        <f>SUM(B234:G234)</f>
        <v>0.40371131429358498</v>
      </c>
      <c r="I234" t="str">
        <f>IF(H234&gt;$L$5/10*9,"1",IF(H234&gt;$L$5/10*8,"2",IF(H234&gt;$L$5/10*7,"3",IF(H234&gt;$L$5/10*6,"4",IF(H234&gt;$L$5/10*5,"5",IF(H234&gt;$L$5/10*4,"6",IF(H234&gt;$L$5/10*3,"7",IF(H234&gt;$L$5/10*2,"8",IF(H234&gt;$L$5/10,"9","10")))))))))</f>
        <v>4</v>
      </c>
    </row>
    <row r="235" spans="1:9" x14ac:dyDescent="0.55000000000000004">
      <c r="A235">
        <v>234</v>
      </c>
      <c r="B235">
        <f>estuary_data!U235*weights!$C$2</f>
        <v>9.9590178894828837E-2</v>
      </c>
      <c r="C235">
        <f>estuary_data!R235*weights!$C$5</f>
        <v>0.12800705146199678</v>
      </c>
      <c r="D235">
        <f>estuary_data!V235*weights!$C$3</f>
        <v>1.5780719183783449E-2</v>
      </c>
      <c r="E235">
        <f>estuary_data!S235*weights!$C$6</f>
        <v>1.3525887368172481E-2</v>
      </c>
      <c r="F235">
        <f>estuary_data!W235*weights!$C$4</f>
        <v>5.0487492997240507E-2</v>
      </c>
      <c r="G235">
        <f>estuary_data!T235*weights!$C$7</f>
        <v>9.49699063661016E-2</v>
      </c>
      <c r="H235">
        <f>SUM(B235:G235)</f>
        <v>0.40236123627212361</v>
      </c>
      <c r="I235" t="str">
        <f>IF(H235&gt;$L$5/10*9,"1",IF(H235&gt;$L$5/10*8,"2",IF(H235&gt;$L$5/10*7,"3",IF(H235&gt;$L$5/10*6,"4",IF(H235&gt;$L$5/10*5,"5",IF(H235&gt;$L$5/10*4,"6",IF(H235&gt;$L$5/10*3,"7",IF(H235&gt;$L$5/10*2,"8",IF(H235&gt;$L$5/10,"9","10")))))))))</f>
        <v>4</v>
      </c>
    </row>
    <row r="236" spans="1:9" x14ac:dyDescent="0.55000000000000004">
      <c r="A236">
        <v>235</v>
      </c>
      <c r="B236">
        <f>estuary_data!U236*weights!$C$2</f>
        <v>9.6240507334353714E-2</v>
      </c>
      <c r="C236">
        <f>estuary_data!R236*weights!$C$5</f>
        <v>0.12843693815686055</v>
      </c>
      <c r="D236">
        <f>estuary_data!V236*weights!$C$3</f>
        <v>1.7426334121319328E-2</v>
      </c>
      <c r="E236">
        <f>estuary_data!S236*weights!$C$6</f>
        <v>1.0664668982478608E-2</v>
      </c>
      <c r="F236">
        <f>estuary_data!W236*weights!$C$4</f>
        <v>5.9497873551213255E-2</v>
      </c>
      <c r="G236">
        <f>estuary_data!T236*weights!$C$7</f>
        <v>9.0577314399508904E-2</v>
      </c>
      <c r="H236">
        <f>SUM(B236:G236)</f>
        <v>0.40284363654573435</v>
      </c>
      <c r="I236" t="str">
        <f>IF(H236&gt;$L$5/10*9,"1",IF(H236&gt;$L$5/10*8,"2",IF(H236&gt;$L$5/10*7,"3",IF(H236&gt;$L$5/10*6,"4",IF(H236&gt;$L$5/10*5,"5",IF(H236&gt;$L$5/10*4,"6",IF(H236&gt;$L$5/10*3,"7",IF(H236&gt;$L$5/10*2,"8",IF(H236&gt;$L$5/10,"9","10")))))))))</f>
        <v>4</v>
      </c>
    </row>
    <row r="237" spans="1:9" x14ac:dyDescent="0.55000000000000004">
      <c r="A237">
        <v>236</v>
      </c>
      <c r="B237">
        <f>estuary_data!U237*weights!$C$2</f>
        <v>9.8633050039056966E-2</v>
      </c>
      <c r="C237">
        <f>estuary_data!R237*weights!$C$5</f>
        <v>0.12510356557004518</v>
      </c>
      <c r="D237">
        <f>estuary_data!V237*weights!$C$3</f>
        <v>1.3085504038442143E-2</v>
      </c>
      <c r="E237">
        <f>estuary_data!S237*weights!$C$6</f>
        <v>2.0784504679700357E-2</v>
      </c>
      <c r="F237">
        <f>estuary_data!W237*weights!$C$4</f>
        <v>3.4334606262475358E-2</v>
      </c>
      <c r="G237">
        <f>estuary_data!T237*weights!$C$7</f>
        <v>0.10579725453464227</v>
      </c>
      <c r="H237">
        <f>SUM(B237:G237)</f>
        <v>0.39773848512436227</v>
      </c>
      <c r="I237" t="str">
        <f>IF(H237&gt;$L$5/10*9,"1",IF(H237&gt;$L$5/10*8,"2",IF(H237&gt;$L$5/10*7,"3",IF(H237&gt;$L$5/10*6,"4",IF(H237&gt;$L$5/10*5,"5",IF(H237&gt;$L$5/10*4,"6",IF(H237&gt;$L$5/10*3,"7",IF(H237&gt;$L$5/10*2,"8",IF(H237&gt;$L$5/10,"9","10")))))))))</f>
        <v>5</v>
      </c>
    </row>
    <row r="238" spans="1:9" x14ac:dyDescent="0.55000000000000004">
      <c r="A238">
        <v>237</v>
      </c>
      <c r="B238">
        <f>estuary_data!U238*weights!$C$2</f>
        <v>0.11122033748201159</v>
      </c>
      <c r="C238">
        <f>estuary_data!R238*weights!$C$5</f>
        <v>0.12421987753850953</v>
      </c>
      <c r="D238">
        <f>estuary_data!V238*weights!$C$3</f>
        <v>1.2512611020063269E-2</v>
      </c>
      <c r="E238">
        <f>estuary_data!S238*weights!$C$6</f>
        <v>2.3129146728878541E-2</v>
      </c>
      <c r="F238">
        <f>estuary_data!W238*weights!$C$4</f>
        <v>3.5014487434238538E-2</v>
      </c>
      <c r="G238">
        <f>estuary_data!T238*weights!$C$7</f>
        <v>0.10963615454897986</v>
      </c>
      <c r="H238">
        <f>SUM(B238:G238)</f>
        <v>0.41573261475268131</v>
      </c>
      <c r="I238" t="str">
        <f>IF(H238&gt;$L$5/10*9,"1",IF(H238&gt;$L$5/10*8,"2",IF(H238&gt;$L$5/10*7,"3",IF(H238&gt;$L$5/10*6,"4",IF(H238&gt;$L$5/10*5,"5",IF(H238&gt;$L$5/10*4,"6",IF(H238&gt;$L$5/10*3,"7",IF(H238&gt;$L$5/10*2,"8",IF(H238&gt;$L$5/10,"9","10")))))))))</f>
        <v>4</v>
      </c>
    </row>
    <row r="239" spans="1:9" x14ac:dyDescent="0.55000000000000004">
      <c r="A239">
        <v>238</v>
      </c>
      <c r="B239">
        <f>estuary_data!U239*weights!$C$2</f>
        <v>0.11336619576855278</v>
      </c>
      <c r="C239">
        <f>estuary_data!R239*weights!$C$5</f>
        <v>0.12131898648217236</v>
      </c>
      <c r="D239">
        <f>estuary_data!V239*weights!$C$3</f>
        <v>1.2128484867097796E-2</v>
      </c>
      <c r="E239">
        <f>estuary_data!S239*weights!$C$6</f>
        <v>2.5695100495823717E-2</v>
      </c>
      <c r="F239">
        <f>estuary_data!W239*weights!$C$4</f>
        <v>2.9682644657122174E-2</v>
      </c>
      <c r="G239">
        <f>estuary_data!T239*weights!$C$7</f>
        <v>0.11384149075468195</v>
      </c>
      <c r="H239">
        <f>SUM(B239:G239)</f>
        <v>0.41603290302545082</v>
      </c>
      <c r="I239" t="str">
        <f>IF(H239&gt;$L$5/10*9,"1",IF(H239&gt;$L$5/10*8,"2",IF(H239&gt;$L$5/10*7,"3",IF(H239&gt;$L$5/10*6,"4",IF(H239&gt;$L$5/10*5,"5",IF(H239&gt;$L$5/10*4,"6",IF(H239&gt;$L$5/10*3,"7",IF(H239&gt;$L$5/10*2,"8",IF(H239&gt;$L$5/10,"9","10")))))))))</f>
        <v>4</v>
      </c>
    </row>
    <row r="240" spans="1:9" x14ac:dyDescent="0.55000000000000004">
      <c r="A240">
        <v>239</v>
      </c>
      <c r="B240">
        <f>estuary_data!U240*weights!$C$2</f>
        <v>0.10433332342706764</v>
      </c>
      <c r="C240">
        <f>estuary_data!R240*weights!$C$5</f>
        <v>0.1210527438129021</v>
      </c>
      <c r="D240">
        <f>estuary_data!V240*weights!$C$3</f>
        <v>1.2488420590880957E-2</v>
      </c>
      <c r="E240">
        <f>estuary_data!S240*weights!$C$6</f>
        <v>2.620340751423238E-2</v>
      </c>
      <c r="F240">
        <f>estuary_data!W240*weights!$C$4</f>
        <v>2.855410217765933E-2</v>
      </c>
      <c r="G240">
        <f>estuary_data!T240*weights!$C$7</f>
        <v>0.11446092866569316</v>
      </c>
      <c r="H240">
        <f>SUM(B240:G240)</f>
        <v>0.40709292618843551</v>
      </c>
      <c r="I240" t="str">
        <f>IF(H240&gt;$L$5/10*9,"1",IF(H240&gt;$L$5/10*8,"2",IF(H240&gt;$L$5/10*7,"3",IF(H240&gt;$L$5/10*6,"4",IF(H240&gt;$L$5/10*5,"5",IF(H240&gt;$L$5/10*4,"6",IF(H240&gt;$L$5/10*3,"7",IF(H240&gt;$L$5/10*2,"8",IF(H240&gt;$L$5/10,"9","10")))))))))</f>
        <v>4</v>
      </c>
    </row>
    <row r="241" spans="1:9" x14ac:dyDescent="0.55000000000000004">
      <c r="A241">
        <v>240</v>
      </c>
      <c r="B241">
        <f>estuary_data!U241*weights!$C$2</f>
        <v>9.2692537797439023E-2</v>
      </c>
      <c r="C241">
        <f>estuary_data!R241*weights!$C$5</f>
        <v>0.12380643398210484</v>
      </c>
      <c r="D241">
        <f>estuary_data!V241*weights!$C$3</f>
        <v>1.7229998929787722E-2</v>
      </c>
      <c r="E241">
        <f>estuary_data!S241*weights!$C$6</f>
        <v>2.1737634242712574E-2</v>
      </c>
      <c r="F241">
        <f>estuary_data!W241*weights!$C$4</f>
        <v>2.8819810264235475E-2</v>
      </c>
      <c r="G241">
        <f>estuary_data!T241*weights!$C$7</f>
        <v>3.0375666406302283E-2</v>
      </c>
      <c r="H241">
        <f>SUM(B241:G241)</f>
        <v>0.31466208162258191</v>
      </c>
      <c r="I241" t="str">
        <f>IF(H241&gt;$L$5/10*9,"1",IF(H241&gt;$L$5/10*8,"2",IF(H241&gt;$L$5/10*7,"3",IF(H241&gt;$L$5/10*6,"4",IF(H241&gt;$L$5/10*5,"5",IF(H241&gt;$L$5/10*4,"6",IF(H241&gt;$L$5/10*3,"7",IF(H241&gt;$L$5/10*2,"8",IF(H241&gt;$L$5/10,"9","10")))))))))</f>
        <v>6</v>
      </c>
    </row>
    <row r="242" spans="1:9" x14ac:dyDescent="0.55000000000000004">
      <c r="A242">
        <v>241</v>
      </c>
      <c r="B242">
        <f>estuary_data!U242*weights!$C$2</f>
        <v>8.0747033695036441E-2</v>
      </c>
      <c r="C242">
        <f>estuary_data!R242*weights!$C$5</f>
        <v>0.12460107079496549</v>
      </c>
      <c r="D242">
        <f>estuary_data!V242*weights!$C$3</f>
        <v>1.441759483188919E-2</v>
      </c>
      <c r="E242">
        <f>estuary_data!S242*weights!$C$6</f>
        <v>2.3059650580799836E-2</v>
      </c>
      <c r="F242">
        <f>estuary_data!W242*weights!$C$4</f>
        <v>1.7162899725746892E-2</v>
      </c>
      <c r="G242">
        <f>estuary_data!T242*weights!$C$7</f>
        <v>2.964286270126975E-2</v>
      </c>
      <c r="H242">
        <f>SUM(B242:G242)</f>
        <v>0.28963111232970762</v>
      </c>
      <c r="I242" t="str">
        <f>IF(H242&gt;$L$5/10*9,"1",IF(H242&gt;$L$5/10*8,"2",IF(H242&gt;$L$5/10*7,"3",IF(H242&gt;$L$5/10*6,"4",IF(H242&gt;$L$5/10*5,"5",IF(H242&gt;$L$5/10*4,"6",IF(H242&gt;$L$5/10*3,"7",IF(H242&gt;$L$5/10*2,"8",IF(H242&gt;$L$5/10,"9","10")))))))))</f>
        <v>6</v>
      </c>
    </row>
    <row r="243" spans="1:9" x14ac:dyDescent="0.55000000000000004">
      <c r="A243">
        <v>242</v>
      </c>
      <c r="B243">
        <f>estuary_data!U243*weights!$C$2</f>
        <v>0.10759054233990985</v>
      </c>
      <c r="C243">
        <f>estuary_data!R243*weights!$C$5</f>
        <v>0.12804322163490767</v>
      </c>
      <c r="D243">
        <f>estuary_data!V243*weights!$C$3</f>
        <v>2.0269515733406167E-2</v>
      </c>
      <c r="E243">
        <f>estuary_data!S243*weights!$C$6</f>
        <v>7.1450982273538546E-4</v>
      </c>
      <c r="F243">
        <f>estuary_data!W243*weights!$C$4</f>
        <v>7.9916182551377155E-2</v>
      </c>
      <c r="G243">
        <f>estuary_data!T243*weights!$C$7</f>
        <v>7.1287485873483783E-2</v>
      </c>
      <c r="H243">
        <f>SUM(B243:G243)</f>
        <v>0.40782145795582003</v>
      </c>
      <c r="I243" t="str">
        <f>IF(H243&gt;$L$5/10*9,"1",IF(H243&gt;$L$5/10*8,"2",IF(H243&gt;$L$5/10*7,"3",IF(H243&gt;$L$5/10*6,"4",IF(H243&gt;$L$5/10*5,"5",IF(H243&gt;$L$5/10*4,"6",IF(H243&gt;$L$5/10*3,"7",IF(H243&gt;$L$5/10*2,"8",IF(H243&gt;$L$5/10,"9","10")))))))))</f>
        <v>4</v>
      </c>
    </row>
    <row r="244" spans="1:9" x14ac:dyDescent="0.55000000000000004">
      <c r="A244">
        <v>243</v>
      </c>
      <c r="B244">
        <f>estuary_data!U244*weights!$C$2</f>
        <v>0.10930564390911383</v>
      </c>
      <c r="C244">
        <f>estuary_data!R244*weights!$C$5</f>
        <v>0.12348179061643465</v>
      </c>
      <c r="D244">
        <f>estuary_data!V244*weights!$C$3</f>
        <v>1.3667764996784687E-2</v>
      </c>
      <c r="E244">
        <f>estuary_data!S244*weights!$C$6</f>
        <v>2.024424218214365E-2</v>
      </c>
      <c r="F244">
        <f>estuary_data!W244*weights!$C$4</f>
        <v>4.2424479431511612E-2</v>
      </c>
      <c r="G244">
        <f>estuary_data!T244*weights!$C$7</f>
        <v>0.10507711930964012</v>
      </c>
      <c r="H244">
        <f>SUM(B244:G244)</f>
        <v>0.41420104044562855</v>
      </c>
      <c r="I244" t="str">
        <f>IF(H244&gt;$L$5/10*9,"1",IF(H244&gt;$L$5/10*8,"2",IF(H244&gt;$L$5/10*7,"3",IF(H244&gt;$L$5/10*6,"4",IF(H244&gt;$L$5/10*5,"5",IF(H244&gt;$L$5/10*4,"6",IF(H244&gt;$L$5/10*3,"7",IF(H244&gt;$L$5/10*2,"8",IF(H244&gt;$L$5/10,"9","10")))))))))</f>
        <v>4</v>
      </c>
    </row>
    <row r="245" spans="1:9" x14ac:dyDescent="0.55000000000000004">
      <c r="A245">
        <v>244</v>
      </c>
      <c r="B245">
        <f>estuary_data!U245*weights!$C$2</f>
        <v>9.4395889950059597E-2</v>
      </c>
      <c r="C245">
        <f>estuary_data!R245*weights!$C$5</f>
        <v>0.12482341483193932</v>
      </c>
      <c r="D245">
        <f>estuary_data!V245*weights!$C$3</f>
        <v>1.3041477305949949E-2</v>
      </c>
      <c r="E245">
        <f>estuary_data!S245*weights!$C$6</f>
        <v>2.0488350338007479E-2</v>
      </c>
      <c r="F245">
        <f>estuary_data!W245*weights!$C$4</f>
        <v>3.8897465596106455E-2</v>
      </c>
      <c r="G245">
        <f>estuary_data!T245*weights!$C$7</f>
        <v>0.10636336358887694</v>
      </c>
      <c r="H245">
        <f>SUM(B245:G245)</f>
        <v>0.39800996161093977</v>
      </c>
      <c r="I245" t="str">
        <f>IF(H245&gt;$L$5/10*9,"1",IF(H245&gt;$L$5/10*8,"2",IF(H245&gt;$L$5/10*7,"3",IF(H245&gt;$L$5/10*6,"4",IF(H245&gt;$L$5/10*5,"5",IF(H245&gt;$L$5/10*4,"6",IF(H245&gt;$L$5/10*3,"7",IF(H245&gt;$L$5/10*2,"8",IF(H245&gt;$L$5/10,"9","10")))))))))</f>
        <v>5</v>
      </c>
    </row>
    <row r="246" spans="1:9" x14ac:dyDescent="0.55000000000000004">
      <c r="A246">
        <v>245</v>
      </c>
      <c r="B246">
        <f>estuary_data!U246*weights!$C$2</f>
        <v>8.9654171025860582E-2</v>
      </c>
      <c r="C246">
        <f>estuary_data!R246*weights!$C$5</f>
        <v>0.12904775224261553</v>
      </c>
      <c r="D246">
        <f>estuary_data!V246*weights!$C$3</f>
        <v>1.9380551717509926E-2</v>
      </c>
      <c r="E246">
        <f>estuary_data!S246*weights!$C$6</f>
        <v>6.8205589496513385E-3</v>
      </c>
      <c r="F246">
        <f>estuary_data!W246*weights!$C$4</f>
        <v>7.2910290850162221E-2</v>
      </c>
      <c r="G246">
        <f>estuary_data!T246*weights!$C$7</f>
        <v>8.585341750685882E-2</v>
      </c>
      <c r="H246">
        <f>SUM(B246:G246)</f>
        <v>0.40366674229265842</v>
      </c>
      <c r="I246" t="str">
        <f>IF(H246&gt;$L$5/10*9,"1",IF(H246&gt;$L$5/10*8,"2",IF(H246&gt;$L$5/10*7,"3",IF(H246&gt;$L$5/10*6,"4",IF(H246&gt;$L$5/10*5,"5",IF(H246&gt;$L$5/10*4,"6",IF(H246&gt;$L$5/10*3,"7",IF(H246&gt;$L$5/10*2,"8",IF(H246&gt;$L$5/10,"9","10")))))))))</f>
        <v>4</v>
      </c>
    </row>
    <row r="247" spans="1:9" x14ac:dyDescent="0.55000000000000004">
      <c r="A247">
        <v>246</v>
      </c>
      <c r="B247">
        <f>estuary_data!U247*weights!$C$2</f>
        <v>9.2021748020837457E-2</v>
      </c>
      <c r="C247">
        <f>estuary_data!R247*weights!$C$5</f>
        <v>0.12850016173699211</v>
      </c>
      <c r="D247">
        <f>estuary_data!V247*weights!$C$3</f>
        <v>2.1934272299824212E-2</v>
      </c>
      <c r="E247">
        <f>estuary_data!S247*weights!$C$6</f>
        <v>1.1097208567789433E-2</v>
      </c>
      <c r="F247">
        <f>estuary_data!W247*weights!$C$4</f>
        <v>8.5573031327025081E-2</v>
      </c>
      <c r="G247">
        <f>estuary_data!T247*weights!$C$7</f>
        <v>9.4252329979503682E-2</v>
      </c>
      <c r="H247">
        <f>SUM(B247:G247)</f>
        <v>0.43337875193197201</v>
      </c>
      <c r="I247" t="str">
        <f>IF(H247&gt;$L$5/10*9,"1",IF(H247&gt;$L$5/10*8,"2",IF(H247&gt;$L$5/10*7,"3",IF(H247&gt;$L$5/10*6,"4",IF(H247&gt;$L$5/10*5,"5",IF(H247&gt;$L$5/10*4,"6",IF(H247&gt;$L$5/10*3,"7",IF(H247&gt;$L$5/10*2,"8",IF(H247&gt;$L$5/10,"9","10")))))))))</f>
        <v>4</v>
      </c>
    </row>
    <row r="248" spans="1:9" x14ac:dyDescent="0.55000000000000004">
      <c r="A248">
        <v>247</v>
      </c>
      <c r="B248">
        <f>estuary_data!U248*weights!$C$2</f>
        <v>9.1393506685715442E-2</v>
      </c>
      <c r="C248">
        <f>estuary_data!R248*weights!$C$5</f>
        <v>0.12216275406528608</v>
      </c>
      <c r="D248">
        <f>estuary_data!V248*weights!$C$3</f>
        <v>1.1185145180230753E-2</v>
      </c>
      <c r="E248">
        <f>estuary_data!S248*weights!$C$6</f>
        <v>2.5624088431324039E-2</v>
      </c>
      <c r="F248">
        <f>estuary_data!W248*weights!$C$4</f>
        <v>2.6432989556439024E-2</v>
      </c>
      <c r="G248">
        <f>estuary_data!T248*weights!$C$7</f>
        <v>0.11468734454991136</v>
      </c>
      <c r="H248">
        <f>SUM(B248:G248)</f>
        <v>0.39148582846890673</v>
      </c>
      <c r="I248" t="str">
        <f>IF(H248&gt;$L$5/10*9,"1",IF(H248&gt;$L$5/10*8,"2",IF(H248&gt;$L$5/10*7,"3",IF(H248&gt;$L$5/10*6,"4",IF(H248&gt;$L$5/10*5,"5",IF(H248&gt;$L$5/10*4,"6",IF(H248&gt;$L$5/10*3,"7",IF(H248&gt;$L$5/10*2,"8",IF(H248&gt;$L$5/10,"9","10")))))))))</f>
        <v>5</v>
      </c>
    </row>
    <row r="249" spans="1:9" x14ac:dyDescent="0.55000000000000004">
      <c r="A249">
        <v>248</v>
      </c>
      <c r="B249">
        <f>estuary_data!U249*weights!$C$2</f>
        <v>9.1802659183682397E-2</v>
      </c>
      <c r="C249">
        <f>estuary_data!R249*weights!$C$5</f>
        <v>0.12216896390802796</v>
      </c>
      <c r="D249">
        <f>estuary_data!V249*weights!$C$3</f>
        <v>1.1464187881339682E-2</v>
      </c>
      <c r="E249">
        <f>estuary_data!S249*weights!$C$6</f>
        <v>2.1964198254866642E-2</v>
      </c>
      <c r="F249">
        <f>estuary_data!W249*weights!$C$4</f>
        <v>3.0581011705238133E-2</v>
      </c>
      <c r="G249">
        <f>estuary_data!T249*weights!$C$7</f>
        <v>0.10852254470875625</v>
      </c>
      <c r="H249">
        <f>SUM(B249:G249)</f>
        <v>0.38650356564191102</v>
      </c>
      <c r="I249" t="str">
        <f>IF(H249&gt;$L$5/10*9,"1",IF(H249&gt;$L$5/10*8,"2",IF(H249&gt;$L$5/10*7,"3",IF(H249&gt;$L$5/10*6,"4",IF(H249&gt;$L$5/10*5,"5",IF(H249&gt;$L$5/10*4,"6",IF(H249&gt;$L$5/10*3,"7",IF(H249&gt;$L$5/10*2,"8",IF(H249&gt;$L$5/10,"9","10")))))))))</f>
        <v>5</v>
      </c>
    </row>
    <row r="250" spans="1:9" x14ac:dyDescent="0.55000000000000004">
      <c r="A250">
        <v>249</v>
      </c>
      <c r="B250">
        <f>estuary_data!U250*weights!$C$2</f>
        <v>9.0951197873132605E-2</v>
      </c>
      <c r="C250">
        <f>estuary_data!R250*weights!$C$5</f>
        <v>0.12185629626730683</v>
      </c>
      <c r="D250">
        <f>estuary_data!V250*weights!$C$3</f>
        <v>1.1939909772687149E-2</v>
      </c>
      <c r="E250">
        <f>estuary_data!S250*weights!$C$6</f>
        <v>2.486829895984298E-2</v>
      </c>
      <c r="F250">
        <f>estuary_data!W250*weights!$C$4</f>
        <v>3.0516863480780303E-2</v>
      </c>
      <c r="G250">
        <f>estuary_data!T250*weights!$C$7</f>
        <v>0.1136385224417704</v>
      </c>
      <c r="H250">
        <f>SUM(B250:G250)</f>
        <v>0.39377108879552031</v>
      </c>
      <c r="I250" t="str">
        <f>IF(H250&gt;$L$5/10*9,"1",IF(H250&gt;$L$5/10*8,"2",IF(H250&gt;$L$5/10*7,"3",IF(H250&gt;$L$5/10*6,"4",IF(H250&gt;$L$5/10*5,"5",IF(H250&gt;$L$5/10*4,"6",IF(H250&gt;$L$5/10*3,"7",IF(H250&gt;$L$5/10*2,"8",IF(H250&gt;$L$5/10,"9","10")))))))))</f>
        <v>5</v>
      </c>
    </row>
    <row r="251" spans="1:9" x14ac:dyDescent="0.55000000000000004">
      <c r="A251">
        <v>250</v>
      </c>
      <c r="B251">
        <f>estuary_data!U251*weights!$C$2</f>
        <v>0.11386364475559435</v>
      </c>
      <c r="C251">
        <f>estuary_data!R251*weights!$C$5</f>
        <v>0.12125260597509613</v>
      </c>
      <c r="D251">
        <f>estuary_data!V251*weights!$C$3</f>
        <v>1.1716105118632502E-2</v>
      </c>
      <c r="E251">
        <f>estuary_data!S251*weights!$C$6</f>
        <v>2.9391357533738619E-2</v>
      </c>
      <c r="F251">
        <f>estuary_data!W251*weights!$C$4</f>
        <v>3.5428927888476743E-2</v>
      </c>
      <c r="G251">
        <f>estuary_data!T251*weights!$C$7</f>
        <v>0.12150825008299415</v>
      </c>
      <c r="H251">
        <f>SUM(B251:G251)</f>
        <v>0.43316089135453251</v>
      </c>
      <c r="I251" t="str">
        <f>IF(H251&gt;$L$5/10*9,"1",IF(H251&gt;$L$5/10*8,"2",IF(H251&gt;$L$5/10*7,"3",IF(H251&gt;$L$5/10*6,"4",IF(H251&gt;$L$5/10*5,"5",IF(H251&gt;$L$5/10*4,"6",IF(H251&gt;$L$5/10*3,"7",IF(H251&gt;$L$5/10*2,"8",IF(H251&gt;$L$5/10,"9","10")))))))))</f>
        <v>4</v>
      </c>
    </row>
    <row r="252" spans="1:9" x14ac:dyDescent="0.55000000000000004">
      <c r="A252">
        <v>251</v>
      </c>
      <c r="B252">
        <f>estuary_data!U252*weights!$C$2</f>
        <v>0.10239390178731801</v>
      </c>
      <c r="C252">
        <f>estuary_data!R252*weights!$C$5</f>
        <v>0.12002089454260174</v>
      </c>
      <c r="D252">
        <f>estuary_data!V252*weights!$C$3</f>
        <v>1.0408744916948031E-2</v>
      </c>
      <c r="E252">
        <f>estuary_data!S252*weights!$C$6</f>
        <v>2.8803609216987647E-2</v>
      </c>
      <c r="F252">
        <f>estuary_data!W252*weights!$C$4</f>
        <v>2.6858372762887234E-2</v>
      </c>
      <c r="G252">
        <f>estuary_data!T252*weights!$C$7</f>
        <v>0.11973513630816887</v>
      </c>
      <c r="H252">
        <f>SUM(B252:G252)</f>
        <v>0.40822065953491149</v>
      </c>
      <c r="I252" t="str">
        <f>IF(H252&gt;$L$5/10*9,"1",IF(H252&gt;$L$5/10*8,"2",IF(H252&gt;$L$5/10*7,"3",IF(H252&gt;$L$5/10*6,"4",IF(H252&gt;$L$5/10*5,"5",IF(H252&gt;$L$5/10*4,"6",IF(H252&gt;$L$5/10*3,"7",IF(H252&gt;$L$5/10*2,"8",IF(H252&gt;$L$5/10,"9","10")))))))))</f>
        <v>4</v>
      </c>
    </row>
    <row r="253" spans="1:9" x14ac:dyDescent="0.55000000000000004">
      <c r="A253">
        <v>252</v>
      </c>
      <c r="B253">
        <f>estuary_data!U253*weights!$C$2</f>
        <v>9.1876934892694162E-2</v>
      </c>
      <c r="C253">
        <f>estuary_data!R253*weights!$C$5</f>
        <v>0.11902145940328038</v>
      </c>
      <c r="D253">
        <f>estuary_data!V253*weights!$C$3</f>
        <v>9.1309236676479499E-3</v>
      </c>
      <c r="E253">
        <f>estuary_data!S253*weights!$C$6</f>
        <v>3.9219058062229875E-2</v>
      </c>
      <c r="F253">
        <f>estuary_data!W253*weights!$C$4</f>
        <v>1.124878949547805E-2</v>
      </c>
      <c r="G253">
        <f>estuary_data!T253*weights!$C$7</f>
        <v>0.13831866772286139</v>
      </c>
      <c r="H253">
        <f>SUM(B253:G253)</f>
        <v>0.4088158332441918</v>
      </c>
      <c r="I253" t="str">
        <f>IF(H253&gt;$L$5/10*9,"1",IF(H253&gt;$L$5/10*8,"2",IF(H253&gt;$L$5/10*7,"3",IF(H253&gt;$L$5/10*6,"4",IF(H253&gt;$L$5/10*5,"5",IF(H253&gt;$L$5/10*4,"6",IF(H253&gt;$L$5/10*3,"7",IF(H253&gt;$L$5/10*2,"8",IF(H253&gt;$L$5/10,"9","10")))))))))</f>
        <v>4</v>
      </c>
    </row>
    <row r="254" spans="1:9" x14ac:dyDescent="0.55000000000000004">
      <c r="A254">
        <v>253</v>
      </c>
      <c r="B254">
        <f>estuary_data!U748*weights!$C$2</f>
        <v>2.0697194085503516E-2</v>
      </c>
      <c r="C254">
        <f>estuary_data!R748*weights!$C$5</f>
        <v>9.170203585884909E-2</v>
      </c>
      <c r="D254">
        <f>estuary_data!V748*weights!$C$3</f>
        <v>3.3265346371497653E-2</v>
      </c>
      <c r="E254">
        <f>estuary_data!S748*weights!$C$6</f>
        <v>4.870301099762727E-2</v>
      </c>
      <c r="F254">
        <f>estuary_data!W748*weights!$C$4</f>
        <v>0.14435994417104245</v>
      </c>
      <c r="G254">
        <f>estuary_data!T748*weights!$C$7</f>
        <v>6.9329836070985057E-2</v>
      </c>
      <c r="H254">
        <f>SUM(B254:G254)</f>
        <v>0.40805736755550504</v>
      </c>
      <c r="I254" t="str">
        <f>IF(H254&gt;$L$5/10*9,"1",IF(H254&gt;$L$5/10*8,"2",IF(H254&gt;$L$5/10*7,"3",IF(H254&gt;$L$5/10*6,"4",IF(H254&gt;$L$5/10*5,"5",IF(H254&gt;$L$5/10*4,"6",IF(H254&gt;$L$5/10*3,"7",IF(H254&gt;$L$5/10*2,"8",IF(H254&gt;$L$5/10,"9","10")))))))))</f>
        <v>4</v>
      </c>
    </row>
    <row r="255" spans="1:9" x14ac:dyDescent="0.55000000000000004">
      <c r="A255">
        <v>254</v>
      </c>
      <c r="B255" t="e">
        <f>estuary_data!U254*weights!$C$2</f>
        <v>#VALUE!</v>
      </c>
      <c r="C255" t="e">
        <f>estuary_data!R254*weights!$C$5</f>
        <v>#VALUE!</v>
      </c>
      <c r="D255" t="e">
        <f>estuary_data!V254*weights!$C$3</f>
        <v>#VALUE!</v>
      </c>
      <c r="E255" t="e">
        <f>estuary_data!S254*weights!$C$6</f>
        <v>#VALUE!</v>
      </c>
      <c r="F255" t="e">
        <f>estuary_data!W254*weights!$C$4</f>
        <v>#VALUE!</v>
      </c>
      <c r="G255" t="e">
        <f>estuary_data!T254*weights!$C$7</f>
        <v>#VALUE!</v>
      </c>
      <c r="H255" t="e">
        <f>SUM(B255:G255)</f>
        <v>#VALUE!</v>
      </c>
      <c r="I255" t="e">
        <f>IF(H255&gt;$L$5/10*9,"1",IF(H255&gt;$L$5/10*8,"2",IF(H255&gt;$L$5/10*7,"3",IF(H255&gt;$L$5/10*6,"4",IF(H255&gt;$L$5/10*5,"5",IF(H255&gt;$L$5/10*4,"6",IF(H255&gt;$L$5/10*3,"7",IF(H255&gt;$L$5/10*2,"8",IF(H255&gt;$L$5/10,"9","10")))))))))</f>
        <v>#VALUE!</v>
      </c>
    </row>
    <row r="256" spans="1:9" x14ac:dyDescent="0.55000000000000004">
      <c r="A256">
        <v>255</v>
      </c>
      <c r="B256">
        <f>estuary_data!U255*weights!$C$2</f>
        <v>9.9635486695043879E-2</v>
      </c>
      <c r="C256">
        <f>estuary_data!R255*weights!$C$5</f>
        <v>0.11633144097830338</v>
      </c>
      <c r="D256">
        <f>estuary_data!V255*weights!$C$3</f>
        <v>1.1199683174169649E-2</v>
      </c>
      <c r="E256">
        <f>estuary_data!S255*weights!$C$6</f>
        <v>3.4110519509881358E-2</v>
      </c>
      <c r="F256">
        <f>estuary_data!W255*weights!$C$4</f>
        <v>2.0983141862480559E-2</v>
      </c>
      <c r="G256">
        <f>estuary_data!T255*weights!$C$7</f>
        <v>0.12693543261421383</v>
      </c>
      <c r="H256">
        <f>SUM(B256:G256)</f>
        <v>0.40919570483409262</v>
      </c>
      <c r="I256" t="str">
        <f>IF(H256&gt;$L$5/10*9,"1",IF(H256&gt;$L$5/10*8,"2",IF(H256&gt;$L$5/10*7,"3",IF(H256&gt;$L$5/10*6,"4",IF(H256&gt;$L$5/10*5,"5",IF(H256&gt;$L$5/10*4,"6",IF(H256&gt;$L$5/10*3,"7",IF(H256&gt;$L$5/10*2,"8",IF(H256&gt;$L$5/10,"9","10")))))))))</f>
        <v>4</v>
      </c>
    </row>
    <row r="257" spans="1:9" x14ac:dyDescent="0.55000000000000004">
      <c r="A257">
        <v>256</v>
      </c>
      <c r="B257">
        <f>estuary_data!U256*weights!$C$2</f>
        <v>0.13495717571938418</v>
      </c>
      <c r="C257">
        <f>estuary_data!R256*weights!$C$5</f>
        <v>0.11607241026953963</v>
      </c>
      <c r="D257">
        <f>estuary_data!V256*weights!$C$3</f>
        <v>1.3404289150636881E-2</v>
      </c>
      <c r="E257">
        <f>estuary_data!S256*weights!$C$6</f>
        <v>3.1449359026821409E-2</v>
      </c>
      <c r="F257">
        <f>estuary_data!W256*weights!$C$4</f>
        <v>4.6072967303161433E-2</v>
      </c>
      <c r="G257">
        <f>estuary_data!T256*weights!$C$7</f>
        <v>0.12158168584238253</v>
      </c>
      <c r="H257">
        <f>SUM(B257:G257)</f>
        <v>0.46353788731192608</v>
      </c>
      <c r="I257" t="str">
        <f>IF(H257&gt;$L$5/10*9,"1",IF(H257&gt;$L$5/10*8,"2",IF(H257&gt;$L$5/10*7,"3",IF(H257&gt;$L$5/10*6,"4",IF(H257&gt;$L$5/10*5,"5",IF(H257&gt;$L$5/10*4,"6",IF(H257&gt;$L$5/10*3,"7",IF(H257&gt;$L$5/10*2,"8",IF(H257&gt;$L$5/10,"9","10")))))))))</f>
        <v>4</v>
      </c>
    </row>
    <row r="258" spans="1:9" x14ac:dyDescent="0.55000000000000004">
      <c r="A258">
        <v>257</v>
      </c>
      <c r="B258">
        <f>estuary_data!U257*weights!$C$2</f>
        <v>0.10331244039089534</v>
      </c>
      <c r="C258">
        <f>estuary_data!R257*weights!$C$5</f>
        <v>0.1159006555840127</v>
      </c>
      <c r="D258">
        <f>estuary_data!V257*weights!$C$3</f>
        <v>1.4248942595639013E-2</v>
      </c>
      <c r="E258">
        <f>estuary_data!S257*weights!$C$6</f>
        <v>3.0811959122836456E-2</v>
      </c>
      <c r="F258">
        <f>estuary_data!W257*weights!$C$4</f>
        <v>4.0940661246980287E-2</v>
      </c>
      <c r="G258">
        <f>estuary_data!T257*weights!$C$7</f>
        <v>0.12000521212291147</v>
      </c>
      <c r="H258">
        <f>SUM(B258:G258)</f>
        <v>0.4252198710632753</v>
      </c>
      <c r="I258" t="str">
        <f>IF(H258&gt;$L$5/10*9,"1",IF(H258&gt;$L$5/10*8,"2",IF(H258&gt;$L$5/10*7,"3",IF(H258&gt;$L$5/10*6,"4",IF(H258&gt;$L$5/10*5,"5",IF(H258&gt;$L$5/10*4,"6",IF(H258&gt;$L$5/10*3,"7",IF(H258&gt;$L$5/10*2,"8",IF(H258&gt;$L$5/10,"9","10")))))))))</f>
        <v>4</v>
      </c>
    </row>
    <row r="259" spans="1:9" x14ac:dyDescent="0.55000000000000004">
      <c r="A259">
        <v>258</v>
      </c>
      <c r="B259">
        <f>estuary_data!U258*weights!$C$2</f>
        <v>0.12606553272390381</v>
      </c>
      <c r="C259">
        <f>estuary_data!R258*weights!$C$5</f>
        <v>0.11425485960620836</v>
      </c>
      <c r="D259">
        <f>estuary_data!V258*weights!$C$3</f>
        <v>1.2357417381924151E-2</v>
      </c>
      <c r="E259">
        <f>estuary_data!S258*weights!$C$6</f>
        <v>3.6782819601429068E-2</v>
      </c>
      <c r="F259">
        <f>estuary_data!W258*weights!$C$4</f>
        <v>3.2003199758246226E-2</v>
      </c>
      <c r="G259">
        <f>estuary_data!T258*weights!$C$7</f>
        <v>0.13084527612590766</v>
      </c>
      <c r="H259">
        <f>SUM(B259:G259)</f>
        <v>0.45230910519761924</v>
      </c>
      <c r="I259" t="str">
        <f>IF(H259&gt;$L$5/10*9,"1",IF(H259&gt;$L$5/10*8,"2",IF(H259&gt;$L$5/10*7,"3",IF(H259&gt;$L$5/10*6,"4",IF(H259&gt;$L$5/10*5,"5",IF(H259&gt;$L$5/10*4,"6",IF(H259&gt;$L$5/10*3,"7",IF(H259&gt;$L$5/10*2,"8",IF(H259&gt;$L$5/10,"9","10")))))))))</f>
        <v>4</v>
      </c>
    </row>
    <row r="260" spans="1:9" x14ac:dyDescent="0.55000000000000004">
      <c r="A260">
        <v>259</v>
      </c>
      <c r="B260">
        <f>estuary_data!U259*weights!$C$2</f>
        <v>9.3255874318058762E-2</v>
      </c>
      <c r="C260">
        <f>estuary_data!R259*weights!$C$5</f>
        <v>0.11412375226151582</v>
      </c>
      <c r="D260">
        <f>estuary_data!V259*weights!$C$3</f>
        <v>1.1665581330719143E-2</v>
      </c>
      <c r="E260">
        <f>estuary_data!S259*weights!$C$6</f>
        <v>3.6125697172879133E-2</v>
      </c>
      <c r="F260">
        <f>estuary_data!W259*weights!$C$4</f>
        <v>2.0240281713933168E-2</v>
      </c>
      <c r="G260">
        <f>estuary_data!T259*weights!$C$7</f>
        <v>0.12948742219518347</v>
      </c>
      <c r="H260">
        <f>SUM(B260:G260)</f>
        <v>0.40489860899228947</v>
      </c>
      <c r="I260" t="str">
        <f>IF(H260&gt;$L$5/10*9,"1",IF(H260&gt;$L$5/10*8,"2",IF(H260&gt;$L$5/10*7,"3",IF(H260&gt;$L$5/10*6,"4",IF(H260&gt;$L$5/10*5,"5",IF(H260&gt;$L$5/10*4,"6",IF(H260&gt;$L$5/10*3,"7",IF(H260&gt;$L$5/10*2,"8",IF(H260&gt;$L$5/10,"9","10")))))))))</f>
        <v>4</v>
      </c>
    </row>
    <row r="261" spans="1:9" x14ac:dyDescent="0.55000000000000004">
      <c r="A261">
        <v>260</v>
      </c>
      <c r="B261">
        <f>estuary_data!U260*weights!$C$2</f>
        <v>9.0010911906238861E-2</v>
      </c>
      <c r="C261">
        <f>estuary_data!R260*weights!$C$5</f>
        <v>0.12186487174389649</v>
      </c>
      <c r="D261">
        <f>estuary_data!V260*weights!$C$3</f>
        <v>1.3590925499999544E-2</v>
      </c>
      <c r="E261">
        <f>estuary_data!S260*weights!$C$6</f>
        <v>1.2844541617546862E-2</v>
      </c>
      <c r="F261">
        <f>estuary_data!W260*weights!$C$4</f>
        <v>4.214057899478988E-2</v>
      </c>
      <c r="G261">
        <f>estuary_data!T260*weights!$C$7</f>
        <v>9.1702971910594525E-2</v>
      </c>
      <c r="H261">
        <f>SUM(B261:G261)</f>
        <v>0.37215480167306614</v>
      </c>
      <c r="I261" t="str">
        <f>IF(H261&gt;$L$5/10*9,"1",IF(H261&gt;$L$5/10*8,"2",IF(H261&gt;$L$5/10*7,"3",IF(H261&gt;$L$5/10*6,"4",IF(H261&gt;$L$5/10*5,"5",IF(H261&gt;$L$5/10*4,"6",IF(H261&gt;$L$5/10*3,"7",IF(H261&gt;$L$5/10*2,"8",IF(H261&gt;$L$5/10,"9","10")))))))))</f>
        <v>5</v>
      </c>
    </row>
    <row r="262" spans="1:9" x14ac:dyDescent="0.55000000000000004">
      <c r="A262">
        <v>261</v>
      </c>
      <c r="B262">
        <f>estuary_data!U261*weights!$C$2</f>
        <v>0.10242162904879334</v>
      </c>
      <c r="C262">
        <f>estuary_data!R261*weights!$C$5</f>
        <v>0.12110957124638687</v>
      </c>
      <c r="D262">
        <f>estuary_data!V261*weights!$C$3</f>
        <v>1.3967997740562836E-2</v>
      </c>
      <c r="E262">
        <f>estuary_data!S261*weights!$C$6</f>
        <v>1.2851606015354252E-2</v>
      </c>
      <c r="F262">
        <f>estuary_data!W261*weights!$C$4</f>
        <v>4.1088099865055336E-2</v>
      </c>
      <c r="G262">
        <f>estuary_data!T261*weights!$C$7</f>
        <v>9.1494636471907975E-2</v>
      </c>
      <c r="H262">
        <f>SUM(B262:G262)</f>
        <v>0.3829335403880606</v>
      </c>
      <c r="I262" t="str">
        <f>IF(H262&gt;$L$5/10*9,"1",IF(H262&gt;$L$5/10*8,"2",IF(H262&gt;$L$5/10*7,"3",IF(H262&gt;$L$5/10*6,"4",IF(H262&gt;$L$5/10*5,"5",IF(H262&gt;$L$5/10*4,"6",IF(H262&gt;$L$5/10*3,"7",IF(H262&gt;$L$5/10*2,"8",IF(H262&gt;$L$5/10,"9","10")))))))))</f>
        <v>5</v>
      </c>
    </row>
    <row r="263" spans="1:9" x14ac:dyDescent="0.55000000000000004">
      <c r="A263">
        <v>262</v>
      </c>
      <c r="B263">
        <f>estuary_data!U262*weights!$C$2</f>
        <v>9.279537321576313E-2</v>
      </c>
      <c r="C263">
        <f>estuary_data!R262*weights!$C$5</f>
        <v>0.12112264145962207</v>
      </c>
      <c r="D263">
        <f>estuary_data!V262*weights!$C$3</f>
        <v>1.2690945310775205E-2</v>
      </c>
      <c r="E263">
        <f>estuary_data!S262*weights!$C$6</f>
        <v>1.2748533682358416E-2</v>
      </c>
      <c r="F263">
        <f>estuary_data!W262*weights!$C$4</f>
        <v>3.2906383384689514E-2</v>
      </c>
      <c r="G263">
        <f>estuary_data!T262*weights!$C$7</f>
        <v>9.0979317898117765E-2</v>
      </c>
      <c r="H263">
        <f>SUM(B263:G263)</f>
        <v>0.36324319495132606</v>
      </c>
      <c r="I263" t="str">
        <f>IF(H263&gt;$L$5/10*9,"1",IF(H263&gt;$L$5/10*8,"2",IF(H263&gt;$L$5/10*7,"3",IF(H263&gt;$L$5/10*6,"4",IF(H263&gt;$L$5/10*5,"5",IF(H263&gt;$L$5/10*4,"6",IF(H263&gt;$L$5/10*3,"7",IF(H263&gt;$L$5/10*2,"8",IF(H263&gt;$L$5/10,"9","10")))))))))</f>
        <v>5</v>
      </c>
    </row>
    <row r="264" spans="1:9" x14ac:dyDescent="0.55000000000000004">
      <c r="A264">
        <v>263</v>
      </c>
      <c r="B264">
        <f>estuary_data!U263*weights!$C$2</f>
        <v>9.2889127117624815E-2</v>
      </c>
      <c r="C264">
        <f>estuary_data!R263*weights!$C$5</f>
        <v>0.12044863866172094</v>
      </c>
      <c r="D264">
        <f>estuary_data!V263*weights!$C$3</f>
        <v>1.1196533430060673E-2</v>
      </c>
      <c r="E264">
        <f>estuary_data!S263*weights!$C$6</f>
        <v>1.5322238780771638E-2</v>
      </c>
      <c r="F264">
        <f>estuary_data!W263*weights!$C$4</f>
        <v>2.612921286330689E-2</v>
      </c>
      <c r="G264">
        <f>estuary_data!T263*weights!$C$7</f>
        <v>9.4768044394493392E-2</v>
      </c>
      <c r="H264">
        <f>SUM(B264:G264)</f>
        <v>0.36075379524797835</v>
      </c>
      <c r="I264" t="str">
        <f>IF(H264&gt;$L$5/10*9,"1",IF(H264&gt;$L$5/10*8,"2",IF(H264&gt;$L$5/10*7,"3",IF(H264&gt;$L$5/10*6,"4",IF(H264&gt;$L$5/10*5,"5",IF(H264&gt;$L$5/10*4,"6",IF(H264&gt;$L$5/10*3,"7",IF(H264&gt;$L$5/10*2,"8",IF(H264&gt;$L$5/10,"9","10")))))))))</f>
        <v>5</v>
      </c>
    </row>
    <row r="265" spans="1:9" x14ac:dyDescent="0.55000000000000004">
      <c r="A265">
        <v>264</v>
      </c>
      <c r="B265">
        <f>estuary_data!U264*weights!$C$2</f>
        <v>9.2280165208619896E-2</v>
      </c>
      <c r="C265">
        <f>estuary_data!R264*weights!$C$5</f>
        <v>0.12313768223817714</v>
      </c>
      <c r="D265">
        <f>estuary_data!V264*weights!$C$3</f>
        <v>1.4644054795126709E-2</v>
      </c>
      <c r="E265">
        <f>estuary_data!S264*weights!$C$6</f>
        <v>7.7337502377469464E-3</v>
      </c>
      <c r="F265">
        <f>estuary_data!W264*weights!$C$4</f>
        <v>3.8571146260402624E-2</v>
      </c>
      <c r="G265">
        <f>estuary_data!T264*weights!$C$7</f>
        <v>8.2524416361507716E-2</v>
      </c>
      <c r="H265">
        <f>SUM(B265:G265)</f>
        <v>0.35889121510158101</v>
      </c>
      <c r="I265" t="str">
        <f>IF(H265&gt;$L$5/10*9,"1",IF(H265&gt;$L$5/10*8,"2",IF(H265&gt;$L$5/10*7,"3",IF(H265&gt;$L$5/10*6,"4",IF(H265&gt;$L$5/10*5,"5",IF(H265&gt;$L$5/10*4,"6",IF(H265&gt;$L$5/10*3,"7",IF(H265&gt;$L$5/10*2,"8",IF(H265&gt;$L$5/10,"9","10")))))))))</f>
        <v>5</v>
      </c>
    </row>
    <row r="266" spans="1:9" x14ac:dyDescent="0.55000000000000004">
      <c r="A266">
        <v>265</v>
      </c>
      <c r="B266">
        <f>estuary_data!U265*weights!$C$2</f>
        <v>9.6211912387308113E-2</v>
      </c>
      <c r="C266">
        <f>estuary_data!R265*weights!$C$5</f>
        <v>0.12236175487506122</v>
      </c>
      <c r="D266">
        <f>estuary_data!V265*weights!$C$3</f>
        <v>1.6903793550244253E-2</v>
      </c>
      <c r="E266">
        <f>estuary_data!S265*weights!$C$6</f>
        <v>2.0422111230786666E-3</v>
      </c>
      <c r="F266">
        <f>estuary_data!W265*weights!$C$4</f>
        <v>6.2603361205317967E-2</v>
      </c>
      <c r="G266">
        <f>estuary_data!T265*weights!$C$7</f>
        <v>7.2362960106359633E-2</v>
      </c>
      <c r="H266">
        <f>SUM(B266:G266)</f>
        <v>0.37248599324736981</v>
      </c>
      <c r="I266" t="str">
        <f>IF(H266&gt;$L$5/10*9,"1",IF(H266&gt;$L$5/10*8,"2",IF(H266&gt;$L$5/10*7,"3",IF(H266&gt;$L$5/10*6,"4",IF(H266&gt;$L$5/10*5,"5",IF(H266&gt;$L$5/10*4,"6",IF(H266&gt;$L$5/10*3,"7",IF(H266&gt;$L$5/10*2,"8",IF(H266&gt;$L$5/10,"9","10")))))))))</f>
        <v>5</v>
      </c>
    </row>
    <row r="267" spans="1:9" x14ac:dyDescent="0.55000000000000004">
      <c r="A267">
        <v>266</v>
      </c>
      <c r="B267">
        <f>estuary_data!U266*weights!$C$2</f>
        <v>8.9700796926632534E-2</v>
      </c>
      <c r="C267">
        <f>estuary_data!R266*weights!$C$5</f>
        <v>0.12545575081808621</v>
      </c>
      <c r="D267">
        <f>estuary_data!V266*weights!$C$3</f>
        <v>1.8090144797282218E-2</v>
      </c>
      <c r="E267">
        <f>estuary_data!S266*weights!$C$6</f>
        <v>5.0653553071478468E-3</v>
      </c>
      <c r="F267">
        <f>estuary_data!W266*weights!$C$4</f>
        <v>5.6917150132192097E-2</v>
      </c>
      <c r="G267">
        <f>estuary_data!T266*weights!$C$7</f>
        <v>5.9004642267480936E-2</v>
      </c>
      <c r="H267">
        <f>SUM(B267:G267)</f>
        <v>0.35423384024882187</v>
      </c>
      <c r="I267" t="str">
        <f>IF(H267&gt;$L$5/10*9,"1",IF(H267&gt;$L$5/10*8,"2",IF(H267&gt;$L$5/10*7,"3",IF(H267&gt;$L$5/10*6,"4",IF(H267&gt;$L$5/10*5,"5",IF(H267&gt;$L$5/10*4,"6",IF(H267&gt;$L$5/10*3,"7",IF(H267&gt;$L$5/10*2,"8",IF(H267&gt;$L$5/10,"9","10")))))))))</f>
        <v>5</v>
      </c>
    </row>
    <row r="268" spans="1:9" x14ac:dyDescent="0.55000000000000004">
      <c r="A268">
        <v>267</v>
      </c>
      <c r="B268">
        <f>estuary_data!U267*weights!$C$2</f>
        <v>9.7655363878465212E-2</v>
      </c>
      <c r="C268">
        <f>estuary_data!R267*weights!$C$5</f>
        <v>0.1272492285594333</v>
      </c>
      <c r="D268">
        <f>estuary_data!V267*weights!$C$3</f>
        <v>2.011537118887281E-2</v>
      </c>
      <c r="E268">
        <f>estuary_data!S267*weights!$C$6</f>
        <v>1.3741870864043928E-2</v>
      </c>
      <c r="F268">
        <f>estuary_data!W267*weights!$C$4</f>
        <v>7.2527883193850659E-2</v>
      </c>
      <c r="G268">
        <f>estuary_data!T267*weights!$C$7</f>
        <v>4.3664140911465234E-2</v>
      </c>
      <c r="H268">
        <f>SUM(B268:G268)</f>
        <v>0.37495385859613117</v>
      </c>
      <c r="I268" t="str">
        <f>IF(H268&gt;$L$5/10*9,"1",IF(H268&gt;$L$5/10*8,"2",IF(H268&gt;$L$5/10*7,"3",IF(H268&gt;$L$5/10*6,"4",IF(H268&gt;$L$5/10*5,"5",IF(H268&gt;$L$5/10*4,"6",IF(H268&gt;$L$5/10*3,"7",IF(H268&gt;$L$5/10*2,"8",IF(H268&gt;$L$5/10,"9","10")))))))))</f>
        <v>5</v>
      </c>
    </row>
    <row r="269" spans="1:9" x14ac:dyDescent="0.55000000000000004">
      <c r="A269">
        <v>268</v>
      </c>
      <c r="B269">
        <f>estuary_data!U268*weights!$C$2</f>
        <v>9.5587316238691433E-2</v>
      </c>
      <c r="C269">
        <f>estuary_data!R268*weights!$C$5</f>
        <v>0.13041871627826276</v>
      </c>
      <c r="D269">
        <f>estuary_data!V268*weights!$C$3</f>
        <v>2.3427780130035922E-2</v>
      </c>
      <c r="E269">
        <f>estuary_data!S268*weights!$C$6</f>
        <v>9.789517325926379E-3</v>
      </c>
      <c r="F269">
        <f>estuary_data!W268*weights!$C$4</f>
        <v>8.6681833411001497E-2</v>
      </c>
      <c r="G269">
        <f>estuary_data!T268*weights!$C$7</f>
        <v>5.2250531575305181E-2</v>
      </c>
      <c r="H269">
        <f>SUM(B269:G269)</f>
        <v>0.39815569495922315</v>
      </c>
      <c r="I269" t="str">
        <f>IF(H269&gt;$L$5/10*9,"1",IF(H269&gt;$L$5/10*8,"2",IF(H269&gt;$L$5/10*7,"3",IF(H269&gt;$L$5/10*6,"4",IF(H269&gt;$L$5/10*5,"5",IF(H269&gt;$L$5/10*4,"6",IF(H269&gt;$L$5/10*3,"7",IF(H269&gt;$L$5/10*2,"8",IF(H269&gt;$L$5/10,"9","10")))))))))</f>
        <v>5</v>
      </c>
    </row>
    <row r="270" spans="1:9" x14ac:dyDescent="0.55000000000000004">
      <c r="A270">
        <v>269</v>
      </c>
      <c r="B270">
        <f>estuary_data!U269*weights!$C$2</f>
        <v>9.0654742922933809E-2</v>
      </c>
      <c r="C270">
        <f>estuary_data!R269*weights!$C$5</f>
        <v>0.12773184604976109</v>
      </c>
      <c r="D270">
        <f>estuary_data!V269*weights!$C$3</f>
        <v>2.4067195337628026E-2</v>
      </c>
      <c r="E270">
        <f>estuary_data!S269*weights!$C$6</f>
        <v>7.7053743694767028E-3</v>
      </c>
      <c r="F270">
        <f>estuary_data!W269*weights!$C$4</f>
        <v>8.6847209576635997E-2</v>
      </c>
      <c r="G270">
        <f>estuary_data!T269*weights!$C$7</f>
        <v>5.4894564954256049E-2</v>
      </c>
      <c r="H270">
        <f>SUM(B270:G270)</f>
        <v>0.39190093321069169</v>
      </c>
      <c r="I270" t="str">
        <f>IF(H270&gt;$L$5/10*9,"1",IF(H270&gt;$L$5/10*8,"2",IF(H270&gt;$L$5/10*7,"3",IF(H270&gt;$L$5/10*6,"4",IF(H270&gt;$L$5/10*5,"5",IF(H270&gt;$L$5/10*4,"6",IF(H270&gt;$L$5/10*3,"7",IF(H270&gt;$L$5/10*2,"8",IF(H270&gt;$L$5/10,"9","10")))))))))</f>
        <v>5</v>
      </c>
    </row>
    <row r="271" spans="1:9" x14ac:dyDescent="0.55000000000000004">
      <c r="A271">
        <v>270</v>
      </c>
      <c r="B271">
        <f>estuary_data!U270*weights!$C$2</f>
        <v>9.6711157053350746E-2</v>
      </c>
      <c r="C271">
        <f>estuary_data!R270*weights!$C$5</f>
        <v>0.12835187579263416</v>
      </c>
      <c r="D271">
        <f>estuary_data!V270*weights!$C$3</f>
        <v>1.9336685274404325E-2</v>
      </c>
      <c r="E271">
        <f>estuary_data!S270*weights!$C$6</f>
        <v>1.2887293124436127E-2</v>
      </c>
      <c r="F271">
        <f>estuary_data!W270*weights!$C$4</f>
        <v>6.6494194764121883E-2</v>
      </c>
      <c r="G271">
        <f>estuary_data!T270*weights!$C$7</f>
        <v>4.5452569801024113E-2</v>
      </c>
      <c r="H271">
        <f>SUM(B271:G271)</f>
        <v>0.36923377580997135</v>
      </c>
      <c r="I271" t="str">
        <f>IF(H271&gt;$L$5/10*9,"1",IF(H271&gt;$L$5/10*8,"2",IF(H271&gt;$L$5/10*7,"3",IF(H271&gt;$L$5/10*6,"4",IF(H271&gt;$L$5/10*5,"5",IF(H271&gt;$L$5/10*4,"6",IF(H271&gt;$L$5/10*3,"7",IF(H271&gt;$L$5/10*2,"8",IF(H271&gt;$L$5/10,"9","10")))))))))</f>
        <v>5</v>
      </c>
    </row>
    <row r="272" spans="1:9" x14ac:dyDescent="0.55000000000000004">
      <c r="A272">
        <v>271</v>
      </c>
      <c r="B272">
        <f>estuary_data!U271*weights!$C$2</f>
        <v>8.9963623117415653E-2</v>
      </c>
      <c r="C272">
        <f>estuary_data!R271*weights!$C$5</f>
        <v>0.1244241937490508</v>
      </c>
      <c r="D272">
        <f>estuary_data!V271*weights!$C$3</f>
        <v>2.5367755786377722E-2</v>
      </c>
      <c r="E272">
        <f>estuary_data!S271*weights!$C$6</f>
        <v>2.8700869629017913E-3</v>
      </c>
      <c r="F272">
        <f>estuary_data!W271*weights!$C$4</f>
        <v>9.4217155485815718E-2</v>
      </c>
      <c r="G272">
        <f>estuary_data!T271*weights!$C$7</f>
        <v>6.3194495034365472E-2</v>
      </c>
      <c r="H272">
        <f>SUM(B272:G272)</f>
        <v>0.40003731013592714</v>
      </c>
      <c r="I272" t="str">
        <f>IF(H272&gt;$L$5/10*9,"1",IF(H272&gt;$L$5/10*8,"2",IF(H272&gt;$L$5/10*7,"3",IF(H272&gt;$L$5/10*6,"4",IF(H272&gt;$L$5/10*5,"5",IF(H272&gt;$L$5/10*4,"6",IF(H272&gt;$L$5/10*3,"7",IF(H272&gt;$L$5/10*2,"8",IF(H272&gt;$L$5/10,"9","10")))))))))</f>
        <v>4</v>
      </c>
    </row>
    <row r="273" spans="1:9" x14ac:dyDescent="0.55000000000000004">
      <c r="A273">
        <v>272</v>
      </c>
      <c r="B273">
        <f>estuary_data!U272*weights!$C$2</f>
        <v>8.9963623117415653E-2</v>
      </c>
      <c r="C273">
        <f>estuary_data!R272*weights!$C$5</f>
        <v>0.1244241937490508</v>
      </c>
      <c r="D273">
        <f>estuary_data!V272*weights!$C$3</f>
        <v>2.5367755786377722E-2</v>
      </c>
      <c r="E273">
        <f>estuary_data!S272*weights!$C$6</f>
        <v>2.8700869629017913E-3</v>
      </c>
      <c r="F273">
        <f>estuary_data!W272*weights!$C$4</f>
        <v>9.4217155485815718E-2</v>
      </c>
      <c r="G273">
        <f>estuary_data!T272*weights!$C$7</f>
        <v>6.3194495034365472E-2</v>
      </c>
      <c r="H273">
        <f>SUM(B273:G273)</f>
        <v>0.40003731013592714</v>
      </c>
      <c r="I273" t="str">
        <f>IF(H273&gt;$L$5/10*9,"1",IF(H273&gt;$L$5/10*8,"2",IF(H273&gt;$L$5/10*7,"3",IF(H273&gt;$L$5/10*6,"4",IF(H273&gt;$L$5/10*5,"5",IF(H273&gt;$L$5/10*4,"6",IF(H273&gt;$L$5/10*3,"7",IF(H273&gt;$L$5/10*2,"8",IF(H273&gt;$L$5/10,"9","10")))))))))</f>
        <v>4</v>
      </c>
    </row>
    <row r="274" spans="1:9" x14ac:dyDescent="0.55000000000000004">
      <c r="A274">
        <v>273</v>
      </c>
      <c r="B274">
        <f>estuary_data!U273*weights!$C$2</f>
        <v>9.1328391092749164E-2</v>
      </c>
      <c r="C274">
        <f>estuary_data!R273*weights!$C$5</f>
        <v>0.12725862055047582</v>
      </c>
      <c r="D274">
        <f>estuary_data!V273*weights!$C$3</f>
        <v>2.6994852304137396E-2</v>
      </c>
      <c r="E274">
        <f>estuary_data!S273*weights!$C$6</f>
        <v>3.4111900080039319E-3</v>
      </c>
      <c r="F274">
        <f>estuary_data!W273*weights!$C$4</f>
        <v>0.11199459763913611</v>
      </c>
      <c r="G274">
        <f>estuary_data!T273*weights!$C$7</f>
        <v>6.9985362899844514E-2</v>
      </c>
      <c r="H274">
        <f>SUM(B274:G274)</f>
        <v>0.43097301449434694</v>
      </c>
      <c r="I274" t="str">
        <f>IF(H274&gt;$L$5/10*9,"1",IF(H274&gt;$L$5/10*8,"2",IF(H274&gt;$L$5/10*7,"3",IF(H274&gt;$L$5/10*6,"4",IF(H274&gt;$L$5/10*5,"5",IF(H274&gt;$L$5/10*4,"6",IF(H274&gt;$L$5/10*3,"7",IF(H274&gt;$L$5/10*2,"8",IF(H274&gt;$L$5/10,"9","10")))))))))</f>
        <v>4</v>
      </c>
    </row>
    <row r="275" spans="1:9" x14ac:dyDescent="0.55000000000000004">
      <c r="A275">
        <v>274</v>
      </c>
      <c r="B275">
        <f>estuary_data!U274*weights!$C$2</f>
        <v>4.679163698950041E-2</v>
      </c>
      <c r="C275">
        <f>estuary_data!R274*weights!$C$5</f>
        <v>7.95022697666595E-2</v>
      </c>
      <c r="D275">
        <f>estuary_data!V274*weights!$C$3</f>
        <v>2.8208933682227891E-2</v>
      </c>
      <c r="E275">
        <f>estuary_data!S274*weights!$C$6</f>
        <v>2.93121415299889E-2</v>
      </c>
      <c r="F275">
        <f>estuary_data!W274*weights!$C$4</f>
        <v>9.5192063006832459E-2</v>
      </c>
      <c r="G275">
        <f>estuary_data!T274*weights!$C$7</f>
        <v>1.4890452107896251E-2</v>
      </c>
      <c r="H275">
        <f>SUM(B275:G275)</f>
        <v>0.29389749708310542</v>
      </c>
      <c r="I275" t="str">
        <f>IF(H275&gt;$L$5/10*9,"1",IF(H275&gt;$L$5/10*8,"2",IF(H275&gt;$L$5/10*7,"3",IF(H275&gt;$L$5/10*6,"4",IF(H275&gt;$L$5/10*5,"5",IF(H275&gt;$L$5/10*4,"6",IF(H275&gt;$L$5/10*3,"7",IF(H275&gt;$L$5/10*2,"8",IF(H275&gt;$L$5/10,"9","10")))))))))</f>
        <v>6</v>
      </c>
    </row>
    <row r="276" spans="1:9" x14ac:dyDescent="0.55000000000000004">
      <c r="A276">
        <v>275</v>
      </c>
      <c r="B276">
        <f>estuary_data!U275*weights!$C$2</f>
        <v>4.7931579903180303E-2</v>
      </c>
      <c r="C276">
        <f>estuary_data!R275*weights!$C$5</f>
        <v>7.9062317433425414E-2</v>
      </c>
      <c r="D276">
        <f>estuary_data!V275*weights!$C$3</f>
        <v>2.6699496863294939E-2</v>
      </c>
      <c r="E276">
        <f>estuary_data!S275*weights!$C$6</f>
        <v>3.1511665336993379E-2</v>
      </c>
      <c r="F276">
        <f>estuary_data!W275*weights!$C$4</f>
        <v>8.8719750252307022E-2</v>
      </c>
      <c r="G276">
        <f>estuary_data!T275*weights!$C$7</f>
        <v>2.0165150713797795E-2</v>
      </c>
      <c r="H276">
        <f>SUM(B276:G276)</f>
        <v>0.29408996050299885</v>
      </c>
      <c r="I276" t="str">
        <f>IF(H276&gt;$L$5/10*9,"1",IF(H276&gt;$L$5/10*8,"2",IF(H276&gt;$L$5/10*7,"3",IF(H276&gt;$L$5/10*6,"4",IF(H276&gt;$L$5/10*5,"5",IF(H276&gt;$L$5/10*4,"6",IF(H276&gt;$L$5/10*3,"7",IF(H276&gt;$L$5/10*2,"8",IF(H276&gt;$L$5/10,"9","10")))))))))</f>
        <v>6</v>
      </c>
    </row>
    <row r="277" spans="1:9" x14ac:dyDescent="0.55000000000000004">
      <c r="A277">
        <v>276</v>
      </c>
      <c r="B277">
        <f>estuary_data!U276*weights!$C$2</f>
        <v>0.10140947639778077</v>
      </c>
      <c r="C277">
        <f>estuary_data!R276*weights!$C$5</f>
        <v>0.11874913671658106</v>
      </c>
      <c r="D277">
        <f>estuary_data!V276*weights!$C$3</f>
        <v>1.7812750572134679E-2</v>
      </c>
      <c r="E277">
        <f>estuary_data!S276*weights!$C$6</f>
        <v>1.9347716164204237E-3</v>
      </c>
      <c r="F277">
        <f>estuary_data!W276*weights!$C$4</f>
        <v>5.9266409408791083E-2</v>
      </c>
      <c r="G277">
        <f>estuary_data!T276*weights!$C$7</f>
        <v>6.316903919448752E-2</v>
      </c>
      <c r="H277">
        <f>SUM(B277:G277)</f>
        <v>0.36234158390619553</v>
      </c>
      <c r="I277" t="str">
        <f>IF(H277&gt;$L$5/10*9,"1",IF(H277&gt;$L$5/10*8,"2",IF(H277&gt;$L$5/10*7,"3",IF(H277&gt;$L$5/10*6,"4",IF(H277&gt;$L$5/10*5,"5",IF(H277&gt;$L$5/10*4,"6",IF(H277&gt;$L$5/10*3,"7",IF(H277&gt;$L$5/10*2,"8",IF(H277&gt;$L$5/10,"9","10")))))))))</f>
        <v>5</v>
      </c>
    </row>
    <row r="278" spans="1:9" x14ac:dyDescent="0.55000000000000004">
      <c r="A278">
        <v>277</v>
      </c>
      <c r="B278">
        <f>estuary_data!U277*weights!$C$2</f>
        <v>0.10884267247724085</v>
      </c>
      <c r="C278">
        <f>estuary_data!R277*weights!$C$5</f>
        <v>0.11861078313620599</v>
      </c>
      <c r="D278">
        <f>estuary_data!V277*weights!$C$3</f>
        <v>2.0566335339995721E-2</v>
      </c>
      <c r="E278">
        <f>estuary_data!S277*weights!$C$6</f>
        <v>1.925728300684649E-4</v>
      </c>
      <c r="F278">
        <f>estuary_data!W277*weights!$C$4</f>
        <v>7.2360830456115965E-2</v>
      </c>
      <c r="G278">
        <f>estuary_data!T277*weights!$C$7</f>
        <v>6.6145033996722891E-2</v>
      </c>
      <c r="H278">
        <f>SUM(B278:G278)</f>
        <v>0.38671822823634983</v>
      </c>
      <c r="I278" t="str">
        <f>IF(H278&gt;$L$5/10*9,"1",IF(H278&gt;$L$5/10*8,"2",IF(H278&gt;$L$5/10*7,"3",IF(H278&gt;$L$5/10*6,"4",IF(H278&gt;$L$5/10*5,"5",IF(H278&gt;$L$5/10*4,"6",IF(H278&gt;$L$5/10*3,"7",IF(H278&gt;$L$5/10*2,"8",IF(H278&gt;$L$5/10,"9","10")))))))))</f>
        <v>5</v>
      </c>
    </row>
    <row r="279" spans="1:9" x14ac:dyDescent="0.55000000000000004">
      <c r="A279">
        <v>278</v>
      </c>
      <c r="B279">
        <f>estuary_data!U278*weights!$C$2</f>
        <v>0.10451237586941103</v>
      </c>
      <c r="C279">
        <f>estuary_data!R278*weights!$C$5</f>
        <v>0.11843527580392964</v>
      </c>
      <c r="D279">
        <f>estuary_data!V278*weights!$C$3</f>
        <v>2.0388868743838235E-2</v>
      </c>
      <c r="E279">
        <f>estuary_data!S278*weights!$C$6</f>
        <v>1.9482324203807073E-3</v>
      </c>
      <c r="F279">
        <f>estuary_data!W278*weights!$C$4</f>
        <v>6.9347419360639456E-2</v>
      </c>
      <c r="G279">
        <f>estuary_data!T278*weights!$C$7</f>
        <v>6.3285772021355102E-2</v>
      </c>
      <c r="H279">
        <f>SUM(B279:G279)</f>
        <v>0.37791794421955416</v>
      </c>
      <c r="I279" t="str">
        <f>IF(H279&gt;$L$5/10*9,"1",IF(H279&gt;$L$5/10*8,"2",IF(H279&gt;$L$5/10*7,"3",IF(H279&gt;$L$5/10*6,"4",IF(H279&gt;$L$5/10*5,"5",IF(H279&gt;$L$5/10*4,"6",IF(H279&gt;$L$5/10*3,"7",IF(H279&gt;$L$5/10*2,"8",IF(H279&gt;$L$5/10,"9","10")))))))))</f>
        <v>5</v>
      </c>
    </row>
    <row r="280" spans="1:9" x14ac:dyDescent="0.55000000000000004">
      <c r="A280">
        <v>279</v>
      </c>
      <c r="B280">
        <f>estuary_data!U279*weights!$C$2</f>
        <v>0.12623708949730506</v>
      </c>
      <c r="C280">
        <f>estuary_data!R279*weights!$C$5</f>
        <v>0.11672571603472857</v>
      </c>
      <c r="D280">
        <f>estuary_data!V279*weights!$C$3</f>
        <v>1.6828152217276647E-2</v>
      </c>
      <c r="E280">
        <f>estuary_data!S279*weights!$C$6</f>
        <v>4.4280071394006207E-3</v>
      </c>
      <c r="F280">
        <f>estuary_data!W279*weights!$C$4</f>
        <v>6.9272744895939778E-2</v>
      </c>
      <c r="G280">
        <f>estuary_data!T279*weights!$C$7</f>
        <v>7.0984408031664392E-2</v>
      </c>
      <c r="H280">
        <f>SUM(B280:G280)</f>
        <v>0.40447611781631504</v>
      </c>
      <c r="I280" t="str">
        <f>IF(H280&gt;$L$5/10*9,"1",IF(H280&gt;$L$5/10*8,"2",IF(H280&gt;$L$5/10*7,"3",IF(H280&gt;$L$5/10*6,"4",IF(H280&gt;$L$5/10*5,"5",IF(H280&gt;$L$5/10*4,"6",IF(H280&gt;$L$5/10*3,"7",IF(H280&gt;$L$5/10*2,"8",IF(H280&gt;$L$5/10,"9","10")))))))))</f>
        <v>4</v>
      </c>
    </row>
    <row r="281" spans="1:9" x14ac:dyDescent="0.55000000000000004">
      <c r="A281">
        <v>280</v>
      </c>
      <c r="B281">
        <f>estuary_data!U280*weights!$C$2</f>
        <v>0.11073460217540808</v>
      </c>
      <c r="C281">
        <f>estuary_data!R280*weights!$C$5</f>
        <v>0.11699548651421635</v>
      </c>
      <c r="D281">
        <f>estuary_data!V280*weights!$C$3</f>
        <v>1.6626657560192468E-2</v>
      </c>
      <c r="E281">
        <f>estuary_data!S280*weights!$C$6</f>
        <v>4.5378894540421726E-3</v>
      </c>
      <c r="F281">
        <f>estuary_data!W280*weights!$C$4</f>
        <v>6.1005075198529192E-2</v>
      </c>
      <c r="G281">
        <f>estuary_data!T280*weights!$C$7</f>
        <v>7.1856737520797825E-2</v>
      </c>
      <c r="H281">
        <f>SUM(B281:G281)</f>
        <v>0.38175644842318612</v>
      </c>
      <c r="I281" t="str">
        <f>IF(H281&gt;$L$5/10*9,"1",IF(H281&gt;$L$5/10*8,"2",IF(H281&gt;$L$5/10*7,"3",IF(H281&gt;$L$5/10*6,"4",IF(H281&gt;$L$5/10*5,"5",IF(H281&gt;$L$5/10*4,"6",IF(H281&gt;$L$5/10*3,"7",IF(H281&gt;$L$5/10*2,"8",IF(H281&gt;$L$5/10,"9","10")))))))))</f>
        <v>5</v>
      </c>
    </row>
    <row r="282" spans="1:9" x14ac:dyDescent="0.55000000000000004">
      <c r="A282">
        <v>281</v>
      </c>
      <c r="B282">
        <f>estuary_data!U281*weights!$C$2</f>
        <v>9.8753955386931158E-2</v>
      </c>
      <c r="C282">
        <f>estuary_data!R281*weights!$C$5</f>
        <v>0.12228103441037473</v>
      </c>
      <c r="D282">
        <f>estuary_data!V281*weights!$C$3</f>
        <v>1.57951178711037E-2</v>
      </c>
      <c r="E282">
        <f>estuary_data!S281*weights!$C$6</f>
        <v>2.0999620151409071E-3</v>
      </c>
      <c r="F282">
        <f>estuary_data!W281*weights!$C$4</f>
        <v>5.0715380541956338E-2</v>
      </c>
      <c r="G282">
        <f>estuary_data!T281*weights!$C$7</f>
        <v>6.4762609090179335E-2</v>
      </c>
      <c r="H282">
        <f>SUM(B282:G282)</f>
        <v>0.3544080593156862</v>
      </c>
      <c r="I282" t="str">
        <f>IF(H282&gt;$L$5/10*9,"1",IF(H282&gt;$L$5/10*8,"2",IF(H282&gt;$L$5/10*7,"3",IF(H282&gt;$L$5/10*6,"4",IF(H282&gt;$L$5/10*5,"5",IF(H282&gt;$L$5/10*4,"6",IF(H282&gt;$L$5/10*3,"7",IF(H282&gt;$L$5/10*2,"8",IF(H282&gt;$L$5/10,"9","10")))))))))</f>
        <v>5</v>
      </c>
    </row>
    <row r="283" spans="1:9" x14ac:dyDescent="0.55000000000000004">
      <c r="A283">
        <v>282</v>
      </c>
      <c r="B283">
        <f>estuary_data!U282*weights!$C$2</f>
        <v>9.6597850894605458E-2</v>
      </c>
      <c r="C283">
        <f>estuary_data!R282*weights!$C$5</f>
        <v>0.12098546158845878</v>
      </c>
      <c r="D283">
        <f>estuary_data!V282*weights!$C$3</f>
        <v>1.5156178959652223E-2</v>
      </c>
      <c r="E283">
        <f>estuary_data!S282*weights!$C$6</f>
        <v>1.2118254377938506E-3</v>
      </c>
      <c r="F283">
        <f>estuary_data!W282*weights!$C$4</f>
        <v>5.1204895023787125E-2</v>
      </c>
      <c r="G283">
        <f>estuary_data!T282*weights!$C$7</f>
        <v>7.045907351462645E-2</v>
      </c>
      <c r="H283">
        <f>SUM(B283:G283)</f>
        <v>0.35561528541892384</v>
      </c>
      <c r="I283" t="str">
        <f>IF(H283&gt;$L$5/10*9,"1",IF(H283&gt;$L$5/10*8,"2",IF(H283&gt;$L$5/10*7,"3",IF(H283&gt;$L$5/10*6,"4",IF(H283&gt;$L$5/10*5,"5",IF(H283&gt;$L$5/10*4,"6",IF(H283&gt;$L$5/10*3,"7",IF(H283&gt;$L$5/10*2,"8",IF(H283&gt;$L$5/10,"9","10")))))))))</f>
        <v>5</v>
      </c>
    </row>
    <row r="284" spans="1:9" x14ac:dyDescent="0.55000000000000004">
      <c r="A284">
        <v>283</v>
      </c>
      <c r="B284">
        <f>estuary_data!U283*weights!$C$2</f>
        <v>0.10741324106836989</v>
      </c>
      <c r="C284">
        <f>estuary_data!R283*weights!$C$5</f>
        <v>0.12057890793524613</v>
      </c>
      <c r="D284">
        <f>estuary_data!V283*weights!$C$3</f>
        <v>1.9939505713757036E-2</v>
      </c>
      <c r="E284">
        <f>estuary_data!S283*weights!$C$6</f>
        <v>5.8159710409388945E-5</v>
      </c>
      <c r="F284">
        <f>estuary_data!W283*weights!$C$4</f>
        <v>7.3200649972701246E-2</v>
      </c>
      <c r="G284">
        <f>estuary_data!T283*weights!$C$7</f>
        <v>6.9150486443746675E-2</v>
      </c>
      <c r="H284">
        <f>SUM(B284:G284)</f>
        <v>0.39034095084423037</v>
      </c>
      <c r="I284" t="str">
        <f>IF(H284&gt;$L$5/10*9,"1",IF(H284&gt;$L$5/10*8,"2",IF(H284&gt;$L$5/10*7,"3",IF(H284&gt;$L$5/10*6,"4",IF(H284&gt;$L$5/10*5,"5",IF(H284&gt;$L$5/10*4,"6",IF(H284&gt;$L$5/10*3,"7",IF(H284&gt;$L$5/10*2,"8",IF(H284&gt;$L$5/10,"9","10")))))))))</f>
        <v>5</v>
      </c>
    </row>
    <row r="285" spans="1:9" x14ac:dyDescent="0.55000000000000004">
      <c r="A285">
        <v>284</v>
      </c>
      <c r="B285">
        <f>estuary_data!U284*weights!$C$2</f>
        <v>9.5515005569101738E-2</v>
      </c>
      <c r="C285">
        <f>estuary_data!R284*weights!$C$5</f>
        <v>0.11825726729996335</v>
      </c>
      <c r="D285">
        <f>estuary_data!V284*weights!$C$3</f>
        <v>1.9250827322785262E-2</v>
      </c>
      <c r="E285">
        <f>estuary_data!S284*weights!$C$6</f>
        <v>1.4910692976079231E-3</v>
      </c>
      <c r="F285">
        <f>estuary_data!W284*weights!$C$4</f>
        <v>6.5891789305385903E-2</v>
      </c>
      <c r="G285">
        <f>estuary_data!T284*weights!$C$7</f>
        <v>6.5101430038528835E-2</v>
      </c>
      <c r="H285">
        <f>SUM(B285:G285)</f>
        <v>0.36550738883337297</v>
      </c>
      <c r="I285" t="str">
        <f>IF(H285&gt;$L$5/10*9,"1",IF(H285&gt;$L$5/10*8,"2",IF(H285&gt;$L$5/10*7,"3",IF(H285&gt;$L$5/10*6,"4",IF(H285&gt;$L$5/10*5,"5",IF(H285&gt;$L$5/10*4,"6",IF(H285&gt;$L$5/10*3,"7",IF(H285&gt;$L$5/10*2,"8",IF(H285&gt;$L$5/10,"9","10")))))))))</f>
        <v>5</v>
      </c>
    </row>
    <row r="286" spans="1:9" x14ac:dyDescent="0.55000000000000004">
      <c r="A286">
        <v>285</v>
      </c>
      <c r="B286">
        <f>estuary_data!U285*weights!$C$2</f>
        <v>0.11213320804386129</v>
      </c>
      <c r="C286">
        <f>estuary_data!R285*weights!$C$5</f>
        <v>0.12454189513468002</v>
      </c>
      <c r="D286">
        <f>estuary_data!V285*weights!$C$3</f>
        <v>1.5922190599331656E-2</v>
      </c>
      <c r="E286">
        <f>estuary_data!S285*weights!$C$6</f>
        <v>4.8444127056107896E-3</v>
      </c>
      <c r="F286">
        <f>estuary_data!W285*weights!$C$4</f>
        <v>5.4191454580555729E-2</v>
      </c>
      <c r="G286">
        <f>estuary_data!T285*weights!$C$7</f>
        <v>5.8937558385449729E-2</v>
      </c>
      <c r="H286">
        <f>SUM(B286:G286)</f>
        <v>0.37057071944948922</v>
      </c>
      <c r="I286" t="str">
        <f>IF(H286&gt;$L$5/10*9,"1",IF(H286&gt;$L$5/10*8,"2",IF(H286&gt;$L$5/10*7,"3",IF(H286&gt;$L$5/10*6,"4",IF(H286&gt;$L$5/10*5,"5",IF(H286&gt;$L$5/10*4,"6",IF(H286&gt;$L$5/10*3,"7",IF(H286&gt;$L$5/10*2,"8",IF(H286&gt;$L$5/10,"9","10")))))))))</f>
        <v>5</v>
      </c>
    </row>
    <row r="287" spans="1:9" x14ac:dyDescent="0.55000000000000004">
      <c r="A287">
        <v>286</v>
      </c>
      <c r="B287">
        <f>estuary_data!U286*weights!$C$2</f>
        <v>8.5641711943752974E-2</v>
      </c>
      <c r="C287">
        <f>estuary_data!R286*weights!$C$5</f>
        <v>0.11934482558750907</v>
      </c>
      <c r="D287">
        <f>estuary_data!V286*weights!$C$3</f>
        <v>3.0098968917882805E-2</v>
      </c>
      <c r="E287">
        <f>estuary_data!S286*weights!$C$6</f>
        <v>7.403107428203993E-3</v>
      </c>
      <c r="F287">
        <f>estuary_data!W286*weights!$C$4</f>
        <v>0.10889232211054187</v>
      </c>
      <c r="G287">
        <f>estuary_data!T286*weights!$C$7</f>
        <v>8.1176978636049349E-2</v>
      </c>
      <c r="H287">
        <f>SUM(B287:G287)</f>
        <v>0.43255791462394005</v>
      </c>
      <c r="I287" t="str">
        <f>IF(H287&gt;$L$5/10*9,"1",IF(H287&gt;$L$5/10*8,"2",IF(H287&gt;$L$5/10*7,"3",IF(H287&gt;$L$5/10*6,"4",IF(H287&gt;$L$5/10*5,"5",IF(H287&gt;$L$5/10*4,"6",IF(H287&gt;$L$5/10*3,"7",IF(H287&gt;$L$5/10*2,"8",IF(H287&gt;$L$5/10,"9","10")))))))))</f>
        <v>4</v>
      </c>
    </row>
    <row r="288" spans="1:9" x14ac:dyDescent="0.55000000000000004">
      <c r="A288">
        <v>287</v>
      </c>
      <c r="B288">
        <f>estuary_data!U287*weights!$C$2</f>
        <v>8.6234136291113067E-2</v>
      </c>
      <c r="C288">
        <f>estuary_data!R287*weights!$C$5</f>
        <v>0.11909963531338906</v>
      </c>
      <c r="D288">
        <f>estuary_data!V287*weights!$C$3</f>
        <v>3.1252843927349484E-2</v>
      </c>
      <c r="E288">
        <f>estuary_data!S287*weights!$C$6</f>
        <v>9.3287075958073343E-3</v>
      </c>
      <c r="F288">
        <f>estuary_data!W287*weights!$C$4</f>
        <v>0.11556220368956169</v>
      </c>
      <c r="G288">
        <f>estuary_data!T287*weights!$C$7</f>
        <v>8.4506057668177245E-2</v>
      </c>
      <c r="H288">
        <f>SUM(B288:G288)</f>
        <v>0.44598358448539788</v>
      </c>
      <c r="I288" t="str">
        <f>IF(H288&gt;$L$5/10*9,"1",IF(H288&gt;$L$5/10*8,"2",IF(H288&gt;$L$5/10*7,"3",IF(H288&gt;$L$5/10*6,"4",IF(H288&gt;$L$5/10*5,"5",IF(H288&gt;$L$5/10*4,"6",IF(H288&gt;$L$5/10*3,"7",IF(H288&gt;$L$5/10*2,"8",IF(H288&gt;$L$5/10,"9","10")))))))))</f>
        <v>4</v>
      </c>
    </row>
    <row r="289" spans="1:9" x14ac:dyDescent="0.55000000000000004">
      <c r="A289">
        <v>288</v>
      </c>
      <c r="B289">
        <f>estuary_data!U288*weights!$C$2</f>
        <v>8.7573598041595035E-2</v>
      </c>
      <c r="C289">
        <f>estuary_data!R288*weights!$C$5</f>
        <v>0.12120367244878072</v>
      </c>
      <c r="D289">
        <f>estuary_data!V288*weights!$C$3</f>
        <v>2.9441242169707411E-2</v>
      </c>
      <c r="E289">
        <f>estuary_data!S288*weights!$C$6</f>
        <v>6.5002704140148223E-3</v>
      </c>
      <c r="F289">
        <f>estuary_data!W288*weights!$C$4</f>
        <v>0.10766142616398587</v>
      </c>
      <c r="G289">
        <f>estuary_data!T288*weights!$C$7</f>
        <v>7.9831400639674616E-2</v>
      </c>
      <c r="H289">
        <f>SUM(B289:G289)</f>
        <v>0.43221160987775853</v>
      </c>
      <c r="I289" t="str">
        <f>IF(H289&gt;$L$5/10*9,"1",IF(H289&gt;$L$5/10*8,"2",IF(H289&gt;$L$5/10*7,"3",IF(H289&gt;$L$5/10*6,"4",IF(H289&gt;$L$5/10*5,"5",IF(H289&gt;$L$5/10*4,"6",IF(H289&gt;$L$5/10*3,"7",IF(H289&gt;$L$5/10*2,"8",IF(H289&gt;$L$5/10,"9","10")))))))))</f>
        <v>4</v>
      </c>
    </row>
    <row r="290" spans="1:9" x14ac:dyDescent="0.55000000000000004">
      <c r="A290">
        <v>289</v>
      </c>
      <c r="B290">
        <f>estuary_data!U289*weights!$C$2</f>
        <v>8.7259421003628948E-2</v>
      </c>
      <c r="C290">
        <f>estuary_data!R289*weights!$C$5</f>
        <v>0.11894699954739842</v>
      </c>
      <c r="D290">
        <f>estuary_data!V289*weights!$C$3</f>
        <v>3.0501278027596931E-2</v>
      </c>
      <c r="E290">
        <f>estuary_data!S289*weights!$C$6</f>
        <v>1.0854935781615734E-2</v>
      </c>
      <c r="F290">
        <f>estuary_data!W289*weights!$C$4</f>
        <v>0.11221619733040104</v>
      </c>
      <c r="G290">
        <f>estuary_data!T289*weights!$C$7</f>
        <v>8.7004495261624723E-2</v>
      </c>
      <c r="H290">
        <f>SUM(B290:G290)</f>
        <v>0.4467833269522658</v>
      </c>
      <c r="I290" t="str">
        <f>IF(H290&gt;$L$5/10*9,"1",IF(H290&gt;$L$5/10*8,"2",IF(H290&gt;$L$5/10*7,"3",IF(H290&gt;$L$5/10*6,"4",IF(H290&gt;$L$5/10*5,"5",IF(H290&gt;$L$5/10*4,"6",IF(H290&gt;$L$5/10*3,"7",IF(H290&gt;$L$5/10*2,"8",IF(H290&gt;$L$5/10,"9","10")))))))))</f>
        <v>4</v>
      </c>
    </row>
    <row r="291" spans="1:9" x14ac:dyDescent="0.55000000000000004">
      <c r="A291">
        <v>290</v>
      </c>
      <c r="B291">
        <f>estuary_data!U290*weights!$C$2</f>
        <v>8.0690902478020285E-2</v>
      </c>
      <c r="C291">
        <f>estuary_data!R290*weights!$C$5</f>
        <v>0.1191003738464273</v>
      </c>
      <c r="D291">
        <f>estuary_data!V290*weights!$C$3</f>
        <v>2.9143657334039844E-2</v>
      </c>
      <c r="E291">
        <f>estuary_data!S290*weights!$C$6</f>
        <v>3.3796785838004508E-3</v>
      </c>
      <c r="F291">
        <f>estuary_data!W290*weights!$C$4</f>
        <v>0.10135578214704112</v>
      </c>
      <c r="G291">
        <f>estuary_data!T290*weights!$C$7</f>
        <v>7.3831738793149748E-2</v>
      </c>
      <c r="H291">
        <f>SUM(B291:G291)</f>
        <v>0.40750213318247874</v>
      </c>
      <c r="I291" t="str">
        <f>IF(H291&gt;$L$5/10*9,"1",IF(H291&gt;$L$5/10*8,"2",IF(H291&gt;$L$5/10*7,"3",IF(H291&gt;$L$5/10*6,"4",IF(H291&gt;$L$5/10*5,"5",IF(H291&gt;$L$5/10*4,"6",IF(H291&gt;$L$5/10*3,"7",IF(H291&gt;$L$5/10*2,"8",IF(H291&gt;$L$5/10,"9","10")))))))))</f>
        <v>4</v>
      </c>
    </row>
    <row r="292" spans="1:9" x14ac:dyDescent="0.55000000000000004">
      <c r="A292">
        <v>291</v>
      </c>
      <c r="B292">
        <f>estuary_data!U291*weights!$C$2</f>
        <v>9.5936016635895335E-2</v>
      </c>
      <c r="C292">
        <f>estuary_data!R291*weights!$C$5</f>
        <v>0.12794292772735999</v>
      </c>
      <c r="D292">
        <f>estuary_data!V291*weights!$C$3</f>
        <v>2.3736935230407628E-2</v>
      </c>
      <c r="E292">
        <f>estuary_data!S291*weights!$C$6</f>
        <v>3.7209179262612593E-4</v>
      </c>
      <c r="F292">
        <f>estuary_data!W291*weights!$C$4</f>
        <v>9.1236450589777779E-2</v>
      </c>
      <c r="G292">
        <f>estuary_data!T291*weights!$C$7</f>
        <v>7.1007033755664861E-2</v>
      </c>
      <c r="H292">
        <f>SUM(B292:G292)</f>
        <v>0.4102314557317317</v>
      </c>
      <c r="I292" t="str">
        <f>IF(H292&gt;$L$5/10*9,"1",IF(H292&gt;$L$5/10*8,"2",IF(H292&gt;$L$5/10*7,"3",IF(H292&gt;$L$5/10*6,"4",IF(H292&gt;$L$5/10*5,"5",IF(H292&gt;$L$5/10*4,"6",IF(H292&gt;$L$5/10*3,"7",IF(H292&gt;$L$5/10*2,"8",IF(H292&gt;$L$5/10,"9","10")))))))))</f>
        <v>4</v>
      </c>
    </row>
    <row r="293" spans="1:9" x14ac:dyDescent="0.55000000000000004">
      <c r="A293">
        <v>292</v>
      </c>
      <c r="B293">
        <f>estuary_data!U292*weights!$C$2</f>
        <v>8.2893062488346464E-2</v>
      </c>
      <c r="C293">
        <f>estuary_data!R292*weights!$C$5</f>
        <v>0.11982622388395732</v>
      </c>
      <c r="D293">
        <f>estuary_data!V292*weights!$C$3</f>
        <v>2.7343942019539921E-2</v>
      </c>
      <c r="E293">
        <f>estuary_data!S292*weights!$C$6</f>
        <v>4.2898323158981045E-4</v>
      </c>
      <c r="F293">
        <f>estuary_data!W292*weights!$C$4</f>
        <v>9.5574960054644206E-2</v>
      </c>
      <c r="G293">
        <f>estuary_data!T292*weights!$C$7</f>
        <v>6.7444064613852217E-2</v>
      </c>
      <c r="H293">
        <f>SUM(B293:G293)</f>
        <v>0.39351123629192997</v>
      </c>
      <c r="I293" t="str">
        <f>IF(H293&gt;$L$5/10*9,"1",IF(H293&gt;$L$5/10*8,"2",IF(H293&gt;$L$5/10*7,"3",IF(H293&gt;$L$5/10*6,"4",IF(H293&gt;$L$5/10*5,"5",IF(H293&gt;$L$5/10*4,"6",IF(H293&gt;$L$5/10*3,"7",IF(H293&gt;$L$5/10*2,"8",IF(H293&gt;$L$5/10,"9","10")))))))))</f>
        <v>5</v>
      </c>
    </row>
    <row r="294" spans="1:9" x14ac:dyDescent="0.55000000000000004">
      <c r="A294">
        <v>293</v>
      </c>
      <c r="B294">
        <f>estuary_data!U293*weights!$C$2</f>
        <v>9.4487544689811617E-2</v>
      </c>
      <c r="C294">
        <f>estuary_data!R293*weights!$C$5</f>
        <v>0.12575478151954822</v>
      </c>
      <c r="D294">
        <f>estuary_data!V293*weights!$C$3</f>
        <v>2.6761354495878662E-2</v>
      </c>
      <c r="E294">
        <f>estuary_data!S293*weights!$C$6</f>
        <v>1.002915631200783E-2</v>
      </c>
      <c r="F294">
        <f>estuary_data!W293*weights!$C$4</f>
        <v>0.11293417177953748</v>
      </c>
      <c r="G294">
        <f>estuary_data!T293*weights!$C$7</f>
        <v>9.2056189741054312E-2</v>
      </c>
      <c r="H294">
        <f>SUM(B294:G294)</f>
        <v>0.46202319853783813</v>
      </c>
      <c r="I294" t="str">
        <f>IF(H294&gt;$L$5/10*9,"1",IF(H294&gt;$L$5/10*8,"2",IF(H294&gt;$L$5/10*7,"3",IF(H294&gt;$L$5/10*6,"4",IF(H294&gt;$L$5/10*5,"5",IF(H294&gt;$L$5/10*4,"6",IF(H294&gt;$L$5/10*3,"7",IF(H294&gt;$L$5/10*2,"8",IF(H294&gt;$L$5/10,"9","10")))))))))</f>
        <v>4</v>
      </c>
    </row>
    <row r="295" spans="1:9" x14ac:dyDescent="0.55000000000000004">
      <c r="A295">
        <v>294</v>
      </c>
      <c r="B295">
        <f>estuary_data!U294*weights!$C$2</f>
        <v>6.9779855963527843E-2</v>
      </c>
      <c r="C295">
        <f>estuary_data!R294*weights!$C$5</f>
        <v>0.12303828099417635</v>
      </c>
      <c r="D295">
        <f>estuary_data!V294*weights!$C$3</f>
        <v>2.4450007973804339E-2</v>
      </c>
      <c r="E295">
        <f>estuary_data!S294*weights!$C$6</f>
        <v>2.192287017801316E-2</v>
      </c>
      <c r="F295">
        <f>estuary_data!W294*weights!$C$4</f>
        <v>4.8793670703729121E-2</v>
      </c>
      <c r="G295">
        <f>estuary_data!T294*weights!$C$7</f>
        <v>3.8025467441987558E-2</v>
      </c>
      <c r="H295">
        <f>SUM(B295:G295)</f>
        <v>0.32601015325523836</v>
      </c>
      <c r="I295" t="str">
        <f>IF(H295&gt;$L$5/10*9,"1",IF(H295&gt;$L$5/10*8,"2",IF(H295&gt;$L$5/10*7,"3",IF(H295&gt;$L$5/10*6,"4",IF(H295&gt;$L$5/10*5,"5",IF(H295&gt;$L$5/10*4,"6",IF(H295&gt;$L$5/10*3,"7",IF(H295&gt;$L$5/10*2,"8",IF(H295&gt;$L$5/10,"9","10")))))))))</f>
        <v>6</v>
      </c>
    </row>
    <row r="296" spans="1:9" x14ac:dyDescent="0.55000000000000004">
      <c r="A296">
        <v>295</v>
      </c>
      <c r="B296">
        <f>estuary_data!U295*weights!$C$2</f>
        <v>0.11456780117670465</v>
      </c>
      <c r="C296">
        <f>estuary_data!R295*weights!$C$5</f>
        <v>0.12622167387168465</v>
      </c>
      <c r="D296">
        <f>estuary_data!V295*weights!$C$3</f>
        <v>1.8103709664043212E-2</v>
      </c>
      <c r="E296">
        <f>estuary_data!S295*weights!$C$6</f>
        <v>8.6858122225365337E-3</v>
      </c>
      <c r="F296">
        <f>estuary_data!W295*weights!$C$4</f>
        <v>7.2394550916830502E-2</v>
      </c>
      <c r="G296">
        <f>estuary_data!T295*weights!$C$7</f>
        <v>5.6753951189240238E-2</v>
      </c>
      <c r="H296">
        <f>SUM(B296:G296)</f>
        <v>0.39672749904103982</v>
      </c>
      <c r="I296" t="str">
        <f>IF(H296&gt;$L$5/10*9,"1",IF(H296&gt;$L$5/10*8,"2",IF(H296&gt;$L$5/10*7,"3",IF(H296&gt;$L$5/10*6,"4",IF(H296&gt;$L$5/10*5,"5",IF(H296&gt;$L$5/10*4,"6",IF(H296&gt;$L$5/10*3,"7",IF(H296&gt;$L$5/10*2,"8",IF(H296&gt;$L$5/10,"9","10")))))))))</f>
        <v>5</v>
      </c>
    </row>
    <row r="297" spans="1:9" x14ac:dyDescent="0.55000000000000004">
      <c r="A297">
        <v>296</v>
      </c>
      <c r="B297">
        <f>estuary_data!U296*weights!$C$2</f>
        <v>9.5010443892951615E-2</v>
      </c>
      <c r="C297">
        <f>estuary_data!R296*weights!$C$5</f>
        <v>0.11556753692658356</v>
      </c>
      <c r="D297">
        <f>estuary_data!V296*weights!$C$3</f>
        <v>9.969871680852279E-3</v>
      </c>
      <c r="E297">
        <f>estuary_data!S296*weights!$C$6</f>
        <v>3.0810292376645811E-2</v>
      </c>
      <c r="F297">
        <f>estuary_data!W296*weights!$C$4</f>
        <v>1.3849459560999861E-2</v>
      </c>
      <c r="G297">
        <f>estuary_data!T296*weights!$C$7</f>
        <v>0.11989643657339406</v>
      </c>
      <c r="H297">
        <f>SUM(B297:G297)</f>
        <v>0.38510404101142715</v>
      </c>
      <c r="I297" t="str">
        <f>IF(H297&gt;$L$5/10*9,"1",IF(H297&gt;$L$5/10*8,"2",IF(H297&gt;$L$5/10*7,"3",IF(H297&gt;$L$5/10*6,"4",IF(H297&gt;$L$5/10*5,"5",IF(H297&gt;$L$5/10*4,"6",IF(H297&gt;$L$5/10*3,"7",IF(H297&gt;$L$5/10*2,"8",IF(H297&gt;$L$5/10,"9","10")))))))))</f>
        <v>5</v>
      </c>
    </row>
    <row r="298" spans="1:9" x14ac:dyDescent="0.55000000000000004">
      <c r="A298">
        <v>297</v>
      </c>
      <c r="B298">
        <f>estuary_data!U297*weights!$C$2</f>
        <v>0.10227681278065386</v>
      </c>
      <c r="C298">
        <f>estuary_data!R297*weights!$C$5</f>
        <v>0.11578568171557564</v>
      </c>
      <c r="D298">
        <f>estuary_data!V297*weights!$C$3</f>
        <v>1.0230162311488435E-2</v>
      </c>
      <c r="E298">
        <f>estuary_data!S297*weights!$C$6</f>
        <v>3.2202036782777672E-2</v>
      </c>
      <c r="F298">
        <f>estuary_data!W297*weights!$C$4</f>
        <v>1.6604276858464769E-2</v>
      </c>
      <c r="G298">
        <f>estuary_data!T297*weights!$C$7</f>
        <v>0.12270485323869046</v>
      </c>
      <c r="H298">
        <f>SUM(B298:G298)</f>
        <v>0.39980382368765083</v>
      </c>
      <c r="I298" t="str">
        <f>IF(H298&gt;$L$5/10*9,"1",IF(H298&gt;$L$5/10*8,"2",IF(H298&gt;$L$5/10*7,"3",IF(H298&gt;$L$5/10*6,"4",IF(H298&gt;$L$5/10*5,"5",IF(H298&gt;$L$5/10*4,"6",IF(H298&gt;$L$5/10*3,"7",IF(H298&gt;$L$5/10*2,"8",IF(H298&gt;$L$5/10,"9","10")))))))))</f>
        <v>4</v>
      </c>
    </row>
    <row r="299" spans="1:9" x14ac:dyDescent="0.55000000000000004">
      <c r="A299">
        <v>298</v>
      </c>
      <c r="B299">
        <f>estuary_data!U298*weights!$C$2</f>
        <v>0.10308153016645387</v>
      </c>
      <c r="C299">
        <f>estuary_data!R298*weights!$C$5</f>
        <v>0.11456792755511747</v>
      </c>
      <c r="D299">
        <f>estuary_data!V298*weights!$C$3</f>
        <v>1.1408188494222725E-2</v>
      </c>
      <c r="E299">
        <f>estuary_data!S298*weights!$C$6</f>
        <v>2.7030016025837027E-2</v>
      </c>
      <c r="F299">
        <f>estuary_data!W298*weights!$C$4</f>
        <v>1.877157539632552E-2</v>
      </c>
      <c r="G299">
        <f>estuary_data!T298*weights!$C$7</f>
        <v>0.11253457066521728</v>
      </c>
      <c r="H299">
        <f>SUM(B299:G299)</f>
        <v>0.38739380830317388</v>
      </c>
      <c r="I299" t="str">
        <f>IF(H299&gt;$L$5/10*9,"1",IF(H299&gt;$L$5/10*8,"2",IF(H299&gt;$L$5/10*7,"3",IF(H299&gt;$L$5/10*6,"4",IF(H299&gt;$L$5/10*5,"5",IF(H299&gt;$L$5/10*4,"6",IF(H299&gt;$L$5/10*3,"7",IF(H299&gt;$L$5/10*2,"8",IF(H299&gt;$L$5/10,"9","10")))))))))</f>
        <v>5</v>
      </c>
    </row>
    <row r="300" spans="1:9" x14ac:dyDescent="0.55000000000000004">
      <c r="A300">
        <v>299</v>
      </c>
      <c r="B300">
        <f>estuary_data!U299*weights!$C$2</f>
        <v>0.11169207747740877</v>
      </c>
      <c r="C300">
        <f>estuary_data!R299*weights!$C$5</f>
        <v>0.12103557874007487</v>
      </c>
      <c r="D300">
        <f>estuary_data!V299*weights!$C$3</f>
        <v>1.185292430520728E-2</v>
      </c>
      <c r="E300">
        <f>estuary_data!S299*weights!$C$6</f>
        <v>1.402587599332185E-2</v>
      </c>
      <c r="F300">
        <f>estuary_data!W299*weights!$C$4</f>
        <v>3.5474522301774329E-2</v>
      </c>
      <c r="G300">
        <f>estuary_data!T299*weights!$C$7</f>
        <v>9.2563567044300368E-2</v>
      </c>
      <c r="H300">
        <f>SUM(B300:G300)</f>
        <v>0.38664454586208746</v>
      </c>
      <c r="I300" t="str">
        <f>IF(H300&gt;$L$5/10*9,"1",IF(H300&gt;$L$5/10*8,"2",IF(H300&gt;$L$5/10*7,"3",IF(H300&gt;$L$5/10*6,"4",IF(H300&gt;$L$5/10*5,"5",IF(H300&gt;$L$5/10*4,"6",IF(H300&gt;$L$5/10*3,"7",IF(H300&gt;$L$5/10*2,"8",IF(H300&gt;$L$5/10,"9","10")))))))))</f>
        <v>5</v>
      </c>
    </row>
    <row r="301" spans="1:9" x14ac:dyDescent="0.55000000000000004">
      <c r="A301">
        <v>300</v>
      </c>
      <c r="B301">
        <f>estuary_data!U300*weights!$C$2</f>
        <v>0.13123594897661342</v>
      </c>
      <c r="C301">
        <f>estuary_data!R300*weights!$C$5</f>
        <v>0.11803252674914833</v>
      </c>
      <c r="D301">
        <f>estuary_data!V300*weights!$C$3</f>
        <v>1.4096279784602315E-2</v>
      </c>
      <c r="E301">
        <f>estuary_data!S300*weights!$C$6</f>
        <v>1.049301138544474E-2</v>
      </c>
      <c r="F301">
        <f>estuary_data!W300*weights!$C$4</f>
        <v>4.8419121783485404E-2</v>
      </c>
      <c r="G301">
        <f>estuary_data!T300*weights!$C$7</f>
        <v>8.4582998033974038E-2</v>
      </c>
      <c r="H301">
        <f>SUM(B301:G301)</f>
        <v>0.40685988671326823</v>
      </c>
      <c r="I301" t="str">
        <f>IF(H301&gt;$L$5/10*9,"1",IF(H301&gt;$L$5/10*8,"2",IF(H301&gt;$L$5/10*7,"3",IF(H301&gt;$L$5/10*6,"4",IF(H301&gt;$L$5/10*5,"5",IF(H301&gt;$L$5/10*4,"6",IF(H301&gt;$L$5/10*3,"7",IF(H301&gt;$L$5/10*2,"8",IF(H301&gt;$L$5/10,"9","10")))))))))</f>
        <v>4</v>
      </c>
    </row>
    <row r="302" spans="1:9" x14ac:dyDescent="0.55000000000000004">
      <c r="A302">
        <v>301</v>
      </c>
      <c r="B302">
        <f>estuary_data!U301*weights!$C$2</f>
        <v>0.11090693427862318</v>
      </c>
      <c r="C302">
        <f>estuary_data!R301*weights!$C$5</f>
        <v>0.11830706029248535</v>
      </c>
      <c r="D302">
        <f>estuary_data!V301*weights!$C$3</f>
        <v>1.3755627552918407E-2</v>
      </c>
      <c r="E302">
        <f>estuary_data!S301*weights!$C$6</f>
        <v>1.1480670704139499E-2</v>
      </c>
      <c r="F302">
        <f>estuary_data!W301*weights!$C$4</f>
        <v>4.227794893802387E-2</v>
      </c>
      <c r="G302">
        <f>estuary_data!T301*weights!$C$7</f>
        <v>8.6445801331686042E-2</v>
      </c>
      <c r="H302">
        <f>SUM(B302:G302)</f>
        <v>0.38317404309787639</v>
      </c>
      <c r="I302" t="str">
        <f>IF(H302&gt;$L$5/10*9,"1",IF(H302&gt;$L$5/10*8,"2",IF(H302&gt;$L$5/10*7,"3",IF(H302&gt;$L$5/10*6,"4",IF(H302&gt;$L$5/10*5,"5",IF(H302&gt;$L$5/10*4,"6",IF(H302&gt;$L$5/10*3,"7",IF(H302&gt;$L$5/10*2,"8",IF(H302&gt;$L$5/10,"9","10")))))))))</f>
        <v>5</v>
      </c>
    </row>
    <row r="303" spans="1:9" x14ac:dyDescent="0.55000000000000004">
      <c r="A303">
        <v>302</v>
      </c>
      <c r="B303">
        <f>estuary_data!U302*weights!$C$2</f>
        <v>0.10456063451827861</v>
      </c>
      <c r="C303">
        <f>estuary_data!R302*weights!$C$5</f>
        <v>0.12731497449072701</v>
      </c>
      <c r="D303">
        <f>estuary_data!V302*weights!$C$3</f>
        <v>1.8940762547394345E-2</v>
      </c>
      <c r="E303">
        <f>estuary_data!S302*weights!$C$6</f>
        <v>6.5515741570367006E-3</v>
      </c>
      <c r="F303">
        <f>estuary_data!W302*weights!$C$4</f>
        <v>6.0376300139166353E-2</v>
      </c>
      <c r="G303">
        <f>estuary_data!T302*weights!$C$7</f>
        <v>5.840259810541952E-2</v>
      </c>
      <c r="H303">
        <f>SUM(B303:G303)</f>
        <v>0.37614684395802256</v>
      </c>
      <c r="I303" t="str">
        <f>IF(H303&gt;$L$5/10*9,"1",IF(H303&gt;$L$5/10*8,"2",IF(H303&gt;$L$5/10*7,"3",IF(H303&gt;$L$5/10*6,"4",IF(H303&gt;$L$5/10*5,"5",IF(H303&gt;$L$5/10*4,"6",IF(H303&gt;$L$5/10*3,"7",IF(H303&gt;$L$5/10*2,"8",IF(H303&gt;$L$5/10,"9","10")))))))))</f>
        <v>5</v>
      </c>
    </row>
    <row r="304" spans="1:9" x14ac:dyDescent="0.55000000000000004">
      <c r="A304">
        <v>303</v>
      </c>
      <c r="B304">
        <f>estuary_data!U303*weights!$C$2</f>
        <v>0.11208228617994578</v>
      </c>
      <c r="C304">
        <f>estuary_data!R303*weights!$C$5</f>
        <v>0.12578439036748759</v>
      </c>
      <c r="D304">
        <f>estuary_data!V303*weights!$C$3</f>
        <v>1.9585416519875328E-2</v>
      </c>
      <c r="E304">
        <f>estuary_data!S303*weights!$C$6</f>
        <v>5.9856796025744338E-3</v>
      </c>
      <c r="F304">
        <f>estuary_data!W303*weights!$C$4</f>
        <v>6.7095978011428567E-2</v>
      </c>
      <c r="G304">
        <f>estuary_data!T303*weights!$C$7</f>
        <v>5.906611903646998E-2</v>
      </c>
      <c r="H304">
        <f>SUM(B304:G304)</f>
        <v>0.38959986971778171</v>
      </c>
      <c r="I304" t="str">
        <f>IF(H304&gt;$L$5/10*9,"1",IF(H304&gt;$L$5/10*8,"2",IF(H304&gt;$L$5/10*7,"3",IF(H304&gt;$L$5/10*6,"4",IF(H304&gt;$L$5/10*5,"5",IF(H304&gt;$L$5/10*4,"6",IF(H304&gt;$L$5/10*3,"7",IF(H304&gt;$L$5/10*2,"8",IF(H304&gt;$L$5/10,"9","10")))))))))</f>
        <v>5</v>
      </c>
    </row>
    <row r="305" spans="1:9" x14ac:dyDescent="0.55000000000000004">
      <c r="A305">
        <v>304</v>
      </c>
      <c r="B305">
        <f>estuary_data!U304*weights!$C$2</f>
        <v>9.09715033801754E-2</v>
      </c>
      <c r="C305">
        <f>estuary_data!R304*weights!$C$5</f>
        <v>0.10993591656601916</v>
      </c>
      <c r="D305">
        <f>estuary_data!V304*weights!$C$3</f>
        <v>2.473414078387124E-2</v>
      </c>
      <c r="E305">
        <f>estuary_data!S304*weights!$C$6</f>
        <v>8.3428223142538414E-3</v>
      </c>
      <c r="F305">
        <f>estuary_data!W304*weights!$C$4</f>
        <v>9.1005463168043546E-2</v>
      </c>
      <c r="G305">
        <f>estuary_data!T304*weights!$C$7</f>
        <v>8.1827123182043229E-2</v>
      </c>
      <c r="H305">
        <f>SUM(B305:G305)</f>
        <v>0.40681696939440637</v>
      </c>
      <c r="I305" t="str">
        <f>IF(H305&gt;$L$5/10*9,"1",IF(H305&gt;$L$5/10*8,"2",IF(H305&gt;$L$5/10*7,"3",IF(H305&gt;$L$5/10*6,"4",IF(H305&gt;$L$5/10*5,"5",IF(H305&gt;$L$5/10*4,"6",IF(H305&gt;$L$5/10*3,"7",IF(H305&gt;$L$5/10*2,"8",IF(H305&gt;$L$5/10,"9","10")))))))))</f>
        <v>4</v>
      </c>
    </row>
    <row r="306" spans="1:9" x14ac:dyDescent="0.55000000000000004">
      <c r="A306">
        <v>305</v>
      </c>
      <c r="B306">
        <f>estuary_data!U305*weights!$C$2</f>
        <v>9.9859726870134904E-2</v>
      </c>
      <c r="C306">
        <f>estuary_data!R305*weights!$C$5</f>
        <v>0.10813681985147411</v>
      </c>
      <c r="D306">
        <f>estuary_data!V305*weights!$C$3</f>
        <v>2.5715231870201742E-2</v>
      </c>
      <c r="E306">
        <f>estuary_data!S305*weights!$C$6</f>
        <v>7.6058762613948876E-3</v>
      </c>
      <c r="F306">
        <f>estuary_data!W305*weights!$C$4</f>
        <v>9.1343221564230845E-2</v>
      </c>
      <c r="G306">
        <f>estuary_data!T305*weights!$C$7</f>
        <v>5.19865075619741E-2</v>
      </c>
      <c r="H306">
        <f>SUM(B306:G306)</f>
        <v>0.38464738397941056</v>
      </c>
      <c r="I306" t="str">
        <f>IF(H306&gt;$L$5/10*9,"1",IF(H306&gt;$L$5/10*8,"2",IF(H306&gt;$L$5/10*7,"3",IF(H306&gt;$L$5/10*6,"4",IF(H306&gt;$L$5/10*5,"5",IF(H306&gt;$L$5/10*4,"6",IF(H306&gt;$L$5/10*3,"7",IF(H306&gt;$L$5/10*2,"8",IF(H306&gt;$L$5/10,"9","10")))))))))</f>
        <v>5</v>
      </c>
    </row>
    <row r="307" spans="1:9" x14ac:dyDescent="0.55000000000000004">
      <c r="A307">
        <v>306</v>
      </c>
      <c r="B307">
        <f>estuary_data!U306*weights!$C$2</f>
        <v>9.2902457995702292E-2</v>
      </c>
      <c r="C307">
        <f>estuary_data!R306*weights!$C$5</f>
        <v>0.11387589154160518</v>
      </c>
      <c r="D307">
        <f>estuary_data!V306*weights!$C$3</f>
        <v>2.3073350382323561E-2</v>
      </c>
      <c r="E307">
        <f>estuary_data!S306*weights!$C$6</f>
        <v>6.6200995831081164E-4</v>
      </c>
      <c r="F307">
        <f>estuary_data!W306*weights!$C$4</f>
        <v>8.1207504410340692E-2</v>
      </c>
      <c r="G307">
        <f>estuary_data!T306*weights!$C$7</f>
        <v>6.890122777910139E-2</v>
      </c>
      <c r="H307">
        <f>SUM(B307:G307)</f>
        <v>0.38062244206738394</v>
      </c>
      <c r="I307" t="str">
        <f>IF(H307&gt;$L$5/10*9,"1",IF(H307&gt;$L$5/10*8,"2",IF(H307&gt;$L$5/10*7,"3",IF(H307&gt;$L$5/10*6,"4",IF(H307&gt;$L$5/10*5,"5",IF(H307&gt;$L$5/10*4,"6",IF(H307&gt;$L$5/10*3,"7",IF(H307&gt;$L$5/10*2,"8",IF(H307&gt;$L$5/10,"9","10")))))))))</f>
        <v>5</v>
      </c>
    </row>
    <row r="308" spans="1:9" x14ac:dyDescent="0.55000000000000004">
      <c r="A308">
        <v>307</v>
      </c>
      <c r="B308">
        <f>estuary_data!U307*weights!$C$2</f>
        <v>9.7830714514691858E-2</v>
      </c>
      <c r="C308">
        <f>estuary_data!R307*weights!$C$5</f>
        <v>0.11590811684792227</v>
      </c>
      <c r="D308">
        <f>estuary_data!V307*weights!$C$3</f>
        <v>2.0302235250905798E-2</v>
      </c>
      <c r="E308">
        <f>estuary_data!S307*weights!$C$6</f>
        <v>2.3706239613415468E-3</v>
      </c>
      <c r="F308">
        <f>estuary_data!W307*weights!$C$4</f>
        <v>7.562048791111714E-2</v>
      </c>
      <c r="G308">
        <f>estuary_data!T307*weights!$C$7</f>
        <v>6.3032620016858582E-2</v>
      </c>
      <c r="H308">
        <f>SUM(B308:G308)</f>
        <v>0.37506479850283725</v>
      </c>
      <c r="I308" t="str">
        <f>IF(H308&gt;$L$5/10*9,"1",IF(H308&gt;$L$5/10*8,"2",IF(H308&gt;$L$5/10*7,"3",IF(H308&gt;$L$5/10*6,"4",IF(H308&gt;$L$5/10*5,"5",IF(H308&gt;$L$5/10*4,"6",IF(H308&gt;$L$5/10*3,"7",IF(H308&gt;$L$5/10*2,"8",IF(H308&gt;$L$5/10,"9","10")))))))))</f>
        <v>5</v>
      </c>
    </row>
    <row r="309" spans="1:9" x14ac:dyDescent="0.55000000000000004">
      <c r="A309">
        <v>308</v>
      </c>
      <c r="B309">
        <f>estuary_data!U308*weights!$C$2</f>
        <v>0.10606642265607187</v>
      </c>
      <c r="C309">
        <f>estuary_data!R308*weights!$C$5</f>
        <v>0.11495068367337367</v>
      </c>
      <c r="D309">
        <f>estuary_data!V308*weights!$C$3</f>
        <v>2.1209614366414078E-2</v>
      </c>
      <c r="E309">
        <f>estuary_data!S308*weights!$C$6</f>
        <v>1.3620040034767238E-2</v>
      </c>
      <c r="F309">
        <f>estuary_data!W308*weights!$C$4</f>
        <v>8.8114037115227348E-2</v>
      </c>
      <c r="G309">
        <f>estuary_data!T308*weights!$C$7</f>
        <v>3.616287571199836E-2</v>
      </c>
      <c r="H309">
        <f>SUM(B309:G309)</f>
        <v>0.38012367355785259</v>
      </c>
      <c r="I309" t="str">
        <f>IF(H309&gt;$L$5/10*9,"1",IF(H309&gt;$L$5/10*8,"2",IF(H309&gt;$L$5/10*7,"3",IF(H309&gt;$L$5/10*6,"4",IF(H309&gt;$L$5/10*5,"5",IF(H309&gt;$L$5/10*4,"6",IF(H309&gt;$L$5/10*3,"7",IF(H309&gt;$L$5/10*2,"8",IF(H309&gt;$L$5/10,"9","10")))))))))</f>
        <v>5</v>
      </c>
    </row>
    <row r="310" spans="1:9" x14ac:dyDescent="0.55000000000000004">
      <c r="A310">
        <v>309</v>
      </c>
      <c r="B310">
        <f>estuary_data!U309*weights!$C$2</f>
        <v>0.10538621797517533</v>
      </c>
      <c r="C310">
        <f>estuary_data!R309*weights!$C$5</f>
        <v>0.11596291606403296</v>
      </c>
      <c r="D310">
        <f>estuary_data!V309*weights!$C$3</f>
        <v>2.155043640101624E-2</v>
      </c>
      <c r="E310">
        <f>estuary_data!S309*weights!$C$6</f>
        <v>8.1201927258737015E-3</v>
      </c>
      <c r="F310">
        <f>estuary_data!W309*weights!$C$4</f>
        <v>7.8662408632922315E-2</v>
      </c>
      <c r="G310">
        <f>estuary_data!T309*weights!$C$7</f>
        <v>5.00834017211629E-2</v>
      </c>
      <c r="H310">
        <f>SUM(B310:G310)</f>
        <v>0.37976557352018347</v>
      </c>
      <c r="I310" t="str">
        <f>IF(H310&gt;$L$5/10*9,"1",IF(H310&gt;$L$5/10*8,"2",IF(H310&gt;$L$5/10*7,"3",IF(H310&gt;$L$5/10*6,"4",IF(H310&gt;$L$5/10*5,"5",IF(H310&gt;$L$5/10*4,"6",IF(H310&gt;$L$5/10*3,"7",IF(H310&gt;$L$5/10*2,"8",IF(H310&gt;$L$5/10,"9","10")))))))))</f>
        <v>5</v>
      </c>
    </row>
    <row r="311" spans="1:9" x14ac:dyDescent="0.55000000000000004">
      <c r="A311">
        <v>310</v>
      </c>
      <c r="B311">
        <f>estuary_data!U310*weights!$C$2</f>
        <v>0.11281127274269954</v>
      </c>
      <c r="C311">
        <f>estuary_data!R310*weights!$C$5</f>
        <v>0.11498429258525299</v>
      </c>
      <c r="D311">
        <f>estuary_data!V310*weights!$C$3</f>
        <v>2.3718037165105618E-2</v>
      </c>
      <c r="E311">
        <f>estuary_data!S310*weights!$C$6</f>
        <v>1.4931736697614073E-2</v>
      </c>
      <c r="F311">
        <f>estuary_data!W310*weights!$C$4</f>
        <v>0.10015441843591916</v>
      </c>
      <c r="G311">
        <f>estuary_data!T310*weights!$C$7</f>
        <v>3.12044856296981E-2</v>
      </c>
      <c r="H311">
        <f>SUM(B311:G311)</f>
        <v>0.39780424325628944</v>
      </c>
      <c r="I311" t="str">
        <f>IF(H311&gt;$L$5/10*9,"1",IF(H311&gt;$L$5/10*8,"2",IF(H311&gt;$L$5/10*7,"3",IF(H311&gt;$L$5/10*6,"4",IF(H311&gt;$L$5/10*5,"5",IF(H311&gt;$L$5/10*4,"6",IF(H311&gt;$L$5/10*3,"7",IF(H311&gt;$L$5/10*2,"8",IF(H311&gt;$L$5/10,"9","10")))))))))</f>
        <v>5</v>
      </c>
    </row>
    <row r="312" spans="1:9" x14ac:dyDescent="0.55000000000000004">
      <c r="A312">
        <v>311</v>
      </c>
      <c r="B312">
        <f>estuary_data!U311*weights!$C$2</f>
        <v>9.0330931779044873E-2</v>
      </c>
      <c r="C312">
        <f>estuary_data!R311*weights!$C$5</f>
        <v>0.11658318821216046</v>
      </c>
      <c r="D312">
        <f>estuary_data!V311*weights!$C$3</f>
        <v>2.3088074638449013E-2</v>
      </c>
      <c r="E312">
        <f>estuary_data!S311*weights!$C$6</f>
        <v>8.3794354810306192E-3</v>
      </c>
      <c r="F312">
        <f>estuary_data!W311*weights!$C$4</f>
        <v>8.2472085786541319E-2</v>
      </c>
      <c r="G312">
        <f>estuary_data!T311*weights!$C$7</f>
        <v>8.4107676633838682E-2</v>
      </c>
      <c r="H312">
        <f>SUM(B312:G312)</f>
        <v>0.40496139253106495</v>
      </c>
      <c r="I312" t="str">
        <f>IF(H312&gt;$L$5/10*9,"1",IF(H312&gt;$L$5/10*8,"2",IF(H312&gt;$L$5/10*7,"3",IF(H312&gt;$L$5/10*6,"4",IF(H312&gt;$L$5/10*5,"5",IF(H312&gt;$L$5/10*4,"6",IF(H312&gt;$L$5/10*3,"7",IF(H312&gt;$L$5/10*2,"8",IF(H312&gt;$L$5/10,"9","10")))))))))</f>
        <v>4</v>
      </c>
    </row>
    <row r="313" spans="1:9" x14ac:dyDescent="0.55000000000000004">
      <c r="A313">
        <v>312</v>
      </c>
      <c r="B313">
        <f>estuary_data!U312*weights!$C$2</f>
        <v>9.592359197064107E-2</v>
      </c>
      <c r="C313">
        <f>estuary_data!R312*weights!$C$5</f>
        <v>0.11622173325353981</v>
      </c>
      <c r="D313">
        <f>estuary_data!V312*weights!$C$3</f>
        <v>2.2166503315461467E-2</v>
      </c>
      <c r="E313">
        <f>estuary_data!S312*weights!$C$6</f>
        <v>6.5696392902195753E-3</v>
      </c>
      <c r="F313">
        <f>estuary_data!W312*weights!$C$4</f>
        <v>8.1738387157192269E-2</v>
      </c>
      <c r="G313">
        <f>estuary_data!T312*weights!$C$7</f>
        <v>8.1012675969350106E-2</v>
      </c>
      <c r="H313">
        <f>SUM(B313:G313)</f>
        <v>0.40363253095640428</v>
      </c>
      <c r="I313" t="str">
        <f>IF(H313&gt;$L$5/10*9,"1",IF(H313&gt;$L$5/10*8,"2",IF(H313&gt;$L$5/10*7,"3",IF(H313&gt;$L$5/10*6,"4",IF(H313&gt;$L$5/10*5,"5",IF(H313&gt;$L$5/10*4,"6",IF(H313&gt;$L$5/10*3,"7",IF(H313&gt;$L$5/10*2,"8",IF(H313&gt;$L$5/10,"9","10")))))))))</f>
        <v>4</v>
      </c>
    </row>
    <row r="314" spans="1:9" x14ac:dyDescent="0.55000000000000004">
      <c r="A314">
        <v>313</v>
      </c>
      <c r="B314">
        <f>estuary_data!U313*weights!$C$2</f>
        <v>9.5546027932445488E-2</v>
      </c>
      <c r="C314">
        <f>estuary_data!R313*weights!$C$5</f>
        <v>0.11318450470854974</v>
      </c>
      <c r="D314">
        <f>estuary_data!V313*weights!$C$3</f>
        <v>1.6395509153859022E-2</v>
      </c>
      <c r="E314">
        <f>estuary_data!S313*weights!$C$6</f>
        <v>2.2476303434899206E-2</v>
      </c>
      <c r="F314">
        <f>estuary_data!W313*weights!$C$4</f>
        <v>3.7066551297360882E-2</v>
      </c>
      <c r="G314">
        <f>estuary_data!T313*weights!$C$7</f>
        <v>9.8198941228533565E-2</v>
      </c>
      <c r="H314">
        <f>SUM(B314:G314)</f>
        <v>0.38286783775564787</v>
      </c>
      <c r="I314" t="str">
        <f>IF(H314&gt;$L$5/10*9,"1",IF(H314&gt;$L$5/10*8,"2",IF(H314&gt;$L$5/10*7,"3",IF(H314&gt;$L$5/10*6,"4",IF(H314&gt;$L$5/10*5,"5",IF(H314&gt;$L$5/10*4,"6",IF(H314&gt;$L$5/10*3,"7",IF(H314&gt;$L$5/10*2,"8",IF(H314&gt;$L$5/10,"9","10")))))))))</f>
        <v>5</v>
      </c>
    </row>
    <row r="315" spans="1:9" x14ac:dyDescent="0.55000000000000004">
      <c r="A315">
        <v>314</v>
      </c>
      <c r="B315">
        <f>estuary_data!U314*weights!$C$2</f>
        <v>9.2349645047183057E-2</v>
      </c>
      <c r="C315">
        <f>estuary_data!R314*weights!$C$5</f>
        <v>0.11033266773445374</v>
      </c>
      <c r="D315">
        <f>estuary_data!V314*weights!$C$3</f>
        <v>1.7035124586023787E-2</v>
      </c>
      <c r="E315">
        <f>estuary_data!S314*weights!$C$6</f>
        <v>1.5162676796243819E-2</v>
      </c>
      <c r="F315">
        <f>estuary_data!W314*weights!$C$4</f>
        <v>3.9440382335357078E-2</v>
      </c>
      <c r="G315">
        <f>estuary_data!T314*weights!$C$7</f>
        <v>8.1913982692396067E-2</v>
      </c>
      <c r="H315">
        <f>SUM(B315:G315)</f>
        <v>0.35623447919165757</v>
      </c>
      <c r="I315" t="str">
        <f>IF(H315&gt;$L$5/10*9,"1",IF(H315&gt;$L$5/10*8,"2",IF(H315&gt;$L$5/10*7,"3",IF(H315&gt;$L$5/10*6,"4",IF(H315&gt;$L$5/10*5,"5",IF(H315&gt;$L$5/10*4,"6",IF(H315&gt;$L$5/10*3,"7",IF(H315&gt;$L$5/10*2,"8",IF(H315&gt;$L$5/10,"9","10")))))))))</f>
        <v>5</v>
      </c>
    </row>
    <row r="316" spans="1:9" x14ac:dyDescent="0.55000000000000004">
      <c r="A316">
        <v>315</v>
      </c>
      <c r="B316">
        <f>estuary_data!U315*weights!$C$2</f>
        <v>0.10589194269588773</v>
      </c>
      <c r="C316">
        <f>estuary_data!R315*weights!$C$5</f>
        <v>0.11118088230609054</v>
      </c>
      <c r="D316">
        <f>estuary_data!V315*weights!$C$3</f>
        <v>1.7511042663638118E-2</v>
      </c>
      <c r="E316">
        <f>estuary_data!S315*weights!$C$6</f>
        <v>1.7388509560064797E-2</v>
      </c>
      <c r="F316">
        <f>estuary_data!W315*weights!$C$4</f>
        <v>4.9057362685149722E-2</v>
      </c>
      <c r="G316">
        <f>estuary_data!T315*weights!$C$7</f>
        <v>8.5771412341830916E-2</v>
      </c>
      <c r="H316">
        <f>SUM(B316:G316)</f>
        <v>0.38680115225266187</v>
      </c>
      <c r="I316" t="str">
        <f>IF(H316&gt;$L$5/10*9,"1",IF(H316&gt;$L$5/10*8,"2",IF(H316&gt;$L$5/10*7,"3",IF(H316&gt;$L$5/10*6,"4",IF(H316&gt;$L$5/10*5,"5",IF(H316&gt;$L$5/10*4,"6",IF(H316&gt;$L$5/10*3,"7",IF(H316&gt;$L$5/10*2,"8",IF(H316&gt;$L$5/10,"9","10")))))))))</f>
        <v>5</v>
      </c>
    </row>
    <row r="317" spans="1:9" x14ac:dyDescent="0.55000000000000004">
      <c r="A317">
        <v>316</v>
      </c>
      <c r="B317">
        <f>estuary_data!U316*weights!$C$2</f>
        <v>9.4744350910105621E-2</v>
      </c>
      <c r="C317">
        <f>estuary_data!R316*weights!$C$5</f>
        <v>0.11029125313625916</v>
      </c>
      <c r="D317">
        <f>estuary_data!V316*weights!$C$3</f>
        <v>1.7700587186556708E-2</v>
      </c>
      <c r="E317">
        <f>estuary_data!S316*weights!$C$6</f>
        <v>1.0063896867569767E-2</v>
      </c>
      <c r="F317">
        <f>estuary_data!W316*weights!$C$4</f>
        <v>4.523297695420949E-2</v>
      </c>
      <c r="G317">
        <f>estuary_data!T316*weights!$C$7</f>
        <v>7.0714794255566649E-2</v>
      </c>
      <c r="H317">
        <f>SUM(B317:G317)</f>
        <v>0.34874785931026736</v>
      </c>
      <c r="I317" t="str">
        <f>IF(H317&gt;$L$5/10*9,"1",IF(H317&gt;$L$5/10*8,"2",IF(H317&gt;$L$5/10*7,"3",IF(H317&gt;$L$5/10*6,"4",IF(H317&gt;$L$5/10*5,"5",IF(H317&gt;$L$5/10*4,"6",IF(H317&gt;$L$5/10*3,"7",IF(H317&gt;$L$5/10*2,"8",IF(H317&gt;$L$5/10,"9","10")))))))))</f>
        <v>5</v>
      </c>
    </row>
    <row r="318" spans="1:9" x14ac:dyDescent="0.55000000000000004">
      <c r="A318">
        <v>317</v>
      </c>
      <c r="B318">
        <f>estuary_data!U317*weights!$C$2</f>
        <v>0.12283437333591403</v>
      </c>
      <c r="C318">
        <f>estuary_data!R317*weights!$C$5</f>
        <v>0.11042513908755706</v>
      </c>
      <c r="D318">
        <f>estuary_data!V317*weights!$C$3</f>
        <v>1.8564006753991863E-2</v>
      </c>
      <c r="E318">
        <f>estuary_data!S317*weights!$C$6</f>
        <v>9.8091308462391856E-3</v>
      </c>
      <c r="F318">
        <f>estuary_data!W317*weights!$C$4</f>
        <v>5.7358255103945245E-2</v>
      </c>
      <c r="G318">
        <f>estuary_data!T317*weights!$C$7</f>
        <v>7.0182997524441751E-2</v>
      </c>
      <c r="H318">
        <f>SUM(B318:G318)</f>
        <v>0.38917390265208912</v>
      </c>
      <c r="I318" t="str">
        <f>IF(H318&gt;$L$5/10*9,"1",IF(H318&gt;$L$5/10*8,"2",IF(H318&gt;$L$5/10*7,"3",IF(H318&gt;$L$5/10*6,"4",IF(H318&gt;$L$5/10*5,"5",IF(H318&gt;$L$5/10*4,"6",IF(H318&gt;$L$5/10*3,"7",IF(H318&gt;$L$5/10*2,"8",IF(H318&gt;$L$5/10,"9","10")))))))))</f>
        <v>5</v>
      </c>
    </row>
    <row r="319" spans="1:9" x14ac:dyDescent="0.55000000000000004">
      <c r="A319">
        <v>318</v>
      </c>
      <c r="B319">
        <f>estuary_data!U318*weights!$C$2</f>
        <v>0.10360583942717726</v>
      </c>
      <c r="C319">
        <f>estuary_data!R318*weights!$C$5</f>
        <v>0.11489430709857236</v>
      </c>
      <c r="D319">
        <f>estuary_data!V318*weights!$C$3</f>
        <v>1.8010206621174547E-2</v>
      </c>
      <c r="E319">
        <f>estuary_data!S318*weights!$C$6</f>
        <v>1.2832158338982587E-2</v>
      </c>
      <c r="F319">
        <f>estuary_data!W318*weights!$C$4</f>
        <v>5.0639595368736925E-2</v>
      </c>
      <c r="G319">
        <f>estuary_data!T318*weights!$C$7</f>
        <v>7.7980175223395232E-2</v>
      </c>
      <c r="H319">
        <f>SUM(B319:G319)</f>
        <v>0.37796228207803889</v>
      </c>
      <c r="I319" t="str">
        <f>IF(H319&gt;$L$5/10*9,"1",IF(H319&gt;$L$5/10*8,"2",IF(H319&gt;$L$5/10*7,"3",IF(H319&gt;$L$5/10*6,"4",IF(H319&gt;$L$5/10*5,"5",IF(H319&gt;$L$5/10*4,"6",IF(H319&gt;$L$5/10*3,"7",IF(H319&gt;$L$5/10*2,"8",IF(H319&gt;$L$5/10,"9","10")))))))))</f>
        <v>5</v>
      </c>
    </row>
    <row r="320" spans="1:9" x14ac:dyDescent="0.55000000000000004">
      <c r="A320">
        <v>319</v>
      </c>
      <c r="B320">
        <f>estuary_data!U319*weights!$C$2</f>
        <v>0.10248236958062074</v>
      </c>
      <c r="C320">
        <f>estuary_data!R319*weights!$C$5</f>
        <v>0.11501195297566179</v>
      </c>
      <c r="D320">
        <f>estuary_data!V319*weights!$C$3</f>
        <v>1.7253796583352157E-2</v>
      </c>
      <c r="E320">
        <f>estuary_data!S319*weights!$C$6</f>
        <v>1.4433025306846701E-2</v>
      </c>
      <c r="F320">
        <f>estuary_data!W319*weights!$C$4</f>
        <v>5.102579815700365E-2</v>
      </c>
      <c r="G320">
        <f>estuary_data!T319*weights!$C$7</f>
        <v>8.1045488739482502E-2</v>
      </c>
      <c r="H320">
        <f>SUM(B320:G320)</f>
        <v>0.3812524313429676</v>
      </c>
      <c r="I320" t="str">
        <f>IF(H320&gt;$L$5/10*9,"1",IF(H320&gt;$L$5/10*8,"2",IF(H320&gt;$L$5/10*7,"3",IF(H320&gt;$L$5/10*6,"4",IF(H320&gt;$L$5/10*5,"5",IF(H320&gt;$L$5/10*4,"6",IF(H320&gt;$L$5/10*3,"7",IF(H320&gt;$L$5/10*2,"8",IF(H320&gt;$L$5/10,"9","10")))))))))</f>
        <v>5</v>
      </c>
    </row>
    <row r="321" spans="1:9" x14ac:dyDescent="0.55000000000000004">
      <c r="A321">
        <v>320</v>
      </c>
      <c r="B321">
        <f>estuary_data!U320*weights!$C$2</f>
        <v>9.8486742970578828E-2</v>
      </c>
      <c r="C321">
        <f>estuary_data!R320*weights!$C$5</f>
        <v>0.11309967488738089</v>
      </c>
      <c r="D321">
        <f>estuary_data!V320*weights!$C$3</f>
        <v>1.7684723101843474E-2</v>
      </c>
      <c r="E321">
        <f>estuary_data!S320*weights!$C$6</f>
        <v>8.936471929473425E-3</v>
      </c>
      <c r="F321">
        <f>estuary_data!W320*weights!$C$4</f>
        <v>4.8480266354566037E-2</v>
      </c>
      <c r="G321">
        <f>estuary_data!T320*weights!$C$7</f>
        <v>6.9100623290179533E-2</v>
      </c>
      <c r="H321">
        <f>SUM(B321:G321)</f>
        <v>0.35578850253402217</v>
      </c>
      <c r="I321" t="str">
        <f>IF(H321&gt;$L$5/10*9,"1",IF(H321&gt;$L$5/10*8,"2",IF(H321&gt;$L$5/10*7,"3",IF(H321&gt;$L$5/10*6,"4",IF(H321&gt;$L$5/10*5,"5",IF(H321&gt;$L$5/10*4,"6",IF(H321&gt;$L$5/10*3,"7",IF(H321&gt;$L$5/10*2,"8",IF(H321&gt;$L$5/10,"9","10")))))))))</f>
        <v>5</v>
      </c>
    </row>
    <row r="322" spans="1:9" x14ac:dyDescent="0.55000000000000004">
      <c r="A322">
        <v>321</v>
      </c>
      <c r="B322">
        <f>estuary_data!U321*weights!$C$2</f>
        <v>0.11915544408414606</v>
      </c>
      <c r="C322">
        <f>estuary_data!R321*weights!$C$5</f>
        <v>0.11624228655685796</v>
      </c>
      <c r="D322">
        <f>estuary_data!V321*weights!$C$3</f>
        <v>1.9348664509004149E-2</v>
      </c>
      <c r="E322">
        <f>estuary_data!S321*weights!$C$6</f>
        <v>2.2285809012719947E-2</v>
      </c>
      <c r="F322">
        <f>estuary_data!W321*weights!$C$4</f>
        <v>6.8846733843277302E-2</v>
      </c>
      <c r="G322">
        <f>estuary_data!T321*weights!$C$7</f>
        <v>9.6362012370500655E-2</v>
      </c>
      <c r="H322">
        <f>SUM(B322:G322)</f>
        <v>0.44224095037650613</v>
      </c>
      <c r="I322" t="str">
        <f>IF(H322&gt;$L$5/10*9,"1",IF(H322&gt;$L$5/10*8,"2",IF(H322&gt;$L$5/10*7,"3",IF(H322&gt;$L$5/10*6,"4",IF(H322&gt;$L$5/10*5,"5",IF(H322&gt;$L$5/10*4,"6",IF(H322&gt;$L$5/10*3,"7",IF(H322&gt;$L$5/10*2,"8",IF(H322&gt;$L$5/10,"9","10")))))))))</f>
        <v>4</v>
      </c>
    </row>
    <row r="323" spans="1:9" x14ac:dyDescent="0.55000000000000004">
      <c r="A323">
        <v>322</v>
      </c>
      <c r="B323">
        <f>estuary_data!U322*weights!$C$2</f>
        <v>9.2107705163026618E-2</v>
      </c>
      <c r="C323">
        <f>estuary_data!R322*weights!$C$5</f>
        <v>0.10340947337640234</v>
      </c>
      <c r="D323">
        <f>estuary_data!V322*weights!$C$3</f>
        <v>1.5666046144216163E-2</v>
      </c>
      <c r="E323">
        <f>estuary_data!S322*weights!$C$6</f>
        <v>1.0229879946196275E-2</v>
      </c>
      <c r="F323">
        <f>estuary_data!W322*weights!$C$4</f>
        <v>5.2279321193370393E-2</v>
      </c>
      <c r="G323">
        <f>estuary_data!T322*weights!$C$7</f>
        <v>6.9080517352109946E-2</v>
      </c>
      <c r="H323">
        <f>SUM(B323:G323)</f>
        <v>0.34277294317532175</v>
      </c>
      <c r="I323" t="str">
        <f>IF(H323&gt;$L$5/10*9,"1",IF(H323&gt;$L$5/10*8,"2",IF(H323&gt;$L$5/10*7,"3",IF(H323&gt;$L$5/10*6,"4",IF(H323&gt;$L$5/10*5,"5",IF(H323&gt;$L$5/10*4,"6",IF(H323&gt;$L$5/10*3,"7",IF(H323&gt;$L$5/10*2,"8",IF(H323&gt;$L$5/10,"9","10")))))))))</f>
        <v>5</v>
      </c>
    </row>
    <row r="324" spans="1:9" x14ac:dyDescent="0.55000000000000004">
      <c r="A324">
        <v>323</v>
      </c>
      <c r="B324">
        <f>estuary_data!U323*weights!$C$2</f>
        <v>7.4290866420490764E-2</v>
      </c>
      <c r="C324">
        <f>estuary_data!R323*weights!$C$5</f>
        <v>9.9664637325191277E-2</v>
      </c>
      <c r="D324">
        <f>estuary_data!V323*weights!$C$3</f>
        <v>1.406275802893076E-2</v>
      </c>
      <c r="E324">
        <f>estuary_data!S323*weights!$C$6</f>
        <v>8.6949305817899496E-3</v>
      </c>
      <c r="F324">
        <f>estuary_data!W323*weights!$C$4</f>
        <v>4.3782532795471112E-2</v>
      </c>
      <c r="G324">
        <f>estuary_data!T323*weights!$C$7</f>
        <v>6.2171807149250038E-2</v>
      </c>
      <c r="H324">
        <f>SUM(B324:G324)</f>
        <v>0.30266753230112386</v>
      </c>
      <c r="I324" t="str">
        <f>IF(H324&gt;$L$5/10*9,"1",IF(H324&gt;$L$5/10*8,"2",IF(H324&gt;$L$5/10*7,"3",IF(H324&gt;$L$5/10*6,"4",IF(H324&gt;$L$5/10*5,"5",IF(H324&gt;$L$5/10*4,"6",IF(H324&gt;$L$5/10*3,"7",IF(H324&gt;$L$5/10*2,"8",IF(H324&gt;$L$5/10,"9","10")))))))))</f>
        <v>6</v>
      </c>
    </row>
    <row r="325" spans="1:9" x14ac:dyDescent="0.55000000000000004">
      <c r="A325">
        <v>324</v>
      </c>
      <c r="B325">
        <f>estuary_data!U324*weights!$C$2</f>
        <v>7.9614051903354993E-2</v>
      </c>
      <c r="C325">
        <f>estuary_data!R324*weights!$C$5</f>
        <v>9.9373881545826978E-2</v>
      </c>
      <c r="D325">
        <f>estuary_data!V324*weights!$C$3</f>
        <v>1.4279947270123048E-2</v>
      </c>
      <c r="E325">
        <f>estuary_data!S324*weights!$C$6</f>
        <v>2.7415907528044146E-3</v>
      </c>
      <c r="F325">
        <f>estuary_data!W324*weights!$C$4</f>
        <v>4.7478529804166884E-2</v>
      </c>
      <c r="G325">
        <f>estuary_data!T324*weights!$C$7</f>
        <v>5.1364794847250046E-2</v>
      </c>
      <c r="H325">
        <f>SUM(B325:G325)</f>
        <v>0.29485279612352638</v>
      </c>
      <c r="I325" t="str">
        <f>IF(H325&gt;$L$5/10*9,"1",IF(H325&gt;$L$5/10*8,"2",IF(H325&gt;$L$5/10*7,"3",IF(H325&gt;$L$5/10*6,"4",IF(H325&gt;$L$5/10*5,"5",IF(H325&gt;$L$5/10*4,"6",IF(H325&gt;$L$5/10*3,"7",IF(H325&gt;$L$5/10*2,"8",IF(H325&gt;$L$5/10,"9","10")))))))))</f>
        <v>6</v>
      </c>
    </row>
    <row r="326" spans="1:9" x14ac:dyDescent="0.55000000000000004">
      <c r="A326">
        <v>325</v>
      </c>
      <c r="B326">
        <f>estuary_data!U325*weights!$C$2</f>
        <v>7.8329602933207301E-2</v>
      </c>
      <c r="C326">
        <f>estuary_data!R325*weights!$C$5</f>
        <v>9.9288825702506731E-2</v>
      </c>
      <c r="D326">
        <f>estuary_data!V325*weights!$C$3</f>
        <v>1.4777037255353412E-2</v>
      </c>
      <c r="E326">
        <f>estuary_data!S325*weights!$C$6</f>
        <v>1.033170207031866E-4</v>
      </c>
      <c r="F326">
        <f>estuary_data!W325*weights!$C$4</f>
        <v>4.6805518702237023E-2</v>
      </c>
      <c r="G326">
        <f>estuary_data!T325*weights!$C$7</f>
        <v>4.6091561151187864E-2</v>
      </c>
      <c r="H326">
        <f>SUM(B326:G326)</f>
        <v>0.28539586276519546</v>
      </c>
      <c r="I326" t="str">
        <f>IF(H326&gt;$L$5/10*9,"1",IF(H326&gt;$L$5/10*8,"2",IF(H326&gt;$L$5/10*7,"3",IF(H326&gt;$L$5/10*6,"4",IF(H326&gt;$L$5/10*5,"5",IF(H326&gt;$L$5/10*4,"6",IF(H326&gt;$L$5/10*3,"7",IF(H326&gt;$L$5/10*2,"8",IF(H326&gt;$L$5/10,"9","10")))))))))</f>
        <v>6</v>
      </c>
    </row>
    <row r="327" spans="1:9" x14ac:dyDescent="0.55000000000000004">
      <c r="A327">
        <v>326</v>
      </c>
      <c r="B327">
        <f>estuary_data!U326*weights!$C$2</f>
        <v>9.5621716739354226E-2</v>
      </c>
      <c r="C327">
        <f>estuary_data!R326*weights!$C$5</f>
        <v>0.10486474825531723</v>
      </c>
      <c r="D327">
        <f>estuary_data!V326*weights!$C$3</f>
        <v>1.5970737002105311E-2</v>
      </c>
      <c r="E327">
        <f>estuary_data!S326*weights!$C$6</f>
        <v>1.2021506073220032E-2</v>
      </c>
      <c r="F327">
        <f>estuary_data!W326*weights!$C$4</f>
        <v>5.5928124642786077E-2</v>
      </c>
      <c r="G327">
        <f>estuary_data!T326*weights!$C$7</f>
        <v>7.304715414921624E-2</v>
      </c>
      <c r="H327">
        <f>SUM(B327:G327)</f>
        <v>0.35745398686199914</v>
      </c>
      <c r="I327" t="str">
        <f>IF(H327&gt;$L$5/10*9,"1",IF(H327&gt;$L$5/10*8,"2",IF(H327&gt;$L$5/10*7,"3",IF(H327&gt;$L$5/10*6,"4",IF(H327&gt;$L$5/10*5,"5",IF(H327&gt;$L$5/10*4,"6",IF(H327&gt;$L$5/10*3,"7",IF(H327&gt;$L$5/10*2,"8",IF(H327&gt;$L$5/10,"9","10")))))))))</f>
        <v>5</v>
      </c>
    </row>
    <row r="328" spans="1:9" x14ac:dyDescent="0.55000000000000004">
      <c r="A328">
        <v>327</v>
      </c>
      <c r="B328">
        <f>estuary_data!U327*weights!$C$2</f>
        <v>0.11490701993223745</v>
      </c>
      <c r="C328">
        <f>estuary_data!R327*weights!$C$5</f>
        <v>0.10635596863228625</v>
      </c>
      <c r="D328">
        <f>estuary_data!V327*weights!$C$3</f>
        <v>1.7134712146376956E-2</v>
      </c>
      <c r="E328">
        <f>estuary_data!S327*weights!$C$6</f>
        <v>6.0993766604999005E-3</v>
      </c>
      <c r="F328">
        <f>estuary_data!W327*weights!$C$4</f>
        <v>6.1728913103430573E-2</v>
      </c>
      <c r="G328">
        <f>estuary_data!T327*weights!$C$7</f>
        <v>6.325584452972402E-2</v>
      </c>
      <c r="H328">
        <f>SUM(B328:G328)</f>
        <v>0.36948183500455511</v>
      </c>
      <c r="I328" t="str">
        <f>IF(H328&gt;$L$5/10*9,"1",IF(H328&gt;$L$5/10*8,"2",IF(H328&gt;$L$5/10*7,"3",IF(H328&gt;$L$5/10*6,"4",IF(H328&gt;$L$5/10*5,"5",IF(H328&gt;$L$5/10*4,"6",IF(H328&gt;$L$5/10*3,"7",IF(H328&gt;$L$5/10*2,"8",IF(H328&gt;$L$5/10,"9","10")))))))))</f>
        <v>5</v>
      </c>
    </row>
    <row r="329" spans="1:9" x14ac:dyDescent="0.55000000000000004">
      <c r="A329">
        <v>328</v>
      </c>
      <c r="B329">
        <f>estuary_data!U328*weights!$C$2</f>
        <v>9.5365603112471026E-2</v>
      </c>
      <c r="C329">
        <f>estuary_data!R328*weights!$C$5</f>
        <v>0.10260720241478184</v>
      </c>
      <c r="D329">
        <f>estuary_data!V328*weights!$C$3</f>
        <v>1.6448117244975271E-2</v>
      </c>
      <c r="E329">
        <f>estuary_data!S328*weights!$C$6</f>
        <v>8.0151343346743123E-4</v>
      </c>
      <c r="F329">
        <f>estuary_data!W328*weights!$C$4</f>
        <v>4.9750307509351673E-2</v>
      </c>
      <c r="G329">
        <f>estuary_data!T328*weights!$C$7</f>
        <v>4.7186368011964887E-2</v>
      </c>
      <c r="H329">
        <f>SUM(B329:G329)</f>
        <v>0.31215911172701216</v>
      </c>
      <c r="I329" t="str">
        <f>IF(H329&gt;$L$5/10*9,"1",IF(H329&gt;$L$5/10*8,"2",IF(H329&gt;$L$5/10*7,"3",IF(H329&gt;$L$5/10*6,"4",IF(H329&gt;$L$5/10*5,"5",IF(H329&gt;$L$5/10*4,"6",IF(H329&gt;$L$5/10*3,"7",IF(H329&gt;$L$5/10*2,"8",IF(H329&gt;$L$5/10,"9","10")))))))))</f>
        <v>6</v>
      </c>
    </row>
    <row r="330" spans="1:9" x14ac:dyDescent="0.55000000000000004">
      <c r="A330">
        <v>329</v>
      </c>
      <c r="B330">
        <f>estuary_data!U329*weights!$C$2</f>
        <v>9.5374462087944645E-2</v>
      </c>
      <c r="C330">
        <f>estuary_data!R329*weights!$C$5</f>
        <v>0.10179788176082323</v>
      </c>
      <c r="D330">
        <f>estuary_data!V329*weights!$C$3</f>
        <v>1.6508775164853419E-2</v>
      </c>
      <c r="E330">
        <f>estuary_data!S329*weights!$C$6</f>
        <v>6.4335479051511749E-3</v>
      </c>
      <c r="F330">
        <f>estuary_data!W329*weights!$C$4</f>
        <v>4.8258450066940975E-2</v>
      </c>
      <c r="G330">
        <f>estuary_data!T329*weights!$C$7</f>
        <v>3.5780772210232098E-2</v>
      </c>
      <c r="H330">
        <f>SUM(B330:G330)</f>
        <v>0.30415388919594555</v>
      </c>
      <c r="I330" t="str">
        <f>IF(H330&gt;$L$5/10*9,"1",IF(H330&gt;$L$5/10*8,"2",IF(H330&gt;$L$5/10*7,"3",IF(H330&gt;$L$5/10*6,"4",IF(H330&gt;$L$5/10*5,"5",IF(H330&gt;$L$5/10*4,"6",IF(H330&gt;$L$5/10*3,"7",IF(H330&gt;$L$5/10*2,"8",IF(H330&gt;$L$5/10,"9","10")))))))))</f>
        <v>6</v>
      </c>
    </row>
    <row r="331" spans="1:9" x14ac:dyDescent="0.55000000000000004">
      <c r="A331">
        <v>330</v>
      </c>
      <c r="B331">
        <f>estuary_data!U330*weights!$C$2</f>
        <v>0.13396083230046046</v>
      </c>
      <c r="C331">
        <f>estuary_data!R330*weights!$C$5</f>
        <v>0.11486182107595048</v>
      </c>
      <c r="D331">
        <f>estuary_data!V330*weights!$C$3</f>
        <v>2.3136095221719045E-2</v>
      </c>
      <c r="E331">
        <f>estuary_data!S330*weights!$C$6</f>
        <v>2.5588389406594738E-3</v>
      </c>
      <c r="F331">
        <f>estuary_data!W330*weights!$C$4</f>
        <v>0.10116753099087597</v>
      </c>
      <c r="G331">
        <f>estuary_data!T330*weights!$C$7</f>
        <v>5.9668972368998145E-2</v>
      </c>
      <c r="H331">
        <f>SUM(B331:G331)</f>
        <v>0.43535409089866361</v>
      </c>
      <c r="I331" t="str">
        <f>IF(H331&gt;$L$5/10*9,"1",IF(H331&gt;$L$5/10*8,"2",IF(H331&gt;$L$5/10*7,"3",IF(H331&gt;$L$5/10*6,"4",IF(H331&gt;$L$5/10*5,"5",IF(H331&gt;$L$5/10*4,"6",IF(H331&gt;$L$5/10*3,"7",IF(H331&gt;$L$5/10*2,"8",IF(H331&gt;$L$5/10,"9","10")))))))))</f>
        <v>4</v>
      </c>
    </row>
    <row r="332" spans="1:9" x14ac:dyDescent="0.55000000000000004">
      <c r="A332">
        <v>331</v>
      </c>
      <c r="B332">
        <f>estuary_data!U331*weights!$C$2</f>
        <v>0.12207321103444824</v>
      </c>
      <c r="C332">
        <f>estuary_data!R331*weights!$C$5</f>
        <v>0.11307289562767664</v>
      </c>
      <c r="D332">
        <f>estuary_data!V331*weights!$C$3</f>
        <v>2.4442770389404379E-2</v>
      </c>
      <c r="E332">
        <f>estuary_data!S331*weights!$C$6</f>
        <v>2.3754266020247182E-2</v>
      </c>
      <c r="F332">
        <f>estuary_data!W331*weights!$C$4</f>
        <v>0.10648226290896297</v>
      </c>
      <c r="G332">
        <f>estuary_data!T331*weights!$C$7</f>
        <v>1.4119414745215483E-2</v>
      </c>
      <c r="H332">
        <f>SUM(B332:G332)</f>
        <v>0.40394482072595489</v>
      </c>
      <c r="I332" t="str">
        <f>IF(H332&gt;$L$5/10*9,"1",IF(H332&gt;$L$5/10*8,"2",IF(H332&gt;$L$5/10*7,"3",IF(H332&gt;$L$5/10*6,"4",IF(H332&gt;$L$5/10*5,"5",IF(H332&gt;$L$5/10*4,"6",IF(H332&gt;$L$5/10*3,"7",IF(H332&gt;$L$5/10*2,"8",IF(H332&gt;$L$5/10,"9","10")))))))))</f>
        <v>4</v>
      </c>
    </row>
    <row r="333" spans="1:9" x14ac:dyDescent="0.55000000000000004">
      <c r="A333">
        <v>332</v>
      </c>
      <c r="B333">
        <f>estuary_data!U332*weights!$C$2</f>
        <v>0.10452818011737915</v>
      </c>
      <c r="C333">
        <f>estuary_data!R332*weights!$C$5</f>
        <v>0.10924911204376195</v>
      </c>
      <c r="D333">
        <f>estuary_data!V332*weights!$C$3</f>
        <v>2.4682372936534417E-2</v>
      </c>
      <c r="E333">
        <f>estuary_data!S332*weights!$C$6</f>
        <v>1.3353925687459802E-2</v>
      </c>
      <c r="F333">
        <f>estuary_data!W332*weights!$C$4</f>
        <v>0.1021505546890572</v>
      </c>
      <c r="G333">
        <f>estuary_data!T332*weights!$C$7</f>
        <v>3.7115759947417427E-2</v>
      </c>
      <c r="H333">
        <f>SUM(B333:G333)</f>
        <v>0.39107990542160997</v>
      </c>
      <c r="I333" t="str">
        <f>IF(H333&gt;$L$5/10*9,"1",IF(H333&gt;$L$5/10*8,"2",IF(H333&gt;$L$5/10*7,"3",IF(H333&gt;$L$5/10*6,"4",IF(H333&gt;$L$5/10*5,"5",IF(H333&gt;$L$5/10*4,"6",IF(H333&gt;$L$5/10*3,"7",IF(H333&gt;$L$5/10*2,"8",IF(H333&gt;$L$5/10,"9","10")))))))))</f>
        <v>5</v>
      </c>
    </row>
    <row r="334" spans="1:9" x14ac:dyDescent="0.55000000000000004">
      <c r="A334">
        <v>333</v>
      </c>
      <c r="B334">
        <f>estuary_data!U333*weights!$C$2</f>
        <v>9.7341742171225973E-2</v>
      </c>
      <c r="C334">
        <f>estuary_data!R333*weights!$C$5</f>
        <v>0.10664825003422651</v>
      </c>
      <c r="D334">
        <f>estuary_data!V333*weights!$C$3</f>
        <v>2.5997406624505458E-2</v>
      </c>
      <c r="E334">
        <f>estuary_data!S333*weights!$C$6</f>
        <v>1.5900945722920955E-2</v>
      </c>
      <c r="F334">
        <f>estuary_data!W333*weights!$C$4</f>
        <v>0.10103787757247258</v>
      </c>
      <c r="G334">
        <f>estuary_data!T333*weights!$C$7</f>
        <v>3.4846736815941408E-2</v>
      </c>
      <c r="H334">
        <f>SUM(B334:G334)</f>
        <v>0.38177295894129287</v>
      </c>
      <c r="I334" t="str">
        <f>IF(H334&gt;$L$5/10*9,"1",IF(H334&gt;$L$5/10*8,"2",IF(H334&gt;$L$5/10*7,"3",IF(H334&gt;$L$5/10*6,"4",IF(H334&gt;$L$5/10*5,"5",IF(H334&gt;$L$5/10*4,"6",IF(H334&gt;$L$5/10*3,"7",IF(H334&gt;$L$5/10*2,"8",IF(H334&gt;$L$5/10,"9","10")))))))))</f>
        <v>5</v>
      </c>
    </row>
    <row r="335" spans="1:9" x14ac:dyDescent="0.55000000000000004">
      <c r="A335">
        <v>334</v>
      </c>
      <c r="B335">
        <f>estuary_data!U334*weights!$C$2</f>
        <v>9.5988041485718711E-2</v>
      </c>
      <c r="C335">
        <f>estuary_data!R334*weights!$C$5</f>
        <v>0.10338035548263542</v>
      </c>
      <c r="D335">
        <f>estuary_data!V334*weights!$C$3</f>
        <v>2.6181528094714329E-2</v>
      </c>
      <c r="E335">
        <f>estuary_data!S334*weights!$C$6</f>
        <v>2.2219821952201103E-2</v>
      </c>
      <c r="F335">
        <f>estuary_data!W334*weights!$C$4</f>
        <v>9.9244611909928143E-2</v>
      </c>
      <c r="G335">
        <f>estuary_data!T334*weights!$C$7</f>
        <v>2.5171012195219267E-2</v>
      </c>
      <c r="H335">
        <f>SUM(B335:G335)</f>
        <v>0.372185371120417</v>
      </c>
      <c r="I335" t="str">
        <f>IF(H335&gt;$L$5/10*9,"1",IF(H335&gt;$L$5/10*8,"2",IF(H335&gt;$L$5/10*7,"3",IF(H335&gt;$L$5/10*6,"4",IF(H335&gt;$L$5/10*5,"5",IF(H335&gt;$L$5/10*4,"6",IF(H335&gt;$L$5/10*3,"7",IF(H335&gt;$L$5/10*2,"8",IF(H335&gt;$L$5/10,"9","10")))))))))</f>
        <v>5</v>
      </c>
    </row>
    <row r="336" spans="1:9" x14ac:dyDescent="0.55000000000000004">
      <c r="A336">
        <v>335</v>
      </c>
      <c r="B336">
        <f>estuary_data!U335*weights!$C$2</f>
        <v>8.8868051238467707E-2</v>
      </c>
      <c r="C336">
        <f>estuary_data!R335*weights!$C$5</f>
        <v>0.10272637078872378</v>
      </c>
      <c r="D336">
        <f>estuary_data!V335*weights!$C$3</f>
        <v>2.674093186192758E-2</v>
      </c>
      <c r="E336">
        <f>estuary_data!S335*weights!$C$6</f>
        <v>1.2444214096512383E-2</v>
      </c>
      <c r="F336">
        <f>estuary_data!W335*weights!$C$4</f>
        <v>9.4218689846678666E-2</v>
      </c>
      <c r="G336">
        <f>estuary_data!T335*weights!$C$7</f>
        <v>4.080962615983285E-2</v>
      </c>
      <c r="H336">
        <f>SUM(B336:G336)</f>
        <v>0.36580788399214298</v>
      </c>
      <c r="I336" t="str">
        <f>IF(H336&gt;$L$5/10*9,"1",IF(H336&gt;$L$5/10*8,"2",IF(H336&gt;$L$5/10*7,"3",IF(H336&gt;$L$5/10*6,"4",IF(H336&gt;$L$5/10*5,"5",IF(H336&gt;$L$5/10*4,"6",IF(H336&gt;$L$5/10*3,"7",IF(H336&gt;$L$5/10*2,"8",IF(H336&gt;$L$5/10,"9","10")))))))))</f>
        <v>5</v>
      </c>
    </row>
    <row r="337" spans="1:9" x14ac:dyDescent="0.55000000000000004">
      <c r="A337">
        <v>336</v>
      </c>
      <c r="B337">
        <f>estuary_data!U336*weights!$C$2</f>
        <v>0.13551942335915759</v>
      </c>
      <c r="C337">
        <f>estuary_data!R336*weights!$C$5</f>
        <v>0.11022860986288144</v>
      </c>
      <c r="D337">
        <f>estuary_data!V336*weights!$C$3</f>
        <v>2.1516334532649329E-2</v>
      </c>
      <c r="E337">
        <f>estuary_data!S336*weights!$C$6</f>
        <v>1.2366445331310134E-3</v>
      </c>
      <c r="F337">
        <f>estuary_data!W336*weights!$C$4</f>
        <v>9.9851710935762006E-2</v>
      </c>
      <c r="G337">
        <f>estuary_data!T336*weights!$C$7</f>
        <v>5.5860172189301033E-2</v>
      </c>
      <c r="H337">
        <f>SUM(B337:G337)</f>
        <v>0.42421289541288243</v>
      </c>
      <c r="I337" t="str">
        <f>IF(H337&gt;$L$5/10*9,"1",IF(H337&gt;$L$5/10*8,"2",IF(H337&gt;$L$5/10*7,"3",IF(H337&gt;$L$5/10*6,"4",IF(H337&gt;$L$5/10*5,"5",IF(H337&gt;$L$5/10*4,"6",IF(H337&gt;$L$5/10*3,"7",IF(H337&gt;$L$5/10*2,"8",IF(H337&gt;$L$5/10,"9","10")))))))))</f>
        <v>4</v>
      </c>
    </row>
    <row r="338" spans="1:9" x14ac:dyDescent="0.55000000000000004">
      <c r="A338">
        <v>337</v>
      </c>
      <c r="B338">
        <f>estuary_data!U337*weights!$C$2</f>
        <v>0.10549909564906529</v>
      </c>
      <c r="C338">
        <f>estuary_data!R337*weights!$C$5</f>
        <v>0.10846994971839474</v>
      </c>
      <c r="D338">
        <f>estuary_data!V337*weights!$C$3</f>
        <v>1.9498807238115971E-2</v>
      </c>
      <c r="E338">
        <f>estuary_data!S337*weights!$C$6</f>
        <v>8.3180863687199434E-4</v>
      </c>
      <c r="F338">
        <f>estuary_data!W337*weights!$C$4</f>
        <v>8.2637273231603248E-2</v>
      </c>
      <c r="G338">
        <f>estuary_data!T337*weights!$C$7</f>
        <v>5.7765129973963117E-2</v>
      </c>
      <c r="H338">
        <f>SUM(B338:G338)</f>
        <v>0.37470206444801435</v>
      </c>
      <c r="I338" t="str">
        <f>IF(H338&gt;$L$5/10*9,"1",IF(H338&gt;$L$5/10*8,"2",IF(H338&gt;$L$5/10*7,"3",IF(H338&gt;$L$5/10*6,"4",IF(H338&gt;$L$5/10*5,"5",IF(H338&gt;$L$5/10*4,"6",IF(H338&gt;$L$5/10*3,"7",IF(H338&gt;$L$5/10*2,"8",IF(H338&gt;$L$5/10,"9","10")))))))))</f>
        <v>5</v>
      </c>
    </row>
    <row r="339" spans="1:9" x14ac:dyDescent="0.55000000000000004">
      <c r="A339">
        <v>338</v>
      </c>
      <c r="B339">
        <f>estuary_data!U338*weights!$C$2</f>
        <v>3.4703250358102476E-2</v>
      </c>
      <c r="C339">
        <f>estuary_data!R338*weights!$C$5</f>
        <v>8.9028921239319672E-2</v>
      </c>
      <c r="D339">
        <f>estuary_data!V338*weights!$C$3</f>
        <v>1.4946159566066304E-2</v>
      </c>
      <c r="E339">
        <f>estuary_data!S338*weights!$C$6</f>
        <v>4.4540558110865271E-3</v>
      </c>
      <c r="F339">
        <f>estuary_data!W338*weights!$C$4</f>
        <v>2.4144120415835572E-2</v>
      </c>
      <c r="G339">
        <f>estuary_data!T338*weights!$C$7</f>
        <v>7.4043763961437331E-2</v>
      </c>
      <c r="H339">
        <f>SUM(B339:G339)</f>
        <v>0.24132027135184786</v>
      </c>
      <c r="I339" t="str">
        <f>IF(H339&gt;$L$5/10*9,"1",IF(H339&gt;$L$5/10*8,"2",IF(H339&gt;$L$5/10*7,"3",IF(H339&gt;$L$5/10*6,"4",IF(H339&gt;$L$5/10*5,"5",IF(H339&gt;$L$5/10*4,"6",IF(H339&gt;$L$5/10*3,"7",IF(H339&gt;$L$5/10*2,"8",IF(H339&gt;$L$5/10,"9","10")))))))))</f>
        <v>7</v>
      </c>
    </row>
    <row r="340" spans="1:9" x14ac:dyDescent="0.55000000000000004">
      <c r="A340">
        <v>339</v>
      </c>
      <c r="B340">
        <f>estuary_data!U339*weights!$C$2</f>
        <v>3.2736787570931333E-2</v>
      </c>
      <c r="C340">
        <f>estuary_data!R339*weights!$C$5</f>
        <v>8.7087777201372354E-2</v>
      </c>
      <c r="D340">
        <f>estuary_data!V339*weights!$C$3</f>
        <v>1.577839177606857E-2</v>
      </c>
      <c r="E340">
        <f>estuary_data!S339*weights!$C$6</f>
        <v>4.6556211183136631E-3</v>
      </c>
      <c r="F340">
        <f>estuary_data!W339*weights!$C$4</f>
        <v>2.1507425530912019E-2</v>
      </c>
      <c r="G340">
        <f>estuary_data!T339*weights!$C$7</f>
        <v>7.588737958815063E-2</v>
      </c>
      <c r="H340">
        <f>SUM(B340:G340)</f>
        <v>0.23765338278574855</v>
      </c>
      <c r="I340" t="str">
        <f>IF(H340&gt;$L$5/10*9,"1",IF(H340&gt;$L$5/10*8,"2",IF(H340&gt;$L$5/10*7,"3",IF(H340&gt;$L$5/10*6,"4",IF(H340&gt;$L$5/10*5,"5",IF(H340&gt;$L$5/10*4,"6",IF(H340&gt;$L$5/10*3,"7",IF(H340&gt;$L$5/10*2,"8",IF(H340&gt;$L$5/10,"9","10")))))))))</f>
        <v>7</v>
      </c>
    </row>
    <row r="341" spans="1:9" x14ac:dyDescent="0.55000000000000004">
      <c r="A341">
        <v>340</v>
      </c>
      <c r="B341">
        <f>estuary_data!U340*weights!$C$2</f>
        <v>4.0385140614419161E-2</v>
      </c>
      <c r="C341">
        <f>estuary_data!R340*weights!$C$5</f>
        <v>9.2440387174027111E-2</v>
      </c>
      <c r="D341">
        <f>estuary_data!V340*weights!$C$3</f>
        <v>2.9468659604520754E-2</v>
      </c>
      <c r="E341">
        <f>estuary_data!S340*weights!$C$6</f>
        <v>5.208611391068583E-3</v>
      </c>
      <c r="F341">
        <f>estuary_data!W340*weights!$C$4</f>
        <v>7.02532517235476E-2</v>
      </c>
      <c r="G341">
        <f>estuary_data!T340*weights!$C$7</f>
        <v>6.2568082668501737E-2</v>
      </c>
      <c r="H341">
        <f>SUM(B341:G341)</f>
        <v>0.30032413317608497</v>
      </c>
      <c r="I341" t="str">
        <f>IF(H341&gt;$L$5/10*9,"1",IF(H341&gt;$L$5/10*8,"2",IF(H341&gt;$L$5/10*7,"3",IF(H341&gt;$L$5/10*6,"4",IF(H341&gt;$L$5/10*5,"5",IF(H341&gt;$L$5/10*4,"6",IF(H341&gt;$L$5/10*3,"7",IF(H341&gt;$L$5/10*2,"8",IF(H341&gt;$L$5/10,"9","10")))))))))</f>
        <v>6</v>
      </c>
    </row>
    <row r="342" spans="1:9" x14ac:dyDescent="0.55000000000000004">
      <c r="A342">
        <v>341</v>
      </c>
      <c r="B342">
        <f>estuary_data!U341*weights!$C$2</f>
        <v>4.1817434154594588E-2</v>
      </c>
      <c r="C342">
        <f>estuary_data!R341*weights!$C$5</f>
        <v>9.188607760217396E-2</v>
      </c>
      <c r="D342">
        <f>estuary_data!V341*weights!$C$3</f>
        <v>3.29046817297977E-2</v>
      </c>
      <c r="E342">
        <f>estuary_data!S341*weights!$C$6</f>
        <v>6.6924969339014692E-3</v>
      </c>
      <c r="F342">
        <f>estuary_data!W341*weights!$C$4</f>
        <v>7.7816673784774679E-2</v>
      </c>
      <c r="G342">
        <f>estuary_data!T341*weights!$C$7</f>
        <v>6.0648216472887248E-2</v>
      </c>
      <c r="H342">
        <f>SUM(B342:G342)</f>
        <v>0.31176558067812965</v>
      </c>
      <c r="I342" t="str">
        <f>IF(H342&gt;$L$5/10*9,"1",IF(H342&gt;$L$5/10*8,"2",IF(H342&gt;$L$5/10*7,"3",IF(H342&gt;$L$5/10*6,"4",IF(H342&gt;$L$5/10*5,"5",IF(H342&gt;$L$5/10*4,"6",IF(H342&gt;$L$5/10*3,"7",IF(H342&gt;$L$5/10*2,"8",IF(H342&gt;$L$5/10,"9","10")))))))))</f>
        <v>6</v>
      </c>
    </row>
    <row r="343" spans="1:9" x14ac:dyDescent="0.55000000000000004">
      <c r="A343">
        <v>342</v>
      </c>
      <c r="B343">
        <f>estuary_data!U342*weights!$C$2</f>
        <v>3.8991177354703262E-2</v>
      </c>
      <c r="C343">
        <f>estuary_data!R342*weights!$C$5</f>
        <v>9.2566908004362139E-2</v>
      </c>
      <c r="D343">
        <f>estuary_data!V342*weights!$C$3</f>
        <v>3.0147372020519231E-2</v>
      </c>
      <c r="E343">
        <f>estuary_data!S342*weights!$C$6</f>
        <v>3.8659853936509692E-3</v>
      </c>
      <c r="F343">
        <f>estuary_data!W342*weights!$C$4</f>
        <v>6.2275029595515917E-2</v>
      </c>
      <c r="G343">
        <f>estuary_data!T342*weights!$C$7</f>
        <v>6.5910848335254457E-2</v>
      </c>
      <c r="H343">
        <f>SUM(B343:G343)</f>
        <v>0.29375732070400595</v>
      </c>
      <c r="I343" t="str">
        <f>IF(H343&gt;$L$5/10*9,"1",IF(H343&gt;$L$5/10*8,"2",IF(H343&gt;$L$5/10*7,"3",IF(H343&gt;$L$5/10*6,"4",IF(H343&gt;$L$5/10*5,"5",IF(H343&gt;$L$5/10*4,"6",IF(H343&gt;$L$5/10*3,"7",IF(H343&gt;$L$5/10*2,"8",IF(H343&gt;$L$5/10,"9","10")))))))))</f>
        <v>6</v>
      </c>
    </row>
    <row r="344" spans="1:9" x14ac:dyDescent="0.55000000000000004">
      <c r="A344">
        <v>343</v>
      </c>
      <c r="B344">
        <f>estuary_data!U343*weights!$C$2</f>
        <v>4.9151179880977461E-2</v>
      </c>
      <c r="C344">
        <f>estuary_data!R343*weights!$C$5</f>
        <v>9.1058486716528178E-2</v>
      </c>
      <c r="D344">
        <f>estuary_data!V343*weights!$C$3</f>
        <v>3.9661652849936141E-2</v>
      </c>
      <c r="E344">
        <f>estuary_data!S343*weights!$C$6</f>
        <v>1.259601427838359E-2</v>
      </c>
      <c r="F344">
        <f>estuary_data!W343*weights!$C$4</f>
        <v>0.12079316677905712</v>
      </c>
      <c r="G344">
        <f>estuary_data!T343*weights!$C$7</f>
        <v>5.1845418519184984E-2</v>
      </c>
      <c r="H344">
        <f>SUM(B344:G344)</f>
        <v>0.36510591902406747</v>
      </c>
      <c r="I344" t="str">
        <f>IF(H344&gt;$L$5/10*9,"1",IF(H344&gt;$L$5/10*8,"2",IF(H344&gt;$L$5/10*7,"3",IF(H344&gt;$L$5/10*6,"4",IF(H344&gt;$L$5/10*5,"5",IF(H344&gt;$L$5/10*4,"6",IF(H344&gt;$L$5/10*3,"7",IF(H344&gt;$L$5/10*2,"8",IF(H344&gt;$L$5/10,"9","10")))))))))</f>
        <v>5</v>
      </c>
    </row>
    <row r="345" spans="1:9" x14ac:dyDescent="0.55000000000000004">
      <c r="A345">
        <v>344</v>
      </c>
      <c r="B345">
        <f>estuary_data!U344*weights!$C$2</f>
        <v>7.5462633991421349E-2</v>
      </c>
      <c r="C345">
        <f>estuary_data!R344*weights!$C$5</f>
        <v>0.11415491141446914</v>
      </c>
      <c r="D345">
        <f>estuary_data!V344*weights!$C$3</f>
        <v>4.4631868280331097E-2</v>
      </c>
      <c r="E345">
        <f>estuary_data!S344*weights!$C$6</f>
        <v>7.6637117522760246E-3</v>
      </c>
      <c r="F345">
        <f>estuary_data!W344*weights!$C$4</f>
        <v>0.15168927759190146</v>
      </c>
      <c r="G345">
        <f>estuary_data!T344*weights!$C$7</f>
        <v>4.3685054573188532E-2</v>
      </c>
      <c r="H345">
        <f>SUM(B345:G345)</f>
        <v>0.43728745760358761</v>
      </c>
      <c r="I345" t="str">
        <f>IF(H345&gt;$L$5/10*9,"1",IF(H345&gt;$L$5/10*8,"2",IF(H345&gt;$L$5/10*7,"3",IF(H345&gt;$L$5/10*6,"4",IF(H345&gt;$L$5/10*5,"5",IF(H345&gt;$L$5/10*4,"6",IF(H345&gt;$L$5/10*3,"7",IF(H345&gt;$L$5/10*2,"8",IF(H345&gt;$L$5/10,"9","10")))))))))</f>
        <v>4</v>
      </c>
    </row>
    <row r="346" spans="1:9" x14ac:dyDescent="0.55000000000000004">
      <c r="A346">
        <v>345</v>
      </c>
      <c r="B346">
        <f>estuary_data!U345*weights!$C$2</f>
        <v>0.10540380997739272</v>
      </c>
      <c r="C346">
        <f>estuary_data!R345*weights!$C$5</f>
        <v>0.11032029078515644</v>
      </c>
      <c r="D346">
        <f>estuary_data!V345*weights!$C$3</f>
        <v>2.2869765506403857E-2</v>
      </c>
      <c r="E346">
        <f>estuary_data!S345*weights!$C$6</f>
        <v>1.1131886309890284E-2</v>
      </c>
      <c r="F346">
        <f>estuary_data!W345*weights!$C$4</f>
        <v>9.5630503977518336E-2</v>
      </c>
      <c r="G346">
        <f>estuary_data!T345*weights!$C$7</f>
        <v>4.0155269527262123E-2</v>
      </c>
      <c r="H346">
        <f>SUM(B346:G346)</f>
        <v>0.38551152608362377</v>
      </c>
      <c r="I346" t="str">
        <f>IF(H346&gt;$L$5/10*9,"1",IF(H346&gt;$L$5/10*8,"2",IF(H346&gt;$L$5/10*7,"3",IF(H346&gt;$L$5/10*6,"4",IF(H346&gt;$L$5/10*5,"5",IF(H346&gt;$L$5/10*4,"6",IF(H346&gt;$L$5/10*3,"7",IF(H346&gt;$L$5/10*2,"8",IF(H346&gt;$L$5/10,"9","10")))))))))</f>
        <v>5</v>
      </c>
    </row>
    <row r="347" spans="1:9" x14ac:dyDescent="0.55000000000000004">
      <c r="A347">
        <v>346</v>
      </c>
      <c r="B347">
        <f>estuary_data!U346*weights!$C$2</f>
        <v>0.11347517172324555</v>
      </c>
      <c r="C347">
        <f>estuary_data!R346*weights!$C$5</f>
        <v>0.10921481784392904</v>
      </c>
      <c r="D347">
        <f>estuary_data!V346*weights!$C$3</f>
        <v>2.5532535253841387E-2</v>
      </c>
      <c r="E347">
        <f>estuary_data!S346*weights!$C$6</f>
        <v>1.029665568587983E-2</v>
      </c>
      <c r="F347">
        <f>estuary_data!W346*weights!$C$4</f>
        <v>0.11300002452641721</v>
      </c>
      <c r="G347">
        <f>estuary_data!T346*weights!$C$7</f>
        <v>4.3592619825613993E-2</v>
      </c>
      <c r="H347">
        <f>SUM(B347:G347)</f>
        <v>0.41511182485892706</v>
      </c>
      <c r="I347" t="str">
        <f>IF(H347&gt;$L$5/10*9,"1",IF(H347&gt;$L$5/10*8,"2",IF(H347&gt;$L$5/10*7,"3",IF(H347&gt;$L$5/10*6,"4",IF(H347&gt;$L$5/10*5,"5",IF(H347&gt;$L$5/10*4,"6",IF(H347&gt;$L$5/10*3,"7",IF(H347&gt;$L$5/10*2,"8",IF(H347&gt;$L$5/10,"9","10")))))))))</f>
        <v>4</v>
      </c>
    </row>
    <row r="348" spans="1:9" x14ac:dyDescent="0.55000000000000004">
      <c r="A348">
        <v>347</v>
      </c>
      <c r="B348">
        <f>estuary_data!U347*weights!$C$2</f>
        <v>0.10182312571895499</v>
      </c>
      <c r="C348">
        <f>estuary_data!R347*weights!$C$5</f>
        <v>0.10917626344450417</v>
      </c>
      <c r="D348">
        <f>estuary_data!V347*weights!$C$3</f>
        <v>2.2214233528873965E-2</v>
      </c>
      <c r="E348">
        <f>estuary_data!S347*weights!$C$6</f>
        <v>1.3155165032027653E-2</v>
      </c>
      <c r="F348">
        <f>estuary_data!W347*weights!$C$4</f>
        <v>0.1071519828791396</v>
      </c>
      <c r="G348">
        <f>estuary_data!T347*weights!$C$7</f>
        <v>4.1164209529327783E-2</v>
      </c>
      <c r="H348">
        <f>SUM(B348:G348)</f>
        <v>0.39468498013282816</v>
      </c>
      <c r="I348" t="str">
        <f>IF(H348&gt;$L$5/10*9,"1",IF(H348&gt;$L$5/10*8,"2",IF(H348&gt;$L$5/10*7,"3",IF(H348&gt;$L$5/10*6,"4",IF(H348&gt;$L$5/10*5,"5",IF(H348&gt;$L$5/10*4,"6",IF(H348&gt;$L$5/10*3,"7",IF(H348&gt;$L$5/10*2,"8",IF(H348&gt;$L$5/10,"9","10")))))))))</f>
        <v>5</v>
      </c>
    </row>
    <row r="349" spans="1:9" x14ac:dyDescent="0.55000000000000004">
      <c r="A349">
        <v>348</v>
      </c>
      <c r="B349">
        <f>estuary_data!U348*weights!$C$2</f>
        <v>9.1651187170618847E-2</v>
      </c>
      <c r="C349">
        <f>estuary_data!R348*weights!$C$5</f>
        <v>0.11047482979346893</v>
      </c>
      <c r="D349">
        <f>estuary_data!V348*weights!$C$3</f>
        <v>2.3035989843828434E-2</v>
      </c>
      <c r="E349">
        <f>estuary_data!S348*weights!$C$6</f>
        <v>5.7230886826137063E-3</v>
      </c>
      <c r="F349">
        <f>estuary_data!W348*weights!$C$4</f>
        <v>0.11177566820981051</v>
      </c>
      <c r="G349">
        <f>estuary_data!T348*weights!$C$7</f>
        <v>5.3591304900274618E-2</v>
      </c>
      <c r="H349">
        <f>SUM(B349:G349)</f>
        <v>0.39625206860061507</v>
      </c>
      <c r="I349" t="str">
        <f>IF(H349&gt;$L$5/10*9,"1",IF(H349&gt;$L$5/10*8,"2",IF(H349&gt;$L$5/10*7,"3",IF(H349&gt;$L$5/10*6,"4",IF(H349&gt;$L$5/10*5,"5",IF(H349&gt;$L$5/10*4,"6",IF(H349&gt;$L$5/10*3,"7",IF(H349&gt;$L$5/10*2,"8",IF(H349&gt;$L$5/10,"9","10")))))))))</f>
        <v>5</v>
      </c>
    </row>
    <row r="350" spans="1:9" x14ac:dyDescent="0.55000000000000004">
      <c r="A350">
        <v>349</v>
      </c>
      <c r="B350">
        <f>estuary_data!U349*weights!$C$2</f>
        <v>9.2954343738717526E-2</v>
      </c>
      <c r="C350">
        <f>estuary_data!R349*weights!$C$5</f>
        <v>0.11076776457942521</v>
      </c>
      <c r="D350">
        <f>estuary_data!V349*weights!$C$3</f>
        <v>2.3070634599325738E-2</v>
      </c>
      <c r="E350">
        <f>estuary_data!S349*weights!$C$6</f>
        <v>5.6548957372823637E-3</v>
      </c>
      <c r="F350">
        <f>estuary_data!W349*weights!$C$4</f>
        <v>0.10934525819262488</v>
      </c>
      <c r="G350">
        <f>estuary_data!T349*weights!$C$7</f>
        <v>5.3948012317844095E-2</v>
      </c>
      <c r="H350">
        <f>SUM(B350:G350)</f>
        <v>0.39574090916521981</v>
      </c>
      <c r="I350" t="str">
        <f>IF(H350&gt;$L$5/10*9,"1",IF(H350&gt;$L$5/10*8,"2",IF(H350&gt;$L$5/10*7,"3",IF(H350&gt;$L$5/10*6,"4",IF(H350&gt;$L$5/10*5,"5",IF(H350&gt;$L$5/10*4,"6",IF(H350&gt;$L$5/10*3,"7",IF(H350&gt;$L$5/10*2,"8",IF(H350&gt;$L$5/10,"9","10")))))))))</f>
        <v>5</v>
      </c>
    </row>
    <row r="351" spans="1:9" x14ac:dyDescent="0.55000000000000004">
      <c r="A351">
        <v>350</v>
      </c>
      <c r="B351">
        <f>estuary_data!U350*weights!$C$2</f>
        <v>8.1298625234940206E-2</v>
      </c>
      <c r="C351">
        <f>estuary_data!R350*weights!$C$5</f>
        <v>0.10382236950004274</v>
      </c>
      <c r="D351">
        <f>estuary_data!V350*weights!$C$3</f>
        <v>2.5266679893891517E-2</v>
      </c>
      <c r="E351">
        <f>estuary_data!S350*weights!$C$6</f>
        <v>5.8654144255857535E-3</v>
      </c>
      <c r="F351">
        <f>estuary_data!W350*weights!$C$4</f>
        <v>8.7326321321379893E-2</v>
      </c>
      <c r="G351">
        <f>estuary_data!T350*weights!$C$7</f>
        <v>5.1778961704363094E-2</v>
      </c>
      <c r="H351">
        <f>SUM(B351:G351)</f>
        <v>0.35535837208020321</v>
      </c>
      <c r="I351" t="str">
        <f>IF(H351&gt;$L$5/10*9,"1",IF(H351&gt;$L$5/10*8,"2",IF(H351&gt;$L$5/10*7,"3",IF(H351&gt;$L$5/10*6,"4",IF(H351&gt;$L$5/10*5,"5",IF(H351&gt;$L$5/10*4,"6",IF(H351&gt;$L$5/10*3,"7",IF(H351&gt;$L$5/10*2,"8",IF(H351&gt;$L$5/10,"9","10")))))))))</f>
        <v>5</v>
      </c>
    </row>
    <row r="352" spans="1:9" x14ac:dyDescent="0.55000000000000004">
      <c r="A352">
        <v>351</v>
      </c>
      <c r="B352">
        <f>estuary_data!U351*weights!$C$2</f>
        <v>7.8548578630822832E-2</v>
      </c>
      <c r="C352">
        <f>estuary_data!R351*weights!$C$5</f>
        <v>0.11482960860803561</v>
      </c>
      <c r="D352">
        <f>estuary_data!V351*weights!$C$3</f>
        <v>2.3764515100657264E-2</v>
      </c>
      <c r="E352">
        <f>estuary_data!S351*weights!$C$6</f>
        <v>1.1732928123974633E-2</v>
      </c>
      <c r="F352">
        <f>estuary_data!W351*weights!$C$4</f>
        <v>0.10717135163224102</v>
      </c>
      <c r="G352">
        <f>estuary_data!T351*weights!$C$7</f>
        <v>4.4527342915476817E-2</v>
      </c>
      <c r="H352">
        <f>SUM(B352:G352)</f>
        <v>0.38057432501120819</v>
      </c>
      <c r="I352" t="str">
        <f>IF(H352&gt;$L$5/10*9,"1",IF(H352&gt;$L$5/10*8,"2",IF(H352&gt;$L$5/10*7,"3",IF(H352&gt;$L$5/10*6,"4",IF(H352&gt;$L$5/10*5,"5",IF(H352&gt;$L$5/10*4,"6",IF(H352&gt;$L$5/10*3,"7",IF(H352&gt;$L$5/10*2,"8",IF(H352&gt;$L$5/10,"9","10")))))))))</f>
        <v>5</v>
      </c>
    </row>
    <row r="353" spans="1:9" x14ac:dyDescent="0.55000000000000004">
      <c r="A353">
        <v>352</v>
      </c>
      <c r="B353">
        <f>estuary_data!U352*weights!$C$2</f>
        <v>5.5018992342703667E-2</v>
      </c>
      <c r="C353">
        <f>estuary_data!R352*weights!$C$5</f>
        <v>0.10970290335656148</v>
      </c>
      <c r="D353">
        <f>estuary_data!V352*weights!$C$3</f>
        <v>2.3144320895928827E-2</v>
      </c>
      <c r="E353">
        <f>estuary_data!S352*weights!$C$6</f>
        <v>4.5801176293386106E-3</v>
      </c>
      <c r="F353">
        <f>estuary_data!W352*weights!$C$4</f>
        <v>5.6265708628965794E-2</v>
      </c>
      <c r="G353">
        <f>estuary_data!T352*weights!$C$7</f>
        <v>7.0927593824873972E-2</v>
      </c>
      <c r="H353">
        <f>SUM(B353:G353)</f>
        <v>0.31963963667837236</v>
      </c>
      <c r="I353" t="str">
        <f>IF(H353&gt;$L$5/10*9,"1",IF(H353&gt;$L$5/10*8,"2",IF(H353&gt;$L$5/10*7,"3",IF(H353&gt;$L$5/10*6,"4",IF(H353&gt;$L$5/10*5,"5",IF(H353&gt;$L$5/10*4,"6",IF(H353&gt;$L$5/10*3,"7",IF(H353&gt;$L$5/10*2,"8",IF(H353&gt;$L$5/10,"9","10")))))))))</f>
        <v>6</v>
      </c>
    </row>
    <row r="354" spans="1:9" x14ac:dyDescent="0.55000000000000004">
      <c r="A354">
        <v>353</v>
      </c>
      <c r="B354">
        <f>estuary_data!U353*weights!$C$2</f>
        <v>8.0275708528003975E-2</v>
      </c>
      <c r="C354">
        <f>estuary_data!R353*weights!$C$5</f>
        <v>0.11590687081593333</v>
      </c>
      <c r="D354">
        <f>estuary_data!V353*weights!$C$3</f>
        <v>2.6115757351341515E-2</v>
      </c>
      <c r="E354">
        <f>estuary_data!S353*weights!$C$6</f>
        <v>1.1087593410333451E-2</v>
      </c>
      <c r="F354">
        <f>estuary_data!W353*weights!$C$4</f>
        <v>0.13071605542532058</v>
      </c>
      <c r="G354">
        <f>estuary_data!T353*weights!$C$7</f>
        <v>4.3045585866532537E-2</v>
      </c>
      <c r="H354">
        <f>SUM(B354:G354)</f>
        <v>0.40714757139746538</v>
      </c>
      <c r="I354" t="str">
        <f>IF(H354&gt;$L$5/10*9,"1",IF(H354&gt;$L$5/10*8,"2",IF(H354&gt;$L$5/10*7,"3",IF(H354&gt;$L$5/10*6,"4",IF(H354&gt;$L$5/10*5,"5",IF(H354&gt;$L$5/10*4,"6",IF(H354&gt;$L$5/10*3,"7",IF(H354&gt;$L$5/10*2,"8",IF(H354&gt;$L$5/10,"9","10")))))))))</f>
        <v>4</v>
      </c>
    </row>
    <row r="355" spans="1:9" x14ac:dyDescent="0.55000000000000004">
      <c r="A355">
        <v>354</v>
      </c>
      <c r="B355">
        <f>estuary_data!U354*weights!$C$2</f>
        <v>9.6719991008538592E-2</v>
      </c>
      <c r="C355">
        <f>estuary_data!R354*weights!$C$5</f>
        <v>0.11549943888828068</v>
      </c>
      <c r="D355">
        <f>estuary_data!V354*weights!$C$3</f>
        <v>2.5892719325962543E-2</v>
      </c>
      <c r="E355">
        <f>estuary_data!S354*weights!$C$6</f>
        <v>1.314101273319707E-2</v>
      </c>
      <c r="F355">
        <f>estuary_data!W354*weights!$C$4</f>
        <v>0.13937245685611058</v>
      </c>
      <c r="G355">
        <f>estuary_data!T354*weights!$C$7</f>
        <v>3.9616836998915432E-2</v>
      </c>
      <c r="H355">
        <f>SUM(B355:G355)</f>
        <v>0.4302424558110049</v>
      </c>
      <c r="I355" t="str">
        <f>IF(H355&gt;$L$5/10*9,"1",IF(H355&gt;$L$5/10*8,"2",IF(H355&gt;$L$5/10*7,"3",IF(H355&gt;$L$5/10*6,"4",IF(H355&gt;$L$5/10*5,"5",IF(H355&gt;$L$5/10*4,"6",IF(H355&gt;$L$5/10*3,"7",IF(H355&gt;$L$5/10*2,"8",IF(H355&gt;$L$5/10,"9","10")))))))))</f>
        <v>4</v>
      </c>
    </row>
    <row r="356" spans="1:9" x14ac:dyDescent="0.55000000000000004">
      <c r="A356">
        <v>355</v>
      </c>
      <c r="B356">
        <f>estuary_data!U355*weights!$C$2</f>
        <v>8.9696206252432853E-2</v>
      </c>
      <c r="C356">
        <f>estuary_data!R355*weights!$C$5</f>
        <v>0.113500846691255</v>
      </c>
      <c r="D356">
        <f>estuary_data!V355*weights!$C$3</f>
        <v>1.9949824715775229E-2</v>
      </c>
      <c r="E356">
        <f>estuary_data!S355*weights!$C$6</f>
        <v>1.4871084639290317E-2</v>
      </c>
      <c r="F356">
        <f>estuary_data!W355*weights!$C$4</f>
        <v>0.11054644853721791</v>
      </c>
      <c r="G356">
        <f>estuary_data!T355*weights!$C$7</f>
        <v>3.7364988504569027E-2</v>
      </c>
      <c r="H356">
        <f>SUM(B356:G356)</f>
        <v>0.38592939934054032</v>
      </c>
      <c r="I356" t="str">
        <f>IF(H356&gt;$L$5/10*9,"1",IF(H356&gt;$L$5/10*8,"2",IF(H356&gt;$L$5/10*7,"3",IF(H356&gt;$L$5/10*6,"4",IF(H356&gt;$L$5/10*5,"5",IF(H356&gt;$L$5/10*4,"6",IF(H356&gt;$L$5/10*3,"7",IF(H356&gt;$L$5/10*2,"8",IF(H356&gt;$L$5/10,"9","10")))))))))</f>
        <v>5</v>
      </c>
    </row>
    <row r="357" spans="1:9" x14ac:dyDescent="0.55000000000000004">
      <c r="A357">
        <v>356</v>
      </c>
      <c r="B357">
        <f>estuary_data!U356*weights!$C$2</f>
        <v>8.8861221796937936E-2</v>
      </c>
      <c r="C357">
        <f>estuary_data!R356*weights!$C$5</f>
        <v>0.10762904039394657</v>
      </c>
      <c r="D357">
        <f>estuary_data!V356*weights!$C$3</f>
        <v>1.6268668157945868E-2</v>
      </c>
      <c r="E357">
        <f>estuary_data!S356*weights!$C$6</f>
        <v>1.954056556488093E-3</v>
      </c>
      <c r="F357">
        <f>estuary_data!W356*weights!$C$4</f>
        <v>7.9039416138002153E-2</v>
      </c>
      <c r="G357">
        <f>estuary_data!T356*weights!$C$7</f>
        <v>6.1987165182699491E-2</v>
      </c>
      <c r="H357">
        <f>SUM(B357:G357)</f>
        <v>0.3557395682260201</v>
      </c>
      <c r="I357" t="str">
        <f>IF(H357&gt;$L$5/10*9,"1",IF(H357&gt;$L$5/10*8,"2",IF(H357&gt;$L$5/10*7,"3",IF(H357&gt;$L$5/10*6,"4",IF(H357&gt;$L$5/10*5,"5",IF(H357&gt;$L$5/10*4,"6",IF(H357&gt;$L$5/10*3,"7",IF(H357&gt;$L$5/10*2,"8",IF(H357&gt;$L$5/10,"9","10")))))))))</f>
        <v>5</v>
      </c>
    </row>
    <row r="358" spans="1:9" x14ac:dyDescent="0.55000000000000004">
      <c r="A358">
        <v>357</v>
      </c>
      <c r="B358">
        <f>estuary_data!U357*weights!$C$2</f>
        <v>8.7001170534683633E-2</v>
      </c>
      <c r="C358">
        <f>estuary_data!R357*weights!$C$5</f>
        <v>0.110240127399864</v>
      </c>
      <c r="D358">
        <f>estuary_data!V357*weights!$C$3</f>
        <v>1.6800254802581592E-2</v>
      </c>
      <c r="E358">
        <f>estuary_data!S357*weights!$C$6</f>
        <v>3.0259390846269067E-3</v>
      </c>
      <c r="F358">
        <f>estuary_data!W357*weights!$C$4</f>
        <v>9.2841842388233314E-2</v>
      </c>
      <c r="G358">
        <f>estuary_data!T357*weights!$C$7</f>
        <v>5.4753773484195987E-2</v>
      </c>
      <c r="H358">
        <f>SUM(B358:G358)</f>
        <v>0.36466310769418542</v>
      </c>
      <c r="I358" t="str">
        <f>IF(H358&gt;$L$5/10*9,"1",IF(H358&gt;$L$5/10*8,"2",IF(H358&gt;$L$5/10*7,"3",IF(H358&gt;$L$5/10*6,"4",IF(H358&gt;$L$5/10*5,"5",IF(H358&gt;$L$5/10*4,"6",IF(H358&gt;$L$5/10*3,"7",IF(H358&gt;$L$5/10*2,"8",IF(H358&gt;$L$5/10,"9","10")))))))))</f>
        <v>5</v>
      </c>
    </row>
    <row r="359" spans="1:9" x14ac:dyDescent="0.55000000000000004">
      <c r="A359">
        <v>358</v>
      </c>
      <c r="B359">
        <f>estuary_data!U358*weights!$C$2</f>
        <v>8.2954984505982543E-2</v>
      </c>
      <c r="C359">
        <f>estuary_data!R358*weights!$C$5</f>
        <v>0.10850322595627779</v>
      </c>
      <c r="D359">
        <f>estuary_data!V358*weights!$C$3</f>
        <v>1.6719736722785181E-2</v>
      </c>
      <c r="E359">
        <f>estuary_data!S358*weights!$C$6</f>
        <v>2.4070407819421521E-3</v>
      </c>
      <c r="F359">
        <f>estuary_data!W358*weights!$C$4</f>
        <v>8.9204447142145635E-2</v>
      </c>
      <c r="G359">
        <f>estuary_data!T358*weights!$C$7</f>
        <v>5.4610102936262499E-2</v>
      </c>
      <c r="H359">
        <f>SUM(B359:G359)</f>
        <v>0.35439953804539581</v>
      </c>
      <c r="I359" t="str">
        <f>IF(H359&gt;$L$5/10*9,"1",IF(H359&gt;$L$5/10*8,"2",IF(H359&gt;$L$5/10*7,"3",IF(H359&gt;$L$5/10*6,"4",IF(H359&gt;$L$5/10*5,"5",IF(H359&gt;$L$5/10*4,"6",IF(H359&gt;$L$5/10*3,"7",IF(H359&gt;$L$5/10*2,"8",IF(H359&gt;$L$5/10,"9","10")))))))))</f>
        <v>5</v>
      </c>
    </row>
    <row r="360" spans="1:9" x14ac:dyDescent="0.55000000000000004">
      <c r="A360">
        <v>359</v>
      </c>
      <c r="B360">
        <f>estuary_data!U359*weights!$C$2</f>
        <v>7.6914549167440227E-2</v>
      </c>
      <c r="C360">
        <f>estuary_data!R359*weights!$C$5</f>
        <v>0.10643009796984339</v>
      </c>
      <c r="D360">
        <f>estuary_data!V359*weights!$C$3</f>
        <v>1.5221991489412279E-2</v>
      </c>
      <c r="E360">
        <f>estuary_data!S359*weights!$C$6</f>
        <v>2.8533483215195214E-3</v>
      </c>
      <c r="F360">
        <f>estuary_data!W359*weights!$C$4</f>
        <v>8.0536291371243046E-2</v>
      </c>
      <c r="G360">
        <f>estuary_data!T359*weights!$C$7</f>
        <v>6.1454818088429237E-2</v>
      </c>
      <c r="H360">
        <f>SUM(B360:G360)</f>
        <v>0.34341109640788769</v>
      </c>
      <c r="I360" t="str">
        <f>IF(H360&gt;$L$5/10*9,"1",IF(H360&gt;$L$5/10*8,"2",IF(H360&gt;$L$5/10*7,"3",IF(H360&gt;$L$5/10*6,"4",IF(H360&gt;$L$5/10*5,"5",IF(H360&gt;$L$5/10*4,"6",IF(H360&gt;$L$5/10*3,"7",IF(H360&gt;$L$5/10*2,"8",IF(H360&gt;$L$5/10,"9","10")))))))))</f>
        <v>5</v>
      </c>
    </row>
    <row r="361" spans="1:9" x14ac:dyDescent="0.55000000000000004">
      <c r="A361">
        <v>360</v>
      </c>
      <c r="B361">
        <f>estuary_data!U360*weights!$C$2</f>
        <v>7.7220596655995302E-2</v>
      </c>
      <c r="C361">
        <f>estuary_data!R360*weights!$C$5</f>
        <v>0.1003425043797309</v>
      </c>
      <c r="D361">
        <f>estuary_data!V360*weights!$C$3</f>
        <v>1.9852973589016502E-2</v>
      </c>
      <c r="E361">
        <f>estuary_data!S360*weights!$C$6</f>
        <v>6.6410328969416701E-3</v>
      </c>
      <c r="F361">
        <f>estuary_data!W360*weights!$C$4</f>
        <v>9.993684836117539E-2</v>
      </c>
      <c r="G361">
        <f>estuary_data!T360*weights!$C$7</f>
        <v>6.2347889217790511E-2</v>
      </c>
      <c r="H361">
        <f>SUM(B361:G361)</f>
        <v>0.36634184510065027</v>
      </c>
      <c r="I361" t="str">
        <f>IF(H361&gt;$L$5/10*9,"1",IF(H361&gt;$L$5/10*8,"2",IF(H361&gt;$L$5/10*7,"3",IF(H361&gt;$L$5/10*6,"4",IF(H361&gt;$L$5/10*5,"5",IF(H361&gt;$L$5/10*4,"6",IF(H361&gt;$L$5/10*3,"7",IF(H361&gt;$L$5/10*2,"8",IF(H361&gt;$L$5/10,"9","10")))))))))</f>
        <v>5</v>
      </c>
    </row>
    <row r="362" spans="1:9" x14ac:dyDescent="0.55000000000000004">
      <c r="A362">
        <v>361</v>
      </c>
      <c r="B362">
        <f>estuary_data!U361*weights!$C$2</f>
        <v>9.3180022331038656E-2</v>
      </c>
      <c r="C362">
        <f>estuary_data!R361*weights!$C$5</f>
        <v>0.10300541275721997</v>
      </c>
      <c r="D362">
        <f>estuary_data!V361*weights!$C$3</f>
        <v>2.2707167720548545E-2</v>
      </c>
      <c r="E362">
        <f>estuary_data!S361*weights!$C$6</f>
        <v>5.2079352749019843E-3</v>
      </c>
      <c r="F362">
        <f>estuary_data!W361*weights!$C$4</f>
        <v>0.1224832173443494</v>
      </c>
      <c r="G362">
        <f>estuary_data!T361*weights!$C$7</f>
        <v>6.2513489848162296E-2</v>
      </c>
      <c r="H362">
        <f>SUM(B362:G362)</f>
        <v>0.40909724527622088</v>
      </c>
      <c r="I362" t="str">
        <f>IF(H362&gt;$L$5/10*9,"1",IF(H362&gt;$L$5/10*8,"2",IF(H362&gt;$L$5/10*7,"3",IF(H362&gt;$L$5/10*6,"4",IF(H362&gt;$L$5/10*5,"5",IF(H362&gt;$L$5/10*4,"6",IF(H362&gt;$L$5/10*3,"7",IF(H362&gt;$L$5/10*2,"8",IF(H362&gt;$L$5/10,"9","10")))))))))</f>
        <v>4</v>
      </c>
    </row>
    <row r="363" spans="1:9" x14ac:dyDescent="0.55000000000000004">
      <c r="A363">
        <v>362</v>
      </c>
      <c r="B363">
        <f>estuary_data!U362*weights!$C$2</f>
        <v>5.955641510058101E-2</v>
      </c>
      <c r="C363">
        <f>estuary_data!R362*weights!$C$5</f>
        <v>6.0814549082406855E-2</v>
      </c>
      <c r="D363">
        <f>estuary_data!V362*weights!$C$3</f>
        <v>3.8654742669300003E-2</v>
      </c>
      <c r="E363">
        <f>estuary_data!S362*weights!$C$6</f>
        <v>5.6370847951623552E-2</v>
      </c>
      <c r="F363">
        <f>estuary_data!W362*weights!$C$4</f>
        <v>0.13955628560056627</v>
      </c>
      <c r="G363">
        <f>estuary_data!T362*weights!$C$7</f>
        <v>5.7562841066154204E-2</v>
      </c>
      <c r="H363">
        <f>SUM(B363:G363)</f>
        <v>0.41251568147063195</v>
      </c>
      <c r="I363" t="str">
        <f>IF(H363&gt;$L$5/10*9,"1",IF(H363&gt;$L$5/10*8,"2",IF(H363&gt;$L$5/10*7,"3",IF(H363&gt;$L$5/10*6,"4",IF(H363&gt;$L$5/10*5,"5",IF(H363&gt;$L$5/10*4,"6",IF(H363&gt;$L$5/10*3,"7",IF(H363&gt;$L$5/10*2,"8",IF(H363&gt;$L$5/10,"9","10")))))))))</f>
        <v>4</v>
      </c>
    </row>
    <row r="364" spans="1:9" x14ac:dyDescent="0.55000000000000004">
      <c r="A364">
        <v>363</v>
      </c>
      <c r="B364">
        <f>estuary_data!U363*weights!$C$2</f>
        <v>8.2911390695030576E-2</v>
      </c>
      <c r="C364">
        <f>estuary_data!R363*weights!$C$5</f>
        <v>9.9593162535347682E-2</v>
      </c>
      <c r="D364">
        <f>estuary_data!V363*weights!$C$3</f>
        <v>3.8286127241831856E-2</v>
      </c>
      <c r="E364">
        <f>estuary_data!S363*weights!$C$6</f>
        <v>5.9607086932305193E-3</v>
      </c>
      <c r="F364">
        <f>estuary_data!W363*weights!$C$4</f>
        <v>0.17858632076531269</v>
      </c>
      <c r="G364">
        <f>estuary_data!T363*weights!$C$7</f>
        <v>6.0206189895777869E-2</v>
      </c>
      <c r="H364">
        <f>SUM(B364:G364)</f>
        <v>0.46554389982653122</v>
      </c>
      <c r="I364" t="str">
        <f>IF(H364&gt;$L$5/10*9,"1",IF(H364&gt;$L$5/10*8,"2",IF(H364&gt;$L$5/10*7,"3",IF(H364&gt;$L$5/10*6,"4",IF(H364&gt;$L$5/10*5,"5",IF(H364&gt;$L$5/10*4,"6",IF(H364&gt;$L$5/10*3,"7",IF(H364&gt;$L$5/10*2,"8",IF(H364&gt;$L$5/10,"9","10")))))))))</f>
        <v>3</v>
      </c>
    </row>
    <row r="365" spans="1:9" x14ac:dyDescent="0.55000000000000004">
      <c r="A365">
        <v>364</v>
      </c>
      <c r="B365">
        <f>estuary_data!U364*weights!$C$2</f>
        <v>8.6647159307681881E-2</v>
      </c>
      <c r="C365">
        <f>estuary_data!R364*weights!$C$5</f>
        <v>9.6991663740466291E-2</v>
      </c>
      <c r="D365">
        <f>estuary_data!V364*weights!$C$3</f>
        <v>3.1451922617644512E-2</v>
      </c>
      <c r="E365">
        <f>estuary_data!S364*weights!$C$6</f>
        <v>6.7805940365415381E-3</v>
      </c>
      <c r="F365">
        <f>estuary_data!W364*weights!$C$4</f>
        <v>0.15176177938492355</v>
      </c>
      <c r="G365">
        <f>estuary_data!T364*weights!$C$7</f>
        <v>6.0848640116977756E-2</v>
      </c>
      <c r="H365">
        <f>SUM(B365:G365)</f>
        <v>0.43448175920423554</v>
      </c>
      <c r="I365" t="str">
        <f>IF(H365&gt;$L$5/10*9,"1",IF(H365&gt;$L$5/10*8,"2",IF(H365&gt;$L$5/10*7,"3",IF(H365&gt;$L$5/10*6,"4",IF(H365&gt;$L$5/10*5,"5",IF(H365&gt;$L$5/10*4,"6",IF(H365&gt;$L$5/10*3,"7",IF(H365&gt;$L$5/10*2,"8",IF(H365&gt;$L$5/10,"9","10")))))))))</f>
        <v>4</v>
      </c>
    </row>
    <row r="366" spans="1:9" x14ac:dyDescent="0.55000000000000004">
      <c r="A366">
        <v>365</v>
      </c>
      <c r="B366">
        <f>estuary_data!U365*weights!$C$2</f>
        <v>7.9889877278983723E-2</v>
      </c>
      <c r="C366">
        <f>estuary_data!R365*weights!$C$5</f>
        <v>9.032990635943329E-2</v>
      </c>
      <c r="D366">
        <f>estuary_data!V365*weights!$C$3</f>
        <v>4.6297467367207329E-2</v>
      </c>
      <c r="E366">
        <f>estuary_data!S365*weights!$C$6</f>
        <v>3.338342883666585E-3</v>
      </c>
      <c r="F366">
        <f>estuary_data!W365*weights!$C$4</f>
        <v>0.21390124865283733</v>
      </c>
      <c r="G366">
        <f>estuary_data!T365*weights!$C$7</f>
        <v>5.1554910555928618E-2</v>
      </c>
      <c r="H366">
        <f>SUM(B366:G366)</f>
        <v>0.48531175309805685</v>
      </c>
      <c r="I366" t="str">
        <f>IF(H366&gt;$L$5/10*9,"1",IF(H366&gt;$L$5/10*8,"2",IF(H366&gt;$L$5/10*7,"3",IF(H366&gt;$L$5/10*6,"4",IF(H366&gt;$L$5/10*5,"5",IF(H366&gt;$L$5/10*4,"6",IF(H366&gt;$L$5/10*3,"7",IF(H366&gt;$L$5/10*2,"8",IF(H366&gt;$L$5/10,"9","10")))))))))</f>
        <v>3</v>
      </c>
    </row>
    <row r="367" spans="1:9" x14ac:dyDescent="0.55000000000000004">
      <c r="A367">
        <v>366</v>
      </c>
      <c r="B367">
        <f>estuary_data!U366*weights!$C$2</f>
        <v>7.6968090037253009E-2</v>
      </c>
      <c r="C367">
        <f>estuary_data!R366*weights!$C$5</f>
        <v>9.4569407086429483E-2</v>
      </c>
      <c r="D367">
        <f>estuary_data!V366*weights!$C$3</f>
        <v>2.1578981598019638E-2</v>
      </c>
      <c r="E367">
        <f>estuary_data!S366*weights!$C$6</f>
        <v>6.5822998502299088E-3</v>
      </c>
      <c r="F367">
        <f>estuary_data!W366*weights!$C$4</f>
        <v>0.10157000101547349</v>
      </c>
      <c r="G367">
        <f>estuary_data!T366*weights!$C$7</f>
        <v>5.7078193335944369E-2</v>
      </c>
      <c r="H367">
        <f>SUM(B367:G367)</f>
        <v>0.35834697292334988</v>
      </c>
      <c r="I367" t="str">
        <f>IF(H367&gt;$L$5/10*9,"1",IF(H367&gt;$L$5/10*8,"2",IF(H367&gt;$L$5/10*7,"3",IF(H367&gt;$L$5/10*6,"4",IF(H367&gt;$L$5/10*5,"5",IF(H367&gt;$L$5/10*4,"6",IF(H367&gt;$L$5/10*3,"7",IF(H367&gt;$L$5/10*2,"8",IF(H367&gt;$L$5/10,"9","10")))))))))</f>
        <v>5</v>
      </c>
    </row>
    <row r="368" spans="1:9" x14ac:dyDescent="0.55000000000000004">
      <c r="A368">
        <v>367</v>
      </c>
      <c r="B368">
        <f>estuary_data!U749*weights!$C$2</f>
        <v>2.171517770914877E-2</v>
      </c>
      <c r="C368">
        <f>estuary_data!R749*weights!$C$5</f>
        <v>9.1937960518165274E-2</v>
      </c>
      <c r="D368">
        <f>estuary_data!V749*weights!$C$3</f>
        <v>3.1778183540686927E-2</v>
      </c>
      <c r="E368">
        <f>estuary_data!S749*weights!$C$6</f>
        <v>4.7654446958758617E-2</v>
      </c>
      <c r="F368">
        <f>estuary_data!W749*weights!$C$4</f>
        <v>0.14384162296959604</v>
      </c>
      <c r="G368">
        <f>estuary_data!T749*weights!$C$7</f>
        <v>6.7027731578842148E-2</v>
      </c>
      <c r="H368">
        <f>SUM(B368:G368)</f>
        <v>0.40395512327519778</v>
      </c>
      <c r="I368" t="str">
        <f>IF(H368&gt;$L$5/10*9,"1",IF(H368&gt;$L$5/10*8,"2",IF(H368&gt;$L$5/10*7,"3",IF(H368&gt;$L$5/10*6,"4",IF(H368&gt;$L$5/10*5,"5",IF(H368&gt;$L$5/10*4,"6",IF(H368&gt;$L$5/10*3,"7",IF(H368&gt;$L$5/10*2,"8",IF(H368&gt;$L$5/10,"9","10")))))))))</f>
        <v>4</v>
      </c>
    </row>
    <row r="369" spans="1:9" x14ac:dyDescent="0.55000000000000004">
      <c r="A369">
        <v>368</v>
      </c>
      <c r="B369">
        <f>estuary_data!U367*weights!$C$2</f>
        <v>8.447879323053091E-2</v>
      </c>
      <c r="C369">
        <f>estuary_data!R367*weights!$C$5</f>
        <v>9.1341059836532609E-2</v>
      </c>
      <c r="D369">
        <f>estuary_data!V367*weights!$C$3</f>
        <v>4.7299716327854777E-2</v>
      </c>
      <c r="E369">
        <f>estuary_data!S367*weights!$C$6</f>
        <v>5.3803066807357487E-3</v>
      </c>
      <c r="F369">
        <f>estuary_data!W367*weights!$C$4</f>
        <v>0.21928136002568921</v>
      </c>
      <c r="G369">
        <f>estuary_data!T367*weights!$C$7</f>
        <v>5.381043223338574E-2</v>
      </c>
      <c r="H369">
        <f>SUM(B369:G369)</f>
        <v>0.50159166833472901</v>
      </c>
      <c r="I369" t="str">
        <f>IF(H369&gt;$L$5/10*9,"1",IF(H369&gt;$L$5/10*8,"2",IF(H369&gt;$L$5/10*7,"3",IF(H369&gt;$L$5/10*6,"4",IF(H369&gt;$L$5/10*5,"5",IF(H369&gt;$L$5/10*4,"6",IF(H369&gt;$L$5/10*3,"7",IF(H369&gt;$L$5/10*2,"8",IF(H369&gt;$L$5/10,"9","10")))))))))</f>
        <v>3</v>
      </c>
    </row>
    <row r="370" spans="1:9" x14ac:dyDescent="0.55000000000000004">
      <c r="A370">
        <v>369</v>
      </c>
      <c r="B370" t="e">
        <f>estuary_data!U368*weights!$C$2</f>
        <v>#VALUE!</v>
      </c>
      <c r="C370" t="e">
        <f>estuary_data!R368*weights!$C$5</f>
        <v>#VALUE!</v>
      </c>
      <c r="D370" t="e">
        <f>estuary_data!V368*weights!$C$3</f>
        <v>#VALUE!</v>
      </c>
      <c r="E370" t="e">
        <f>estuary_data!S368*weights!$C$6</f>
        <v>#VALUE!</v>
      </c>
      <c r="F370" t="e">
        <f>estuary_data!W368*weights!$C$4</f>
        <v>#VALUE!</v>
      </c>
      <c r="G370" t="e">
        <f>estuary_data!T368*weights!$C$7</f>
        <v>#VALUE!</v>
      </c>
      <c r="H370" t="e">
        <f>SUM(B370:G370)</f>
        <v>#VALUE!</v>
      </c>
      <c r="I370" t="e">
        <f>IF(H370&gt;$L$5/10*9,"1",IF(H370&gt;$L$5/10*8,"2",IF(H370&gt;$L$5/10*7,"3",IF(H370&gt;$L$5/10*6,"4",IF(H370&gt;$L$5/10*5,"5",IF(H370&gt;$L$5/10*4,"6",IF(H370&gt;$L$5/10*3,"7",IF(H370&gt;$L$5/10*2,"8",IF(H370&gt;$L$5/10,"9","10")))))))))</f>
        <v>#VALUE!</v>
      </c>
    </row>
    <row r="371" spans="1:9" x14ac:dyDescent="0.55000000000000004">
      <c r="A371">
        <v>370</v>
      </c>
      <c r="B371">
        <f>estuary_data!U369*weights!$C$2</f>
        <v>7.4952733424873824E-2</v>
      </c>
      <c r="C371">
        <f>estuary_data!R369*weights!$C$5</f>
        <v>9.4587292692438318E-2</v>
      </c>
      <c r="D371">
        <f>estuary_data!V369*weights!$C$3</f>
        <v>1.7857020226258222E-2</v>
      </c>
      <c r="E371">
        <f>estuary_data!S369*weights!$C$6</f>
        <v>7.7351151375753798E-3</v>
      </c>
      <c r="F371">
        <f>estuary_data!W369*weights!$C$4</f>
        <v>8.3789396972687294E-2</v>
      </c>
      <c r="G371">
        <f>estuary_data!T369*weights!$C$7</f>
        <v>5.7030610463311551E-2</v>
      </c>
      <c r="H371">
        <f>SUM(B371:G371)</f>
        <v>0.33595216891714458</v>
      </c>
      <c r="I371" t="str">
        <f>IF(H371&gt;$L$5/10*9,"1",IF(H371&gt;$L$5/10*8,"2",IF(H371&gt;$L$5/10*7,"3",IF(H371&gt;$L$5/10*6,"4",IF(H371&gt;$L$5/10*5,"5",IF(H371&gt;$L$5/10*4,"6",IF(H371&gt;$L$5/10*3,"7",IF(H371&gt;$L$5/10*2,"8",IF(H371&gt;$L$5/10,"9","10")))))))))</f>
        <v>5</v>
      </c>
    </row>
    <row r="372" spans="1:9" x14ac:dyDescent="0.55000000000000004">
      <c r="A372">
        <v>371</v>
      </c>
      <c r="B372">
        <f>estuary_data!U370*weights!$C$2</f>
        <v>7.7421728354251595E-2</v>
      </c>
      <c r="C372">
        <f>estuary_data!R370*weights!$C$5</f>
        <v>8.4565589008158262E-2</v>
      </c>
      <c r="D372">
        <f>estuary_data!V370*weights!$C$3</f>
        <v>3.9928177146646211E-2</v>
      </c>
      <c r="E372">
        <f>estuary_data!S370*weights!$C$6</f>
        <v>1.7278639060824399E-2</v>
      </c>
      <c r="F372">
        <f>estuary_data!W370*weights!$C$4</f>
        <v>0.17820315524534347</v>
      </c>
      <c r="G372">
        <f>estuary_data!T370*weights!$C$7</f>
        <v>7.138669224648056E-2</v>
      </c>
      <c r="H372">
        <f>SUM(B372:G372)</f>
        <v>0.46878398106170449</v>
      </c>
      <c r="I372" t="str">
        <f>IF(H372&gt;$L$5/10*9,"1",IF(H372&gt;$L$5/10*8,"2",IF(H372&gt;$L$5/10*7,"3",IF(H372&gt;$L$5/10*6,"4",IF(H372&gt;$L$5/10*5,"5",IF(H372&gt;$L$5/10*4,"6",IF(H372&gt;$L$5/10*3,"7",IF(H372&gt;$L$5/10*2,"8",IF(H372&gt;$L$5/10,"9","10")))))))))</f>
        <v>3</v>
      </c>
    </row>
    <row r="373" spans="1:9" x14ac:dyDescent="0.55000000000000004">
      <c r="A373">
        <v>372</v>
      </c>
      <c r="B373">
        <f>estuary_data!U371*weights!$C$2</f>
        <v>8.4206757780272493E-2</v>
      </c>
      <c r="C373">
        <f>estuary_data!R371*weights!$C$5</f>
        <v>9.3338487324274702E-2</v>
      </c>
      <c r="D373">
        <f>estuary_data!V371*weights!$C$3</f>
        <v>2.1879312489048983E-2</v>
      </c>
      <c r="E373">
        <f>estuary_data!S371*weights!$C$6</f>
        <v>5.1877417974700484E-3</v>
      </c>
      <c r="F373">
        <f>estuary_data!W371*weights!$C$4</f>
        <v>0.10409075303158605</v>
      </c>
      <c r="G373">
        <f>estuary_data!T371*weights!$C$7</f>
        <v>5.2600625276777918E-2</v>
      </c>
      <c r="H373">
        <f>SUM(B373:G373)</f>
        <v>0.36130367769943017</v>
      </c>
      <c r="I373" t="str">
        <f>IF(H373&gt;$L$5/10*9,"1",IF(H373&gt;$L$5/10*8,"2",IF(H373&gt;$L$5/10*7,"3",IF(H373&gt;$L$5/10*6,"4",IF(H373&gt;$L$5/10*5,"5",IF(H373&gt;$L$5/10*4,"6",IF(H373&gt;$L$5/10*3,"7",IF(H373&gt;$L$5/10*2,"8",IF(H373&gt;$L$5/10,"9","10")))))))))</f>
        <v>5</v>
      </c>
    </row>
    <row r="374" spans="1:9" x14ac:dyDescent="0.55000000000000004">
      <c r="A374">
        <v>373</v>
      </c>
      <c r="B374">
        <f>estuary_data!U372*weights!$C$2</f>
        <v>7.6789416637287944E-2</v>
      </c>
      <c r="C374">
        <f>estuary_data!R372*weights!$C$5</f>
        <v>9.203240371783443E-2</v>
      </c>
      <c r="D374">
        <f>estuary_data!V372*weights!$C$3</f>
        <v>2.3987379135521885E-2</v>
      </c>
      <c r="E374">
        <f>estuary_data!S372*weights!$C$6</f>
        <v>5.0013584012636768E-3</v>
      </c>
      <c r="F374">
        <f>estuary_data!W372*weights!$C$4</f>
        <v>0.10404840583449596</v>
      </c>
      <c r="G374">
        <f>estuary_data!T372*weights!$C$7</f>
        <v>5.1593754745778431E-2</v>
      </c>
      <c r="H374">
        <f>SUM(B374:G374)</f>
        <v>0.35345271847218229</v>
      </c>
      <c r="I374" t="str">
        <f>IF(H374&gt;$L$5/10*9,"1",IF(H374&gt;$L$5/10*8,"2",IF(H374&gt;$L$5/10*7,"3",IF(H374&gt;$L$5/10*6,"4",IF(H374&gt;$L$5/10*5,"5",IF(H374&gt;$L$5/10*4,"6",IF(H374&gt;$L$5/10*3,"7",IF(H374&gt;$L$5/10*2,"8",IF(H374&gt;$L$5/10,"9","10")))))))))</f>
        <v>5</v>
      </c>
    </row>
    <row r="375" spans="1:9" x14ac:dyDescent="0.55000000000000004">
      <c r="A375">
        <v>374</v>
      </c>
      <c r="B375">
        <f>estuary_data!U373*weights!$C$2</f>
        <v>9.0585957123176269E-2</v>
      </c>
      <c r="C375">
        <f>estuary_data!R373*weights!$C$5</f>
        <v>8.9082641218519554E-2</v>
      </c>
      <c r="D375">
        <f>estuary_data!V373*weights!$C$3</f>
        <v>2.9084620793912764E-2</v>
      </c>
      <c r="E375">
        <f>estuary_data!S373*weights!$C$6</f>
        <v>1.1340466187924652E-2</v>
      </c>
      <c r="F375">
        <f>estuary_data!W373*weights!$C$4</f>
        <v>0.1365222805589508</v>
      </c>
      <c r="G375">
        <f>estuary_data!T373*weights!$C$7</f>
        <v>6.1455685395524741E-2</v>
      </c>
      <c r="H375">
        <f>SUM(B375:G375)</f>
        <v>0.41807165127800877</v>
      </c>
      <c r="I375" t="str">
        <f>IF(H375&gt;$L$5/10*9,"1",IF(H375&gt;$L$5/10*8,"2",IF(H375&gt;$L$5/10*7,"3",IF(H375&gt;$L$5/10*6,"4",IF(H375&gt;$L$5/10*5,"5",IF(H375&gt;$L$5/10*4,"6",IF(H375&gt;$L$5/10*3,"7",IF(H375&gt;$L$5/10*2,"8",IF(H375&gt;$L$5/10,"9","10")))))))))</f>
        <v>4</v>
      </c>
    </row>
    <row r="376" spans="1:9" x14ac:dyDescent="0.55000000000000004">
      <c r="A376">
        <v>375</v>
      </c>
      <c r="B376">
        <f>estuary_data!U374*weights!$C$2</f>
        <v>8.3397567146155968E-2</v>
      </c>
      <c r="C376">
        <f>estuary_data!R374*weights!$C$5</f>
        <v>8.8824610902983131E-2</v>
      </c>
      <c r="D376">
        <f>estuary_data!V374*weights!$C$3</f>
        <v>2.8687077273116583E-2</v>
      </c>
      <c r="E376">
        <f>estuary_data!S374*weights!$C$6</f>
        <v>1.1073581661463461E-2</v>
      </c>
      <c r="F376">
        <f>estuary_data!W374*weights!$C$4</f>
        <v>0.12800223317036688</v>
      </c>
      <c r="G376">
        <f>estuary_data!T374*weights!$C$7</f>
        <v>6.0935227718311787E-2</v>
      </c>
      <c r="H376">
        <f>SUM(B376:G376)</f>
        <v>0.4009202978723978</v>
      </c>
      <c r="I376" t="str">
        <f>IF(H376&gt;$L$5/10*9,"1",IF(H376&gt;$L$5/10*8,"2",IF(H376&gt;$L$5/10*7,"3",IF(H376&gt;$L$5/10*6,"4",IF(H376&gt;$L$5/10*5,"5",IF(H376&gt;$L$5/10*4,"6",IF(H376&gt;$L$5/10*3,"7",IF(H376&gt;$L$5/10*2,"8",IF(H376&gt;$L$5/10,"9","10")))))))))</f>
        <v>4</v>
      </c>
    </row>
    <row r="377" spans="1:9" x14ac:dyDescent="0.55000000000000004">
      <c r="A377">
        <v>376</v>
      </c>
      <c r="B377">
        <f>estuary_data!U375*weights!$C$2</f>
        <v>7.5937546180270904E-2</v>
      </c>
      <c r="C377">
        <f>estuary_data!R375*weights!$C$5</f>
        <v>9.271530642087801E-2</v>
      </c>
      <c r="D377">
        <f>estuary_data!V375*weights!$C$3</f>
        <v>2.1615949849822944E-2</v>
      </c>
      <c r="E377">
        <f>estuary_data!S375*weights!$C$6</f>
        <v>8.0261243846986574E-3</v>
      </c>
      <c r="F377">
        <f>estuary_data!W375*weights!$C$4</f>
        <v>9.5008370510878432E-2</v>
      </c>
      <c r="G377">
        <f>estuary_data!T375*weights!$C$7</f>
        <v>5.6455508133102579E-2</v>
      </c>
      <c r="H377">
        <f>SUM(B377:G377)</f>
        <v>0.34975880547965155</v>
      </c>
      <c r="I377" t="str">
        <f>IF(H377&gt;$L$5/10*9,"1",IF(H377&gt;$L$5/10*8,"2",IF(H377&gt;$L$5/10*7,"3",IF(H377&gt;$L$5/10*6,"4",IF(H377&gt;$L$5/10*5,"5",IF(H377&gt;$L$5/10*4,"6",IF(H377&gt;$L$5/10*3,"7",IF(H377&gt;$L$5/10*2,"8",IF(H377&gt;$L$5/10,"9","10")))))))))</f>
        <v>5</v>
      </c>
    </row>
    <row r="378" spans="1:9" x14ac:dyDescent="0.55000000000000004">
      <c r="A378">
        <v>377</v>
      </c>
      <c r="B378">
        <f>estuary_data!U376*weights!$C$2</f>
        <v>7.6916245413233608E-2</v>
      </c>
      <c r="C378">
        <f>estuary_data!R376*weights!$C$5</f>
        <v>9.2597705058403937E-2</v>
      </c>
      <c r="D378">
        <f>estuary_data!V376*weights!$C$3</f>
        <v>2.0326776531225103E-2</v>
      </c>
      <c r="E378">
        <f>estuary_data!S376*weights!$C$6</f>
        <v>1.8550712495740529E-3</v>
      </c>
      <c r="F378">
        <f>estuary_data!W376*weights!$C$4</f>
        <v>9.1525367326645887E-2</v>
      </c>
      <c r="G378">
        <f>estuary_data!T376*weights!$C$7</f>
        <v>4.6117920790005013E-2</v>
      </c>
      <c r="H378">
        <f>SUM(B378:G378)</f>
        <v>0.3293390863690876</v>
      </c>
      <c r="I378" t="str">
        <f>IF(H378&gt;$L$5/10*9,"1",IF(H378&gt;$L$5/10*8,"2",IF(H378&gt;$L$5/10*7,"3",IF(H378&gt;$L$5/10*6,"4",IF(H378&gt;$L$5/10*5,"5",IF(H378&gt;$L$5/10*4,"6",IF(H378&gt;$L$5/10*3,"7",IF(H378&gt;$L$5/10*2,"8",IF(H378&gt;$L$5/10,"9","10")))))))))</f>
        <v>6</v>
      </c>
    </row>
    <row r="379" spans="1:9" x14ac:dyDescent="0.55000000000000004">
      <c r="A379">
        <v>378</v>
      </c>
      <c r="B379">
        <f>estuary_data!U377*weights!$C$2</f>
        <v>8.2110540737677429E-2</v>
      </c>
      <c r="C379">
        <f>estuary_data!R377*weights!$C$5</f>
        <v>9.320661703356467E-2</v>
      </c>
      <c r="D379">
        <f>estuary_data!V377*weights!$C$3</f>
        <v>2.4944579844011109E-2</v>
      </c>
      <c r="E379">
        <f>estuary_data!S377*weights!$C$6</f>
        <v>3.1735415410893701E-3</v>
      </c>
      <c r="F379">
        <f>estuary_data!W377*weights!$C$4</f>
        <v>9.8260909354331946E-2</v>
      </c>
      <c r="G379">
        <f>estuary_data!T377*weights!$C$7</f>
        <v>4.8405268924372774E-2</v>
      </c>
      <c r="H379">
        <f>SUM(B379:G379)</f>
        <v>0.35010145743504728</v>
      </c>
      <c r="I379" t="str">
        <f>IF(H379&gt;$L$5/10*9,"1",IF(H379&gt;$L$5/10*8,"2",IF(H379&gt;$L$5/10*7,"3",IF(H379&gt;$L$5/10*6,"4",IF(H379&gt;$L$5/10*5,"5",IF(H379&gt;$L$5/10*4,"6",IF(H379&gt;$L$5/10*3,"7",IF(H379&gt;$L$5/10*2,"8",IF(H379&gt;$L$5/10,"9","10")))))))))</f>
        <v>5</v>
      </c>
    </row>
    <row r="380" spans="1:9" x14ac:dyDescent="0.55000000000000004">
      <c r="A380">
        <v>379</v>
      </c>
      <c r="B380">
        <f>estuary_data!U378*weights!$C$2</f>
        <v>8.90042582355801E-2</v>
      </c>
      <c r="C380">
        <f>estuary_data!R378*weights!$C$5</f>
        <v>9.089566384008127E-2</v>
      </c>
      <c r="D380">
        <f>estuary_data!V378*weights!$C$3</f>
        <v>2.8392380273918022E-2</v>
      </c>
      <c r="E380">
        <f>estuary_data!S378*weights!$C$6</f>
        <v>1.2776405279515313E-2</v>
      </c>
      <c r="F380">
        <f>estuary_data!W378*weights!$C$4</f>
        <v>0.12168709081421297</v>
      </c>
      <c r="G380">
        <f>estuary_data!T378*weights!$C$7</f>
        <v>6.6063736748203677E-2</v>
      </c>
      <c r="H380">
        <f>SUM(B380:G380)</f>
        <v>0.40881953519151137</v>
      </c>
      <c r="I380" t="str">
        <f>IF(H380&gt;$L$5/10*9,"1",IF(H380&gt;$L$5/10*8,"2",IF(H380&gt;$L$5/10*7,"3",IF(H380&gt;$L$5/10*6,"4",IF(H380&gt;$L$5/10*5,"5",IF(H380&gt;$L$5/10*4,"6",IF(H380&gt;$L$5/10*3,"7",IF(H380&gt;$L$5/10*2,"8",IF(H380&gt;$L$5/10,"9","10")))))))))</f>
        <v>4</v>
      </c>
    </row>
    <row r="381" spans="1:9" x14ac:dyDescent="0.55000000000000004">
      <c r="A381">
        <v>380</v>
      </c>
      <c r="B381">
        <f>estuary_data!U379*weights!$C$2</f>
        <v>7.9591546206076114E-2</v>
      </c>
      <c r="C381">
        <f>estuary_data!R379*weights!$C$5</f>
        <v>8.9464756671221085E-2</v>
      </c>
      <c r="D381">
        <f>estuary_data!V379*weights!$C$3</f>
        <v>3.0389860959733554E-2</v>
      </c>
      <c r="E381">
        <f>estuary_data!S379*weights!$C$6</f>
        <v>1.7430385961752587E-2</v>
      </c>
      <c r="F381">
        <f>estuary_data!W379*weights!$C$4</f>
        <v>0.13565477949090274</v>
      </c>
      <c r="G381">
        <f>estuary_data!T379*weights!$C$7</f>
        <v>7.3305964111904418E-2</v>
      </c>
      <c r="H381">
        <f>SUM(B381:G381)</f>
        <v>0.42583729340159054</v>
      </c>
      <c r="I381" t="str">
        <f>IF(H381&gt;$L$5/10*9,"1",IF(H381&gt;$L$5/10*8,"2",IF(H381&gt;$L$5/10*7,"3",IF(H381&gt;$L$5/10*6,"4",IF(H381&gt;$L$5/10*5,"5",IF(H381&gt;$L$5/10*4,"6",IF(H381&gt;$L$5/10*3,"7",IF(H381&gt;$L$5/10*2,"8",IF(H381&gt;$L$5/10,"9","10")))))))))</f>
        <v>4</v>
      </c>
    </row>
    <row r="382" spans="1:9" x14ac:dyDescent="0.55000000000000004">
      <c r="A382">
        <v>381</v>
      </c>
      <c r="B382">
        <f>estuary_data!U380*weights!$C$2</f>
        <v>8.0423167925184794E-2</v>
      </c>
      <c r="C382">
        <f>estuary_data!R380*weights!$C$5</f>
        <v>9.0333531120974031E-2</v>
      </c>
      <c r="D382">
        <f>estuary_data!V380*weights!$C$3</f>
        <v>2.9765852526722605E-2</v>
      </c>
      <c r="E382">
        <f>estuary_data!S380*weights!$C$6</f>
        <v>1.6419460632759716E-2</v>
      </c>
      <c r="F382">
        <f>estuary_data!W380*weights!$C$4</f>
        <v>0.12798620802108934</v>
      </c>
      <c r="G382">
        <f>estuary_data!T380*weights!$C$7</f>
        <v>7.2767439217166288E-2</v>
      </c>
      <c r="H382">
        <f>SUM(B382:G382)</f>
        <v>0.41769565944389675</v>
      </c>
      <c r="I382" t="str">
        <f>IF(H382&gt;$L$5/10*9,"1",IF(H382&gt;$L$5/10*8,"2",IF(H382&gt;$L$5/10*7,"3",IF(H382&gt;$L$5/10*6,"4",IF(H382&gt;$L$5/10*5,"5",IF(H382&gt;$L$5/10*4,"6",IF(H382&gt;$L$5/10*3,"7",IF(H382&gt;$L$5/10*2,"8",IF(H382&gt;$L$5/10,"9","10")))))))))</f>
        <v>4</v>
      </c>
    </row>
    <row r="383" spans="1:9" x14ac:dyDescent="0.55000000000000004">
      <c r="A383">
        <v>382</v>
      </c>
      <c r="B383">
        <f>estuary_data!U381*weights!$C$2</f>
        <v>7.8062012172253531E-2</v>
      </c>
      <c r="C383">
        <f>estuary_data!R381*weights!$C$5</f>
        <v>9.3005904944010079E-2</v>
      </c>
      <c r="D383">
        <f>estuary_data!V381*weights!$C$3</f>
        <v>2.2098718177855105E-2</v>
      </c>
      <c r="E383">
        <f>estuary_data!S381*weights!$C$6</f>
        <v>1.2515085355878693E-3</v>
      </c>
      <c r="F383">
        <f>estuary_data!W381*weights!$C$4</f>
        <v>9.0444522272503478E-2</v>
      </c>
      <c r="G383">
        <f>estuary_data!T381*weights!$C$7</f>
        <v>4.3950786285391917E-2</v>
      </c>
      <c r="H383">
        <f>SUM(B383:G383)</f>
        <v>0.32881345238760196</v>
      </c>
      <c r="I383" t="str">
        <f>IF(H383&gt;$L$5/10*9,"1",IF(H383&gt;$L$5/10*8,"2",IF(H383&gt;$L$5/10*7,"3",IF(H383&gt;$L$5/10*6,"4",IF(H383&gt;$L$5/10*5,"5",IF(H383&gt;$L$5/10*4,"6",IF(H383&gt;$L$5/10*3,"7",IF(H383&gt;$L$5/10*2,"8",IF(H383&gt;$L$5/10,"9","10")))))))))</f>
        <v>6</v>
      </c>
    </row>
    <row r="384" spans="1:9" x14ac:dyDescent="0.55000000000000004">
      <c r="A384">
        <v>383</v>
      </c>
      <c r="B384">
        <f>estuary_data!U382*weights!$C$2</f>
        <v>9.5104431699597258E-2</v>
      </c>
      <c r="C384">
        <f>estuary_data!R382*weights!$C$5</f>
        <v>9.3312383220868142E-2</v>
      </c>
      <c r="D384">
        <f>estuary_data!V382*weights!$C$3</f>
        <v>2.8430004298799199E-2</v>
      </c>
      <c r="E384">
        <f>estuary_data!S382*weights!$C$6</f>
        <v>3.3645032890397904E-3</v>
      </c>
      <c r="F384">
        <f>estuary_data!W382*weights!$C$4</f>
        <v>0.11259983137229722</v>
      </c>
      <c r="G384">
        <f>estuary_data!T382*weights!$C$7</f>
        <v>4.9521428302058572E-2</v>
      </c>
      <c r="H384">
        <f>SUM(B384:G384)</f>
        <v>0.3823325821826602</v>
      </c>
      <c r="I384" t="str">
        <f>IF(H384&gt;$L$5/10*9,"1",IF(H384&gt;$L$5/10*8,"2",IF(H384&gt;$L$5/10*7,"3",IF(H384&gt;$L$5/10*6,"4",IF(H384&gt;$L$5/10*5,"5",IF(H384&gt;$L$5/10*4,"6",IF(H384&gt;$L$5/10*3,"7",IF(H384&gt;$L$5/10*2,"8",IF(H384&gt;$L$5/10,"9","10")))))))))</f>
        <v>5</v>
      </c>
    </row>
    <row r="385" spans="1:9" x14ac:dyDescent="0.55000000000000004">
      <c r="A385">
        <v>384</v>
      </c>
      <c r="B385">
        <f>estuary_data!U383*weights!$C$2</f>
        <v>8.7647857203325935E-2</v>
      </c>
      <c r="C385">
        <f>estuary_data!R383*weights!$C$5</f>
        <v>9.5062131819586351E-2</v>
      </c>
      <c r="D385">
        <f>estuary_data!V383*weights!$C$3</f>
        <v>3.0732130353714381E-2</v>
      </c>
      <c r="E385">
        <f>estuary_data!S383*weights!$C$6</f>
        <v>7.9036262472655661E-3</v>
      </c>
      <c r="F385">
        <f>estuary_data!W383*weights!$C$4</f>
        <v>0.11588155184234845</v>
      </c>
      <c r="G385">
        <f>estuary_data!T383*weights!$C$7</f>
        <v>5.9864361573969349E-2</v>
      </c>
      <c r="H385">
        <f>SUM(B385:G385)</f>
        <v>0.39709165904021004</v>
      </c>
      <c r="I385" t="str">
        <f>IF(H385&gt;$L$5/10*9,"1",IF(H385&gt;$L$5/10*8,"2",IF(H385&gt;$L$5/10*7,"3",IF(H385&gt;$L$5/10*6,"4",IF(H385&gt;$L$5/10*5,"5",IF(H385&gt;$L$5/10*4,"6",IF(H385&gt;$L$5/10*3,"7",IF(H385&gt;$L$5/10*2,"8",IF(H385&gt;$L$5/10,"9","10")))))))))</f>
        <v>5</v>
      </c>
    </row>
    <row r="386" spans="1:9" x14ac:dyDescent="0.55000000000000004">
      <c r="A386">
        <v>385</v>
      </c>
      <c r="B386">
        <f>estuary_data!U384*weights!$C$2</f>
        <v>7.992827658951486E-2</v>
      </c>
      <c r="C386">
        <f>estuary_data!R384*weights!$C$5</f>
        <v>9.58566722200416E-2</v>
      </c>
      <c r="D386">
        <f>estuary_data!V384*weights!$C$3</f>
        <v>3.3369785097767002E-2</v>
      </c>
      <c r="E386">
        <f>estuary_data!S384*weights!$C$6</f>
        <v>7.034153159985176E-4</v>
      </c>
      <c r="F386">
        <f>estuary_data!W384*weights!$C$4</f>
        <v>0.11749875417969732</v>
      </c>
      <c r="G386">
        <f>estuary_data!T384*weights!$C$7</f>
        <v>4.5944626328592759E-2</v>
      </c>
      <c r="H386">
        <f>SUM(B386:G386)</f>
        <v>0.37330152973161207</v>
      </c>
      <c r="I386" t="str">
        <f>IF(H386&gt;$L$5/10*9,"1",IF(H386&gt;$L$5/10*8,"2",IF(H386&gt;$L$5/10*7,"3",IF(H386&gt;$L$5/10*6,"4",IF(H386&gt;$L$5/10*5,"5",IF(H386&gt;$L$5/10*4,"6",IF(H386&gt;$L$5/10*3,"7",IF(H386&gt;$L$5/10*2,"8",IF(H386&gt;$L$5/10,"9","10")))))))))</f>
        <v>5</v>
      </c>
    </row>
    <row r="387" spans="1:9" x14ac:dyDescent="0.55000000000000004">
      <c r="A387">
        <v>386</v>
      </c>
      <c r="B387">
        <f>estuary_data!U750*weights!$C$2</f>
        <v>2.2527210787292921E-2</v>
      </c>
      <c r="C387">
        <f>estuary_data!R750*weights!$C$5</f>
        <v>9.23760287945532E-2</v>
      </c>
      <c r="D387">
        <f>estuary_data!V750*weights!$C$3</f>
        <v>3.108244968842493E-2</v>
      </c>
      <c r="E387">
        <f>estuary_data!S750*weights!$C$6</f>
        <v>4.6632047540167219E-2</v>
      </c>
      <c r="F387">
        <f>estuary_data!W750*weights!$C$4</f>
        <v>0.14722437602670835</v>
      </c>
      <c r="G387">
        <f>estuary_data!T750*weights!$C$7</f>
        <v>6.4666075980138071E-2</v>
      </c>
      <c r="H387">
        <f>SUM(B387:G387)</f>
        <v>0.40450818881728468</v>
      </c>
      <c r="I387" t="str">
        <f>IF(H387&gt;$L$5/10*9,"1",IF(H387&gt;$L$5/10*8,"2",IF(H387&gt;$L$5/10*7,"3",IF(H387&gt;$L$5/10*6,"4",IF(H387&gt;$L$5/10*5,"5",IF(H387&gt;$L$5/10*4,"6",IF(H387&gt;$L$5/10*3,"7",IF(H387&gt;$L$5/10*2,"8",IF(H387&gt;$L$5/10,"9","10")))))))))</f>
        <v>4</v>
      </c>
    </row>
    <row r="388" spans="1:9" x14ac:dyDescent="0.55000000000000004">
      <c r="A388">
        <v>387</v>
      </c>
      <c r="B388">
        <f>estuary_data!U385*weights!$C$2</f>
        <v>8.507506217906538E-2</v>
      </c>
      <c r="C388">
        <f>estuary_data!R385*weights!$C$5</f>
        <v>9.9581983654349684E-2</v>
      </c>
      <c r="D388">
        <f>estuary_data!V385*weights!$C$3</f>
        <v>3.7249439744269884E-2</v>
      </c>
      <c r="E388">
        <f>estuary_data!S385*weights!$C$6</f>
        <v>2.5500800876548492E-3</v>
      </c>
      <c r="F388">
        <f>estuary_data!W385*weights!$C$4</f>
        <v>0.12945824652388277</v>
      </c>
      <c r="G388">
        <f>estuary_data!T385*weights!$C$7</f>
        <v>5.2916362906265946E-2</v>
      </c>
      <c r="H388">
        <f>SUM(B388:G388)</f>
        <v>0.40683117509548855</v>
      </c>
      <c r="I388" t="str">
        <f>IF(H388&gt;$L$5/10*9,"1",IF(H388&gt;$L$5/10*8,"2",IF(H388&gt;$L$5/10*7,"3",IF(H388&gt;$L$5/10*6,"4",IF(H388&gt;$L$5/10*5,"5",IF(H388&gt;$L$5/10*4,"6",IF(H388&gt;$L$5/10*3,"7",IF(H388&gt;$L$5/10*2,"8",IF(H388&gt;$L$5/10,"9","10")))))))))</f>
        <v>4</v>
      </c>
    </row>
    <row r="389" spans="1:9" x14ac:dyDescent="0.55000000000000004">
      <c r="A389">
        <v>388</v>
      </c>
      <c r="B389">
        <f>estuary_data!U386*weights!$C$2</f>
        <v>8.1751210158031495E-2</v>
      </c>
      <c r="C389">
        <f>estuary_data!R386*weights!$C$5</f>
        <v>9.9952472223634459E-2</v>
      </c>
      <c r="D389">
        <f>estuary_data!V386*weights!$C$3</f>
        <v>3.6416171768563751E-2</v>
      </c>
      <c r="E389">
        <f>estuary_data!S386*weights!$C$6</f>
        <v>3.7323031793537123E-4</v>
      </c>
      <c r="F389">
        <f>estuary_data!W386*weights!$C$4</f>
        <v>0.12826598820771329</v>
      </c>
      <c r="G389">
        <f>estuary_data!T386*weights!$C$7</f>
        <v>4.8920833008582354E-2</v>
      </c>
      <c r="H389">
        <f>SUM(B389:G389)</f>
        <v>0.39567990568446071</v>
      </c>
      <c r="I389" t="str">
        <f>IF(H389&gt;$L$5/10*9,"1",IF(H389&gt;$L$5/10*8,"2",IF(H389&gt;$L$5/10*7,"3",IF(H389&gt;$L$5/10*6,"4",IF(H389&gt;$L$5/10*5,"5",IF(H389&gt;$L$5/10*4,"6",IF(H389&gt;$L$5/10*3,"7",IF(H389&gt;$L$5/10*2,"8",IF(H389&gt;$L$5/10,"9","10")))))))))</f>
        <v>5</v>
      </c>
    </row>
    <row r="390" spans="1:9" x14ac:dyDescent="0.55000000000000004">
      <c r="A390">
        <v>389</v>
      </c>
      <c r="B390" t="e">
        <f>estuary_data!U387*weights!$C$2</f>
        <v>#VALUE!</v>
      </c>
      <c r="C390" t="e">
        <f>estuary_data!R387*weights!$C$5</f>
        <v>#VALUE!</v>
      </c>
      <c r="D390" t="e">
        <f>estuary_data!V387*weights!$C$3</f>
        <v>#VALUE!</v>
      </c>
      <c r="E390" t="e">
        <f>estuary_data!S387*weights!$C$6</f>
        <v>#VALUE!</v>
      </c>
      <c r="F390" t="e">
        <f>estuary_data!W387*weights!$C$4</f>
        <v>#VALUE!</v>
      </c>
      <c r="G390" t="e">
        <f>estuary_data!T387*weights!$C$7</f>
        <v>#VALUE!</v>
      </c>
      <c r="H390" t="e">
        <f>SUM(B390:G390)</f>
        <v>#VALUE!</v>
      </c>
      <c r="I390" t="e">
        <f>IF(H390&gt;$L$5/10*9,"1",IF(H390&gt;$L$5/10*8,"2",IF(H390&gt;$L$5/10*7,"3",IF(H390&gt;$L$5/10*6,"4",IF(H390&gt;$L$5/10*5,"5",IF(H390&gt;$L$5/10*4,"6",IF(H390&gt;$L$5/10*3,"7",IF(H390&gt;$L$5/10*2,"8",IF(H390&gt;$L$5/10,"9","10")))))))))</f>
        <v>#VALUE!</v>
      </c>
    </row>
    <row r="391" spans="1:9" x14ac:dyDescent="0.55000000000000004">
      <c r="A391">
        <v>390</v>
      </c>
      <c r="B391">
        <f>estuary_data!U388*weights!$C$2</f>
        <v>6.5899869575949108E-2</v>
      </c>
      <c r="C391">
        <f>estuary_data!R388*weights!$C$5</f>
        <v>8.8161300127683528E-2</v>
      </c>
      <c r="D391">
        <f>estuary_data!V388*weights!$C$3</f>
        <v>2.9850748029160632E-2</v>
      </c>
      <c r="E391">
        <f>estuary_data!S388*weights!$C$6</f>
        <v>8.7717703229162561E-3</v>
      </c>
      <c r="F391">
        <f>estuary_data!W388*weights!$C$4</f>
        <v>9.7022595466915856E-2</v>
      </c>
      <c r="G391">
        <f>estuary_data!T388*weights!$C$7</f>
        <v>2.2027680816434605E-2</v>
      </c>
      <c r="H391">
        <f>SUM(B391:G391)</f>
        <v>0.31173396433905998</v>
      </c>
      <c r="I391" t="str">
        <f>IF(H391&gt;$L$5/10*9,"1",IF(H391&gt;$L$5/10*8,"2",IF(H391&gt;$L$5/10*7,"3",IF(H391&gt;$L$5/10*6,"4",IF(H391&gt;$L$5/10*5,"5",IF(H391&gt;$L$5/10*4,"6",IF(H391&gt;$L$5/10*3,"7",IF(H391&gt;$L$5/10*2,"8",IF(H391&gt;$L$5/10,"9","10")))))))))</f>
        <v>6</v>
      </c>
    </row>
    <row r="392" spans="1:9" x14ac:dyDescent="0.55000000000000004">
      <c r="A392">
        <v>391</v>
      </c>
      <c r="B392">
        <f>estuary_data!U389*weights!$C$2</f>
        <v>6.5709507067260794E-2</v>
      </c>
      <c r="C392">
        <f>estuary_data!R389*weights!$C$5</f>
        <v>8.961480460752945E-2</v>
      </c>
      <c r="D392">
        <f>estuary_data!V389*weights!$C$3</f>
        <v>2.9606557888342461E-2</v>
      </c>
      <c r="E392">
        <f>estuary_data!S389*weights!$C$6</f>
        <v>8.574013320422404E-3</v>
      </c>
      <c r="F392">
        <f>estuary_data!W389*weights!$C$4</f>
        <v>9.7035345434756823E-2</v>
      </c>
      <c r="G392">
        <f>estuary_data!T389*weights!$C$7</f>
        <v>2.3141024477478837E-2</v>
      </c>
      <c r="H392">
        <f>SUM(B392:G392)</f>
        <v>0.31368125279579079</v>
      </c>
      <c r="I392" t="str">
        <f>IF(H392&gt;$L$5/10*9,"1",IF(H392&gt;$L$5/10*8,"2",IF(H392&gt;$L$5/10*7,"3",IF(H392&gt;$L$5/10*6,"4",IF(H392&gt;$L$5/10*5,"5",IF(H392&gt;$L$5/10*4,"6",IF(H392&gt;$L$5/10*3,"7",IF(H392&gt;$L$5/10*2,"8",IF(H392&gt;$L$5/10,"9","10")))))))))</f>
        <v>6</v>
      </c>
    </row>
    <row r="393" spans="1:9" x14ac:dyDescent="0.55000000000000004">
      <c r="A393">
        <v>392</v>
      </c>
      <c r="B393">
        <f>estuary_data!U390*weights!$C$2</f>
        <v>7.0483096353097172E-2</v>
      </c>
      <c r="C393">
        <f>estuary_data!R390*weights!$C$5</f>
        <v>8.6681457061269368E-2</v>
      </c>
      <c r="D393">
        <f>estuary_data!V390*weights!$C$3</f>
        <v>3.0249230314213459E-2</v>
      </c>
      <c r="E393">
        <f>estuary_data!S390*weights!$C$6</f>
        <v>1.1161815404455908E-2</v>
      </c>
      <c r="F393">
        <f>estuary_data!W390*weights!$C$4</f>
        <v>9.4745525983213466E-2</v>
      </c>
      <c r="G393">
        <f>estuary_data!T390*weights!$C$7</f>
        <v>1.57076526749894E-2</v>
      </c>
      <c r="H393">
        <f>SUM(B393:G393)</f>
        <v>0.30902877779123877</v>
      </c>
      <c r="I393" t="str">
        <f>IF(H393&gt;$L$5/10*9,"1",IF(H393&gt;$L$5/10*8,"2",IF(H393&gt;$L$5/10*7,"3",IF(H393&gt;$L$5/10*6,"4",IF(H393&gt;$L$5/10*5,"5",IF(H393&gt;$L$5/10*4,"6",IF(H393&gt;$L$5/10*3,"7",IF(H393&gt;$L$5/10*2,"8",IF(H393&gt;$L$5/10,"9","10")))))))))</f>
        <v>6</v>
      </c>
    </row>
    <row r="394" spans="1:9" x14ac:dyDescent="0.55000000000000004">
      <c r="A394">
        <v>393</v>
      </c>
      <c r="B394">
        <f>estuary_data!U391*weights!$C$2</f>
        <v>6.7346460664409205E-2</v>
      </c>
      <c r="C394">
        <f>estuary_data!R391*weights!$C$5</f>
        <v>8.5802559578393972E-2</v>
      </c>
      <c r="D394">
        <f>estuary_data!V391*weights!$C$3</f>
        <v>2.9517744255225117E-2</v>
      </c>
      <c r="E394">
        <f>estuary_data!S391*weights!$C$6</f>
        <v>1.0334668164328209E-2</v>
      </c>
      <c r="F394">
        <f>estuary_data!W391*weights!$C$4</f>
        <v>9.2828335898350059E-2</v>
      </c>
      <c r="G394">
        <f>estuary_data!T391*weights!$C$7</f>
        <v>1.6413976942776021E-2</v>
      </c>
      <c r="H394">
        <f>SUM(B394:G394)</f>
        <v>0.3022437455034826</v>
      </c>
      <c r="I394" t="str">
        <f>IF(H394&gt;$L$5/10*9,"1",IF(H394&gt;$L$5/10*8,"2",IF(H394&gt;$L$5/10*7,"3",IF(H394&gt;$L$5/10*6,"4",IF(H394&gt;$L$5/10*5,"5",IF(H394&gt;$L$5/10*4,"6",IF(H394&gt;$L$5/10*3,"7",IF(H394&gt;$L$5/10*2,"8",IF(H394&gt;$L$5/10,"9","10")))))))))</f>
        <v>6</v>
      </c>
    </row>
    <row r="395" spans="1:9" x14ac:dyDescent="0.55000000000000004">
      <c r="A395">
        <v>394</v>
      </c>
      <c r="B395">
        <f>estuary_data!U392*weights!$C$2</f>
        <v>5.4025920600281392E-2</v>
      </c>
      <c r="C395">
        <f>estuary_data!R392*weights!$C$5</f>
        <v>6.9576366977818577E-2</v>
      </c>
      <c r="D395">
        <f>estuary_data!V392*weights!$C$3</f>
        <v>4.1086814236706029E-2</v>
      </c>
      <c r="E395">
        <f>estuary_data!S392*weights!$C$6</f>
        <v>3.1065618105329831E-2</v>
      </c>
      <c r="F395">
        <f>estuary_data!W392*weights!$C$4</f>
        <v>0.14793821874748128</v>
      </c>
      <c r="G395">
        <f>estuary_data!T392*weights!$C$7</f>
        <v>1.9148241377605259E-2</v>
      </c>
      <c r="H395">
        <f>SUM(B395:G395)</f>
        <v>0.36284118004522231</v>
      </c>
      <c r="I395" t="str">
        <f>IF(H395&gt;$L$5/10*9,"1",IF(H395&gt;$L$5/10*8,"2",IF(H395&gt;$L$5/10*7,"3",IF(H395&gt;$L$5/10*6,"4",IF(H395&gt;$L$5/10*5,"5",IF(H395&gt;$L$5/10*4,"6",IF(H395&gt;$L$5/10*3,"7",IF(H395&gt;$L$5/10*2,"8",IF(H395&gt;$L$5/10,"9","10")))))))))</f>
        <v>5</v>
      </c>
    </row>
    <row r="396" spans="1:9" x14ac:dyDescent="0.55000000000000004">
      <c r="A396">
        <v>395</v>
      </c>
      <c r="B396">
        <f>estuary_data!U393*weights!$C$2</f>
        <v>9.4181362181427281E-2</v>
      </c>
      <c r="C396">
        <f>estuary_data!R393*weights!$C$5</f>
        <v>9.8586594063635999E-2</v>
      </c>
      <c r="D396">
        <f>estuary_data!V393*weights!$C$3</f>
        <v>3.5861094616731509E-2</v>
      </c>
      <c r="E396">
        <f>estuary_data!S393*weights!$C$6</f>
        <v>7.3722873803978833E-3</v>
      </c>
      <c r="F396">
        <f>estuary_data!W393*weights!$C$4</f>
        <v>0.13406646899121594</v>
      </c>
      <c r="G396">
        <f>estuary_data!T393*weights!$C$7</f>
        <v>6.3096374953975076E-2</v>
      </c>
      <c r="H396">
        <f>SUM(B396:G396)</f>
        <v>0.43316418218738367</v>
      </c>
      <c r="I396" t="str">
        <f>IF(H396&gt;$L$5/10*9,"1",IF(H396&gt;$L$5/10*8,"2",IF(H396&gt;$L$5/10*7,"3",IF(H396&gt;$L$5/10*6,"4",IF(H396&gt;$L$5/10*5,"5",IF(H396&gt;$L$5/10*4,"6",IF(H396&gt;$L$5/10*3,"7",IF(H396&gt;$L$5/10*2,"8",IF(H396&gt;$L$5/10,"9","10")))))))))</f>
        <v>4</v>
      </c>
    </row>
    <row r="397" spans="1:9" x14ac:dyDescent="0.55000000000000004">
      <c r="A397">
        <v>396</v>
      </c>
      <c r="B397">
        <f>estuary_data!U394*weights!$C$2</f>
        <v>7.5429630938516595E-2</v>
      </c>
      <c r="C397">
        <f>estuary_data!R394*weights!$C$5</f>
        <v>0.10398540066824338</v>
      </c>
      <c r="D397">
        <f>estuary_data!V394*weights!$C$3</f>
        <v>3.4210673617646195E-2</v>
      </c>
      <c r="E397">
        <f>estuary_data!S394*weights!$C$6</f>
        <v>2.3030859027306466E-3</v>
      </c>
      <c r="F397">
        <f>estuary_data!W394*weights!$C$4</f>
        <v>0.12109590781960061</v>
      </c>
      <c r="G397">
        <f>estuary_data!T394*weights!$C$7</f>
        <v>4.569243488174668E-2</v>
      </c>
      <c r="H397">
        <f>SUM(B397:G397)</f>
        <v>0.3827171338284841</v>
      </c>
      <c r="I397" t="str">
        <f>IF(H397&gt;$L$5/10*9,"1",IF(H397&gt;$L$5/10*8,"2",IF(H397&gt;$L$5/10*7,"3",IF(H397&gt;$L$5/10*6,"4",IF(H397&gt;$L$5/10*5,"5",IF(H397&gt;$L$5/10*4,"6",IF(H397&gt;$L$5/10*3,"7",IF(H397&gt;$L$5/10*2,"8",IF(H397&gt;$L$5/10,"9","10")))))))))</f>
        <v>5</v>
      </c>
    </row>
    <row r="398" spans="1:9" x14ac:dyDescent="0.55000000000000004">
      <c r="A398">
        <v>397</v>
      </c>
      <c r="B398">
        <f>estuary_data!U395*weights!$C$2</f>
        <v>8.2075511540031135E-2</v>
      </c>
      <c r="C398">
        <f>estuary_data!R395*weights!$C$5</f>
        <v>0.10546695808626888</v>
      </c>
      <c r="D398">
        <f>estuary_data!V395*weights!$C$3</f>
        <v>3.4460355984887961E-2</v>
      </c>
      <c r="E398">
        <f>estuary_data!S395*weights!$C$6</f>
        <v>5.4729129013347498E-3</v>
      </c>
      <c r="F398">
        <f>estuary_data!W395*weights!$C$4</f>
        <v>0.12255135963251919</v>
      </c>
      <c r="G398">
        <f>estuary_data!T395*weights!$C$7</f>
        <v>4.1426237916478766E-2</v>
      </c>
      <c r="H398">
        <f>SUM(B398:G398)</f>
        <v>0.39145333606152066</v>
      </c>
      <c r="I398" t="str">
        <f>IF(H398&gt;$L$5/10*9,"1",IF(H398&gt;$L$5/10*8,"2",IF(H398&gt;$L$5/10*7,"3",IF(H398&gt;$L$5/10*6,"4",IF(H398&gt;$L$5/10*5,"5",IF(H398&gt;$L$5/10*4,"6",IF(H398&gt;$L$5/10*3,"7",IF(H398&gt;$L$5/10*2,"8",IF(H398&gt;$L$5/10,"9","10")))))))))</f>
        <v>5</v>
      </c>
    </row>
    <row r="399" spans="1:9" x14ac:dyDescent="0.55000000000000004">
      <c r="A399">
        <v>398</v>
      </c>
      <c r="B399">
        <f>estuary_data!U396*weights!$C$2</f>
        <v>8.5572412729723352E-2</v>
      </c>
      <c r="C399">
        <f>estuary_data!R396*weights!$C$5</f>
        <v>0.10911037049641782</v>
      </c>
      <c r="D399">
        <f>estuary_data!V396*weights!$C$3</f>
        <v>4.0290984617123951E-2</v>
      </c>
      <c r="E399">
        <f>estuary_data!S396*weights!$C$6</f>
        <v>2.9938859837458482E-3</v>
      </c>
      <c r="F399">
        <f>estuary_data!W396*weights!$C$4</f>
        <v>0.14348477070240503</v>
      </c>
      <c r="G399">
        <f>estuary_data!T396*weights!$C$7</f>
        <v>4.8571617293063994E-2</v>
      </c>
      <c r="H399">
        <f>SUM(B399:G399)</f>
        <v>0.43002404182247994</v>
      </c>
      <c r="I399" t="str">
        <f>IF(H399&gt;$L$5/10*9,"1",IF(H399&gt;$L$5/10*8,"2",IF(H399&gt;$L$5/10*7,"3",IF(H399&gt;$L$5/10*6,"4",IF(H399&gt;$L$5/10*5,"5",IF(H399&gt;$L$5/10*4,"6",IF(H399&gt;$L$5/10*3,"7",IF(H399&gt;$L$5/10*2,"8",IF(H399&gt;$L$5/10,"9","10")))))))))</f>
        <v>4</v>
      </c>
    </row>
    <row r="400" spans="1:9" x14ac:dyDescent="0.55000000000000004">
      <c r="A400">
        <v>399</v>
      </c>
      <c r="B400">
        <f>estuary_data!U397*weights!$C$2</f>
        <v>7.2808973552824161E-2</v>
      </c>
      <c r="C400">
        <f>estuary_data!R397*weights!$C$5</f>
        <v>0.11654909729214512</v>
      </c>
      <c r="D400">
        <f>estuary_data!V397*weights!$C$3</f>
        <v>3.9285934557738655E-2</v>
      </c>
      <c r="E400">
        <f>estuary_data!S397*weights!$C$6</f>
        <v>9.4301977313081646E-3</v>
      </c>
      <c r="F400">
        <f>estuary_data!W397*weights!$C$4</f>
        <v>0.13139365723716434</v>
      </c>
      <c r="G400">
        <f>estuary_data!T397*weights!$C$7</f>
        <v>4.060232028948943E-2</v>
      </c>
      <c r="H400">
        <f>SUM(B400:G400)</f>
        <v>0.4100701806606698</v>
      </c>
      <c r="I400" t="str">
        <f>IF(H400&gt;$L$5/10*9,"1",IF(H400&gt;$L$5/10*8,"2",IF(H400&gt;$L$5/10*7,"3",IF(H400&gt;$L$5/10*6,"4",IF(H400&gt;$L$5/10*5,"5",IF(H400&gt;$L$5/10*4,"6",IF(H400&gt;$L$5/10*3,"7",IF(H400&gt;$L$5/10*2,"8",IF(H400&gt;$L$5/10,"9","10")))))))))</f>
        <v>4</v>
      </c>
    </row>
    <row r="401" spans="1:9" x14ac:dyDescent="0.55000000000000004">
      <c r="A401">
        <v>400</v>
      </c>
      <c r="B401">
        <f>estuary_data!U398*weights!$C$2</f>
        <v>7.1457520506381822E-2</v>
      </c>
      <c r="C401">
        <f>estuary_data!R398*weights!$C$5</f>
        <v>0.11804815224142697</v>
      </c>
      <c r="D401">
        <f>estuary_data!V398*weights!$C$3</f>
        <v>3.9599549380825633E-2</v>
      </c>
      <c r="E401">
        <f>estuary_data!S398*weights!$C$6</f>
        <v>1.5668526999518127E-2</v>
      </c>
      <c r="F401">
        <f>estuary_data!W398*weights!$C$4</f>
        <v>0.13100234080709716</v>
      </c>
      <c r="G401">
        <f>estuary_data!T398*weights!$C$7</f>
        <v>3.1621413833131551E-2</v>
      </c>
      <c r="H401">
        <f>SUM(B401:G401)</f>
        <v>0.40739750376838124</v>
      </c>
      <c r="I401" t="str">
        <f>IF(H401&gt;$L$5/10*9,"1",IF(H401&gt;$L$5/10*8,"2",IF(H401&gt;$L$5/10*7,"3",IF(H401&gt;$L$5/10*6,"4",IF(H401&gt;$L$5/10*5,"5",IF(H401&gt;$L$5/10*4,"6",IF(H401&gt;$L$5/10*3,"7",IF(H401&gt;$L$5/10*2,"8",IF(H401&gt;$L$5/10,"9","10")))))))))</f>
        <v>4</v>
      </c>
    </row>
    <row r="402" spans="1:9" x14ac:dyDescent="0.55000000000000004">
      <c r="A402">
        <v>401</v>
      </c>
      <c r="B402">
        <f>estuary_data!U399*weights!$C$2</f>
        <v>6.4155273276391839E-2</v>
      </c>
      <c r="C402">
        <f>estuary_data!R399*weights!$C$5</f>
        <v>0.11293299405963422</v>
      </c>
      <c r="D402">
        <f>estuary_data!V399*weights!$C$3</f>
        <v>3.7338954389193046E-2</v>
      </c>
      <c r="E402">
        <f>estuary_data!S399*weights!$C$6</f>
        <v>1.7580814345022785E-2</v>
      </c>
      <c r="F402">
        <f>estuary_data!W399*weights!$C$4</f>
        <v>0.12257369246134221</v>
      </c>
      <c r="G402">
        <f>estuary_data!T399*weights!$C$7</f>
        <v>2.3910613752394169E-2</v>
      </c>
      <c r="H402">
        <f>SUM(B402:G402)</f>
        <v>0.37849234228397827</v>
      </c>
      <c r="I402" t="str">
        <f>IF(H402&gt;$L$5/10*9,"1",IF(H402&gt;$L$5/10*8,"2",IF(H402&gt;$L$5/10*7,"3",IF(H402&gt;$L$5/10*6,"4",IF(H402&gt;$L$5/10*5,"5",IF(H402&gt;$L$5/10*4,"6",IF(H402&gt;$L$5/10*3,"7",IF(H402&gt;$L$5/10*2,"8",IF(H402&gt;$L$5/10,"9","10")))))))))</f>
        <v>5</v>
      </c>
    </row>
    <row r="403" spans="1:9" x14ac:dyDescent="0.55000000000000004">
      <c r="A403">
        <v>402</v>
      </c>
      <c r="B403">
        <f>estuary_data!U400*weights!$C$2</f>
        <v>6.6780514159150456E-2</v>
      </c>
      <c r="C403">
        <f>estuary_data!R400*weights!$C$5</f>
        <v>0.10109244900374305</v>
      </c>
      <c r="D403">
        <f>estuary_data!V400*weights!$C$3</f>
        <v>2.8962920557463162E-2</v>
      </c>
      <c r="E403">
        <f>estuary_data!S400*weights!$C$6</f>
        <v>1.0673154281379271E-2</v>
      </c>
      <c r="F403">
        <f>estuary_data!W400*weights!$C$4</f>
        <v>9.2610620481933054E-2</v>
      </c>
      <c r="G403">
        <f>estuary_data!T400*weights!$C$7</f>
        <v>2.4012342862361234E-2</v>
      </c>
      <c r="H403">
        <f>SUM(B403:G403)</f>
        <v>0.32413200134603026</v>
      </c>
      <c r="I403" t="str">
        <f>IF(H403&gt;$L$5/10*9,"1",IF(H403&gt;$L$5/10*8,"2",IF(H403&gt;$L$5/10*7,"3",IF(H403&gt;$L$5/10*6,"4",IF(H403&gt;$L$5/10*5,"5",IF(H403&gt;$L$5/10*4,"6",IF(H403&gt;$L$5/10*3,"7",IF(H403&gt;$L$5/10*2,"8",IF(H403&gt;$L$5/10,"9","10")))))))))</f>
        <v>6</v>
      </c>
    </row>
    <row r="404" spans="1:9" x14ac:dyDescent="0.55000000000000004">
      <c r="A404">
        <v>403</v>
      </c>
      <c r="B404">
        <f>estuary_data!U401*weights!$C$2</f>
        <v>5.9032617509687337E-2</v>
      </c>
      <c r="C404">
        <f>estuary_data!R401*weights!$C$5</f>
        <v>9.7938587747244399E-2</v>
      </c>
      <c r="D404">
        <f>estuary_data!V401*weights!$C$3</f>
        <v>2.7610832510709515E-2</v>
      </c>
      <c r="E404">
        <f>estuary_data!S401*weights!$C$6</f>
        <v>1.637100162640899E-2</v>
      </c>
      <c r="F404">
        <f>estuary_data!W401*weights!$C$4</f>
        <v>8.0962755889925547E-2</v>
      </c>
      <c r="G404">
        <f>estuary_data!T401*weights!$C$7</f>
        <v>9.6763072156498507E-3</v>
      </c>
      <c r="H404">
        <f>SUM(B404:G404)</f>
        <v>0.29159210249962564</v>
      </c>
      <c r="I404" t="str">
        <f>IF(H404&gt;$L$5/10*9,"1",IF(H404&gt;$L$5/10*8,"2",IF(H404&gt;$L$5/10*7,"3",IF(H404&gt;$L$5/10*6,"4",IF(H404&gt;$L$5/10*5,"5",IF(H404&gt;$L$5/10*4,"6",IF(H404&gt;$L$5/10*3,"7",IF(H404&gt;$L$5/10*2,"8",IF(H404&gt;$L$5/10,"9","10")))))))))</f>
        <v>6</v>
      </c>
    </row>
    <row r="405" spans="1:9" x14ac:dyDescent="0.55000000000000004">
      <c r="A405">
        <v>404</v>
      </c>
      <c r="B405">
        <f>estuary_data!U402*weights!$C$2</f>
        <v>6.2102760193816019E-2</v>
      </c>
      <c r="C405">
        <f>estuary_data!R402*weights!$C$5</f>
        <v>9.6400133051979128E-2</v>
      </c>
      <c r="D405">
        <f>estuary_data!V402*weights!$C$3</f>
        <v>2.6866500582528877E-2</v>
      </c>
      <c r="E405">
        <f>estuary_data!S402*weights!$C$6</f>
        <v>1.3976116076220282E-2</v>
      </c>
      <c r="F405">
        <f>estuary_data!W402*weights!$C$4</f>
        <v>7.5784276796612343E-2</v>
      </c>
      <c r="G405">
        <f>estuary_data!T402*weights!$C$7</f>
        <v>1.2373813673390769E-2</v>
      </c>
      <c r="H405">
        <f>SUM(B405:G405)</f>
        <v>0.28750360037454736</v>
      </c>
      <c r="I405" t="str">
        <f>IF(H405&gt;$L$5/10*9,"1",IF(H405&gt;$L$5/10*8,"2",IF(H405&gt;$L$5/10*7,"3",IF(H405&gt;$L$5/10*6,"4",IF(H405&gt;$L$5/10*5,"5",IF(H405&gt;$L$5/10*4,"6",IF(H405&gt;$L$5/10*3,"7",IF(H405&gt;$L$5/10*2,"8",IF(H405&gt;$L$5/10,"9","10")))))))))</f>
        <v>6</v>
      </c>
    </row>
    <row r="406" spans="1:9" x14ac:dyDescent="0.55000000000000004">
      <c r="A406">
        <v>405</v>
      </c>
      <c r="B406">
        <f>estuary_data!U403*weights!$C$2</f>
        <v>6.0791281639406725E-2</v>
      </c>
      <c r="C406">
        <f>estuary_data!R403*weights!$C$5</f>
        <v>0.1020995181301487</v>
      </c>
      <c r="D406">
        <f>estuary_data!V403*weights!$C$3</f>
        <v>4.1021933406033786E-2</v>
      </c>
      <c r="E406">
        <f>estuary_data!S403*weights!$C$6</f>
        <v>9.1631251244393454E-3</v>
      </c>
      <c r="F406">
        <f>estuary_data!W403*weights!$C$4</f>
        <v>0.13546406095486691</v>
      </c>
      <c r="G406">
        <f>estuary_data!T403*weights!$C$7</f>
        <v>3.2099442014061459E-2</v>
      </c>
      <c r="H406">
        <f>SUM(B406:G406)</f>
        <v>0.38063936126895692</v>
      </c>
      <c r="I406" t="str">
        <f>IF(H406&gt;$L$5/10*9,"1",IF(H406&gt;$L$5/10*8,"2",IF(H406&gt;$L$5/10*7,"3",IF(H406&gt;$L$5/10*6,"4",IF(H406&gt;$L$5/10*5,"5",IF(H406&gt;$L$5/10*4,"6",IF(H406&gt;$L$5/10*3,"7",IF(H406&gt;$L$5/10*2,"8",IF(H406&gt;$L$5/10,"9","10")))))))))</f>
        <v>5</v>
      </c>
    </row>
    <row r="407" spans="1:9" x14ac:dyDescent="0.55000000000000004">
      <c r="A407">
        <v>406</v>
      </c>
      <c r="B407">
        <f>estuary_data!U404*weights!$C$2</f>
        <v>6.1157140320645773E-2</v>
      </c>
      <c r="C407">
        <f>estuary_data!R404*weights!$C$5</f>
        <v>0.10740937353923653</v>
      </c>
      <c r="D407">
        <f>estuary_data!V404*weights!$C$3</f>
        <v>3.2389143554734781E-2</v>
      </c>
      <c r="E407">
        <f>estuary_data!S404*weights!$C$6</f>
        <v>1.5135215753518987E-2</v>
      </c>
      <c r="F407">
        <f>estuary_data!W404*weights!$C$4</f>
        <v>0.11009166132395823</v>
      </c>
      <c r="G407">
        <f>estuary_data!T404*weights!$C$7</f>
        <v>2.2226570448131835E-2</v>
      </c>
      <c r="H407">
        <f>SUM(B407:G407)</f>
        <v>0.34840910494022609</v>
      </c>
      <c r="I407" t="str">
        <f>IF(H407&gt;$L$5/10*9,"1",IF(H407&gt;$L$5/10*8,"2",IF(H407&gt;$L$5/10*7,"3",IF(H407&gt;$L$5/10*6,"4",IF(H407&gt;$L$5/10*5,"5",IF(H407&gt;$L$5/10*4,"6",IF(H407&gt;$L$5/10*3,"7",IF(H407&gt;$L$5/10*2,"8",IF(H407&gt;$L$5/10,"9","10")))))))))</f>
        <v>5</v>
      </c>
    </row>
    <row r="408" spans="1:9" x14ac:dyDescent="0.55000000000000004">
      <c r="A408">
        <v>407</v>
      </c>
      <c r="B408">
        <f>estuary_data!U405*weights!$C$2</f>
        <v>6.3427377388767969E-2</v>
      </c>
      <c r="C408">
        <f>estuary_data!R405*weights!$C$5</f>
        <v>0.10590855702913873</v>
      </c>
      <c r="D408">
        <f>estuary_data!V405*weights!$C$3</f>
        <v>3.8446209637213624E-2</v>
      </c>
      <c r="E408">
        <f>estuary_data!S405*weights!$C$6</f>
        <v>1.828078776130939E-2</v>
      </c>
      <c r="F408">
        <f>estuary_data!W405*weights!$C$4</f>
        <v>0.12851769017190798</v>
      </c>
      <c r="G408">
        <f>estuary_data!T405*weights!$C$7</f>
        <v>1.8749022810668356E-2</v>
      </c>
      <c r="H408">
        <f>SUM(B408:G408)</f>
        <v>0.3733296447990061</v>
      </c>
      <c r="I408" t="str">
        <f>IF(H408&gt;$L$5/10*9,"1",IF(H408&gt;$L$5/10*8,"2",IF(H408&gt;$L$5/10*7,"3",IF(H408&gt;$L$5/10*6,"4",IF(H408&gt;$L$5/10*5,"5",IF(H408&gt;$L$5/10*4,"6",IF(H408&gt;$L$5/10*3,"7",IF(H408&gt;$L$5/10*2,"8",IF(H408&gt;$L$5/10,"9","10")))))))))</f>
        <v>5</v>
      </c>
    </row>
    <row r="409" spans="1:9" x14ac:dyDescent="0.55000000000000004">
      <c r="A409">
        <v>408</v>
      </c>
      <c r="B409">
        <f>estuary_data!U406*weights!$C$2</f>
        <v>6.0914697189823543E-2</v>
      </c>
      <c r="C409">
        <f>estuary_data!R406*weights!$C$5</f>
        <v>0.10031744690870457</v>
      </c>
      <c r="D409">
        <f>estuary_data!V406*weights!$C$3</f>
        <v>3.5119538392989112E-2</v>
      </c>
      <c r="E409">
        <f>estuary_data!S406*weights!$C$6</f>
        <v>1.9835908289218107E-2</v>
      </c>
      <c r="F409">
        <f>estuary_data!W406*weights!$C$4</f>
        <v>0.12399967330593169</v>
      </c>
      <c r="G409">
        <f>estuary_data!T406*weights!$C$7</f>
        <v>9.8610648928078321E-3</v>
      </c>
      <c r="H409">
        <f>SUM(B409:G409)</f>
        <v>0.35004832897947491</v>
      </c>
      <c r="I409" t="str">
        <f>IF(H409&gt;$L$5/10*9,"1",IF(H409&gt;$L$5/10*8,"2",IF(H409&gt;$L$5/10*7,"3",IF(H409&gt;$L$5/10*6,"4",IF(H409&gt;$L$5/10*5,"5",IF(H409&gt;$L$5/10*4,"6",IF(H409&gt;$L$5/10*3,"7",IF(H409&gt;$L$5/10*2,"8",IF(H409&gt;$L$5/10,"9","10")))))))))</f>
        <v>5</v>
      </c>
    </row>
    <row r="410" spans="1:9" x14ac:dyDescent="0.55000000000000004">
      <c r="A410">
        <v>409</v>
      </c>
      <c r="B410">
        <f>estuary_data!U407*weights!$C$2</f>
        <v>6.0989320939982862E-2</v>
      </c>
      <c r="C410">
        <f>estuary_data!R407*weights!$C$5</f>
        <v>9.9649749449790589E-2</v>
      </c>
      <c r="D410">
        <f>estuary_data!V407*weights!$C$3</f>
        <v>3.0800970549078575E-2</v>
      </c>
      <c r="E410">
        <f>estuary_data!S407*weights!$C$6</f>
        <v>2.1565590669832834E-2</v>
      </c>
      <c r="F410">
        <f>estuary_data!W407*weights!$C$4</f>
        <v>0.1002756658882218</v>
      </c>
      <c r="G410">
        <f>estuary_data!T407*weights!$C$7</f>
        <v>5.921474270343511E-3</v>
      </c>
      <c r="H410">
        <f>SUM(B410:G410)</f>
        <v>0.31920277176725015</v>
      </c>
      <c r="I410" t="str">
        <f>IF(H410&gt;$L$5/10*9,"1",IF(H410&gt;$L$5/10*8,"2",IF(H410&gt;$L$5/10*7,"3",IF(H410&gt;$L$5/10*6,"4",IF(H410&gt;$L$5/10*5,"5",IF(H410&gt;$L$5/10*4,"6",IF(H410&gt;$L$5/10*3,"7",IF(H410&gt;$L$5/10*2,"8",IF(H410&gt;$L$5/10,"9","10")))))))))</f>
        <v>6</v>
      </c>
    </row>
    <row r="411" spans="1:9" x14ac:dyDescent="0.55000000000000004">
      <c r="A411">
        <v>410</v>
      </c>
      <c r="B411">
        <f>estuary_data!U408*weights!$C$2</f>
        <v>5.7584683250543361E-2</v>
      </c>
      <c r="C411">
        <f>estuary_data!R408*weights!$C$5</f>
        <v>7.8122089588868238E-2</v>
      </c>
      <c r="D411">
        <f>estuary_data!V408*weights!$C$3</f>
        <v>3.6331282200419673E-2</v>
      </c>
      <c r="E411">
        <f>estuary_data!S408*weights!$C$6</f>
        <v>4.0905008868253045E-2</v>
      </c>
      <c r="F411">
        <f>estuary_data!W408*weights!$C$4</f>
        <v>0.11470772478822143</v>
      </c>
      <c r="G411">
        <f>estuary_data!T408*weights!$C$7</f>
        <v>4.0785152866869116E-2</v>
      </c>
      <c r="H411">
        <f>SUM(B411:G411)</f>
        <v>0.36843594156317488</v>
      </c>
      <c r="I411" t="str">
        <f>IF(H411&gt;$L$5/10*9,"1",IF(H411&gt;$L$5/10*8,"2",IF(H411&gt;$L$5/10*7,"3",IF(H411&gt;$L$5/10*6,"4",IF(H411&gt;$L$5/10*5,"5",IF(H411&gt;$L$5/10*4,"6",IF(H411&gt;$L$5/10*3,"7",IF(H411&gt;$L$5/10*2,"8",IF(H411&gt;$L$5/10,"9","10")))))))))</f>
        <v>5</v>
      </c>
    </row>
    <row r="412" spans="1:9" x14ac:dyDescent="0.55000000000000004">
      <c r="A412">
        <v>411</v>
      </c>
      <c r="B412">
        <f>estuary_data!U409*weights!$C$2</f>
        <v>4.3465839117909348E-2</v>
      </c>
      <c r="C412">
        <f>estuary_data!R409*weights!$C$5</f>
        <v>6.47068018034644E-2</v>
      </c>
      <c r="D412">
        <f>estuary_data!V409*weights!$C$3</f>
        <v>2.9597903508044112E-2</v>
      </c>
      <c r="E412">
        <f>estuary_data!S409*weights!$C$6</f>
        <v>4.7292557534899131E-2</v>
      </c>
      <c r="F412">
        <f>estuary_data!W409*weights!$C$4</f>
        <v>8.7726834227181E-2</v>
      </c>
      <c r="G412">
        <f>estuary_data!T409*weights!$C$7</f>
        <v>6.0422790335201433E-2</v>
      </c>
      <c r="H412">
        <f>SUM(B412:G412)</f>
        <v>0.33321272652669942</v>
      </c>
      <c r="I412" t="str">
        <f>IF(H412&gt;$L$5/10*9,"1",IF(H412&gt;$L$5/10*8,"2",IF(H412&gt;$L$5/10*7,"3",IF(H412&gt;$L$5/10*6,"4",IF(H412&gt;$L$5/10*5,"5",IF(H412&gt;$L$5/10*4,"6",IF(H412&gt;$L$5/10*3,"7",IF(H412&gt;$L$5/10*2,"8",IF(H412&gt;$L$5/10,"9","10")))))))))</f>
        <v>5</v>
      </c>
    </row>
    <row r="413" spans="1:9" x14ac:dyDescent="0.55000000000000004">
      <c r="A413">
        <v>412</v>
      </c>
      <c r="B413">
        <f>estuary_data!U410*weights!$C$2</f>
        <v>4.0874593377278029E-2</v>
      </c>
      <c r="C413">
        <f>estuary_data!R410*weights!$C$5</f>
        <v>6.3984280715460612E-2</v>
      </c>
      <c r="D413">
        <f>estuary_data!V410*weights!$C$3</f>
        <v>2.8913383661303999E-2</v>
      </c>
      <c r="E413">
        <f>estuary_data!S410*weights!$C$6</f>
        <v>4.8201772063358107E-2</v>
      </c>
      <c r="F413">
        <f>estuary_data!W410*weights!$C$4</f>
        <v>8.5143061167186354E-2</v>
      </c>
      <c r="G413">
        <f>estuary_data!T410*weights!$C$7</f>
        <v>6.2146130234019596E-2</v>
      </c>
      <c r="H413">
        <f>SUM(B413:G413)</f>
        <v>0.32926322121860668</v>
      </c>
      <c r="I413" t="str">
        <f>IF(H413&gt;$L$5/10*9,"1",IF(H413&gt;$L$5/10*8,"2",IF(H413&gt;$L$5/10*7,"3",IF(H413&gt;$L$5/10*6,"4",IF(H413&gt;$L$5/10*5,"5",IF(H413&gt;$L$5/10*4,"6",IF(H413&gt;$L$5/10*3,"7",IF(H413&gt;$L$5/10*2,"8",IF(H413&gt;$L$5/10,"9","10")))))))))</f>
        <v>6</v>
      </c>
    </row>
    <row r="414" spans="1:9" x14ac:dyDescent="0.55000000000000004">
      <c r="A414">
        <v>413</v>
      </c>
      <c r="B414">
        <f>estuary_data!U411*weights!$C$2</f>
        <v>3.6656552973329738E-2</v>
      </c>
      <c r="C414">
        <f>estuary_data!R411*weights!$C$5</f>
        <v>7.0393905967499643E-2</v>
      </c>
      <c r="D414">
        <f>estuary_data!V411*weights!$C$3</f>
        <v>2.9861368672462755E-2</v>
      </c>
      <c r="E414">
        <f>estuary_data!S411*weights!$C$6</f>
        <v>4.0493088073804979E-2</v>
      </c>
      <c r="F414">
        <f>estuary_data!W411*weights!$C$4</f>
        <v>8.6108295193644449E-2</v>
      </c>
      <c r="G414">
        <f>estuary_data!T411*weights!$C$7</f>
        <v>4.3683899465094551E-2</v>
      </c>
      <c r="H414">
        <f>SUM(B414:G414)</f>
        <v>0.30719711034583608</v>
      </c>
      <c r="I414" t="str">
        <f>IF(H414&gt;$L$5/10*9,"1",IF(H414&gt;$L$5/10*8,"2",IF(H414&gt;$L$5/10*7,"3",IF(H414&gt;$L$5/10*6,"4",IF(H414&gt;$L$5/10*5,"5",IF(H414&gt;$L$5/10*4,"6",IF(H414&gt;$L$5/10*3,"7",IF(H414&gt;$L$5/10*2,"8",IF(H414&gt;$L$5/10,"9","10")))))))))</f>
        <v>6</v>
      </c>
    </row>
    <row r="415" spans="1:9" x14ac:dyDescent="0.55000000000000004">
      <c r="A415">
        <v>414</v>
      </c>
      <c r="B415">
        <f>estuary_data!U412*weights!$C$2</f>
        <v>6.1428196989283784E-2</v>
      </c>
      <c r="C415">
        <f>estuary_data!R412*weights!$C$5</f>
        <v>0.10839382422907635</v>
      </c>
      <c r="D415">
        <f>estuary_data!V412*weights!$C$3</f>
        <v>3.2511326544135515E-2</v>
      </c>
      <c r="E415">
        <f>estuary_data!S412*weights!$C$6</f>
        <v>3.4381816890450903E-2</v>
      </c>
      <c r="F415">
        <f>estuary_data!W412*weights!$C$4</f>
        <v>9.5959251786244731E-2</v>
      </c>
      <c r="G415">
        <f>estuary_data!T412*weights!$C$7</f>
        <v>1.3233595709565435E-2</v>
      </c>
      <c r="H415">
        <f>SUM(B415:G415)</f>
        <v>0.34590801214875672</v>
      </c>
      <c r="I415" t="str">
        <f>IF(H415&gt;$L$5/10*9,"1",IF(H415&gt;$L$5/10*8,"2",IF(H415&gt;$L$5/10*7,"3",IF(H415&gt;$L$5/10*6,"4",IF(H415&gt;$L$5/10*5,"5",IF(H415&gt;$L$5/10*4,"6",IF(H415&gt;$L$5/10*3,"7",IF(H415&gt;$L$5/10*2,"8",IF(H415&gt;$L$5/10,"9","10")))))))))</f>
        <v>5</v>
      </c>
    </row>
    <row r="416" spans="1:9" x14ac:dyDescent="0.55000000000000004">
      <c r="A416">
        <v>415</v>
      </c>
      <c r="B416">
        <f>estuary_data!U413*weights!$C$2</f>
        <v>5.6852751670558123E-2</v>
      </c>
      <c r="C416">
        <f>estuary_data!R413*weights!$C$5</f>
        <v>0.10357315480289543</v>
      </c>
      <c r="D416">
        <f>estuary_data!V413*weights!$C$3</f>
        <v>3.157141029176333E-2</v>
      </c>
      <c r="E416">
        <f>estuary_data!S413*weights!$C$6</f>
        <v>3.5861935206776975E-2</v>
      </c>
      <c r="F416">
        <f>estuary_data!W413*weights!$C$4</f>
        <v>9.1206065385057697E-2</v>
      </c>
      <c r="G416">
        <f>estuary_data!T413*weights!$C$7</f>
        <v>1.7537146773404583E-2</v>
      </c>
      <c r="H416">
        <f>SUM(B416:G416)</f>
        <v>0.33660246413045614</v>
      </c>
      <c r="I416" t="str">
        <f>IF(H416&gt;$L$5/10*9,"1",IF(H416&gt;$L$5/10*8,"2",IF(H416&gt;$L$5/10*7,"3",IF(H416&gt;$L$5/10*6,"4",IF(H416&gt;$L$5/10*5,"5",IF(H416&gt;$L$5/10*4,"6",IF(H416&gt;$L$5/10*3,"7",IF(H416&gt;$L$5/10*2,"8",IF(H416&gt;$L$5/10,"9","10")))))))))</f>
        <v>5</v>
      </c>
    </row>
    <row r="417" spans="1:9" x14ac:dyDescent="0.55000000000000004">
      <c r="A417">
        <v>416</v>
      </c>
      <c r="B417">
        <f>estuary_data!U414*weights!$C$2</f>
        <v>4.9438108980354709E-2</v>
      </c>
      <c r="C417">
        <f>estuary_data!R414*weights!$C$5</f>
        <v>9.7575197426797211E-2</v>
      </c>
      <c r="D417">
        <f>estuary_data!V414*weights!$C$3</f>
        <v>2.9637791787062308E-2</v>
      </c>
      <c r="E417">
        <f>estuary_data!S414*weights!$C$6</f>
        <v>3.3844322254273224E-2</v>
      </c>
      <c r="F417">
        <f>estuary_data!W414*weights!$C$4</f>
        <v>8.7020453124304259E-2</v>
      </c>
      <c r="G417">
        <f>estuary_data!T414*weights!$C$7</f>
        <v>1.5181061394006557E-2</v>
      </c>
      <c r="H417">
        <f>SUM(B417:G417)</f>
        <v>0.31269693496679829</v>
      </c>
      <c r="I417" t="str">
        <f>IF(H417&gt;$L$5/10*9,"1",IF(H417&gt;$L$5/10*8,"2",IF(H417&gt;$L$5/10*7,"3",IF(H417&gt;$L$5/10*6,"4",IF(H417&gt;$L$5/10*5,"5",IF(H417&gt;$L$5/10*4,"6",IF(H417&gt;$L$5/10*3,"7",IF(H417&gt;$L$5/10*2,"8",IF(H417&gt;$L$5/10,"9","10")))))))))</f>
        <v>6</v>
      </c>
    </row>
    <row r="418" spans="1:9" x14ac:dyDescent="0.55000000000000004">
      <c r="A418">
        <v>417</v>
      </c>
      <c r="B418">
        <f>estuary_data!U415*weights!$C$2</f>
        <v>5.1308683665185949E-2</v>
      </c>
      <c r="C418">
        <f>estuary_data!R415*weights!$C$5</f>
        <v>9.4028730843085634E-2</v>
      </c>
      <c r="D418">
        <f>estuary_data!V415*weights!$C$3</f>
        <v>3.081768622364274E-2</v>
      </c>
      <c r="E418">
        <f>estuary_data!S415*weights!$C$6</f>
        <v>3.9251740792304084E-2</v>
      </c>
      <c r="F418">
        <f>estuary_data!W415*weights!$C$4</f>
        <v>9.2836069267907911E-2</v>
      </c>
      <c r="G418">
        <f>estuary_data!T415*weights!$C$7</f>
        <v>2.4771810014015884E-2</v>
      </c>
      <c r="H418">
        <f>SUM(B418:G418)</f>
        <v>0.33301472080614219</v>
      </c>
      <c r="I418" t="str">
        <f>IF(H418&gt;$L$5/10*9,"1",IF(H418&gt;$L$5/10*8,"2",IF(H418&gt;$L$5/10*7,"3",IF(H418&gt;$L$5/10*6,"4",IF(H418&gt;$L$5/10*5,"5",IF(H418&gt;$L$5/10*4,"6",IF(H418&gt;$L$5/10*3,"7",IF(H418&gt;$L$5/10*2,"8",IF(H418&gt;$L$5/10,"9","10")))))))))</f>
        <v>5</v>
      </c>
    </row>
    <row r="419" spans="1:9" x14ac:dyDescent="0.55000000000000004">
      <c r="A419">
        <v>418</v>
      </c>
      <c r="B419">
        <f>estuary_data!U416*weights!$C$2</f>
        <v>6.6227312997470866E-2</v>
      </c>
      <c r="C419">
        <f>estuary_data!R416*weights!$C$5</f>
        <v>8.9499110583153074E-2</v>
      </c>
      <c r="D419">
        <f>estuary_data!V416*weights!$C$3</f>
        <v>3.0726699892467787E-2</v>
      </c>
      <c r="E419">
        <f>estuary_data!S416*weights!$C$6</f>
        <v>3.594718492988714E-2</v>
      </c>
      <c r="F419">
        <f>estuary_data!W416*weights!$C$4</f>
        <v>0.11225214054977023</v>
      </c>
      <c r="G419">
        <f>estuary_data!T416*weights!$C$7</f>
        <v>2.1316987620631667E-2</v>
      </c>
      <c r="H419">
        <f>SUM(B419:G419)</f>
        <v>0.35596943657338076</v>
      </c>
      <c r="I419" t="str">
        <f>IF(H419&gt;$L$5/10*9,"1",IF(H419&gt;$L$5/10*8,"2",IF(H419&gt;$L$5/10*7,"3",IF(H419&gt;$L$5/10*6,"4",IF(H419&gt;$L$5/10*5,"5",IF(H419&gt;$L$5/10*4,"6",IF(H419&gt;$L$5/10*3,"7",IF(H419&gt;$L$5/10*2,"8",IF(H419&gt;$L$5/10,"9","10")))))))))</f>
        <v>5</v>
      </c>
    </row>
    <row r="420" spans="1:9" x14ac:dyDescent="0.55000000000000004">
      <c r="A420">
        <v>419</v>
      </c>
      <c r="B420">
        <f>estuary_data!U751*weights!$C$2</f>
        <v>2.2870520210038343E-2</v>
      </c>
      <c r="C420">
        <f>estuary_data!R751*weights!$C$5</f>
        <v>9.3044898561492673E-2</v>
      </c>
      <c r="D420">
        <f>estuary_data!V751*weights!$C$3</f>
        <v>3.2789492081945398E-2</v>
      </c>
      <c r="E420">
        <f>estuary_data!S751*weights!$C$6</f>
        <v>4.5248413292811006E-2</v>
      </c>
      <c r="F420">
        <f>estuary_data!W751*weights!$C$4</f>
        <v>0.15329842800055868</v>
      </c>
      <c r="G420">
        <f>estuary_data!T751*weights!$C$7</f>
        <v>6.1472622835669295E-2</v>
      </c>
      <c r="H420">
        <f>SUM(B420:G420)</f>
        <v>0.4087243749825154</v>
      </c>
      <c r="I420" t="str">
        <f>IF(H420&gt;$L$5/10*9,"1",IF(H420&gt;$L$5/10*8,"2",IF(H420&gt;$L$5/10*7,"3",IF(H420&gt;$L$5/10*6,"4",IF(H420&gt;$L$5/10*5,"5",IF(H420&gt;$L$5/10*4,"6",IF(H420&gt;$L$5/10*3,"7",IF(H420&gt;$L$5/10*2,"8",IF(H420&gt;$L$5/10,"9","10")))))))))</f>
        <v>4</v>
      </c>
    </row>
    <row r="421" spans="1:9" x14ac:dyDescent="0.55000000000000004">
      <c r="A421">
        <v>420</v>
      </c>
      <c r="B421">
        <f>estuary_data!U417*weights!$C$2</f>
        <v>4.6548290536644971E-2</v>
      </c>
      <c r="C421">
        <f>estuary_data!R417*weights!$C$5</f>
        <v>8.5098363368348556E-2</v>
      </c>
      <c r="D421">
        <f>estuary_data!V417*weights!$C$3</f>
        <v>3.2229910524776674E-2</v>
      </c>
      <c r="E421">
        <f>estuary_data!S417*weights!$C$6</f>
        <v>2.9269635435314894E-2</v>
      </c>
      <c r="F421">
        <f>estuary_data!W417*weights!$C$4</f>
        <v>0.10839729880662821</v>
      </c>
      <c r="G421">
        <f>estuary_data!T417*weights!$C$7</f>
        <v>1.1948334241343644E-2</v>
      </c>
      <c r="H421">
        <f>SUM(B421:G421)</f>
        <v>0.31349183291305693</v>
      </c>
      <c r="I421" t="str">
        <f>IF(H421&gt;$L$5/10*9,"1",IF(H421&gt;$L$5/10*8,"2",IF(H421&gt;$L$5/10*7,"3",IF(H421&gt;$L$5/10*6,"4",IF(H421&gt;$L$5/10*5,"5",IF(H421&gt;$L$5/10*4,"6",IF(H421&gt;$L$5/10*3,"7",IF(H421&gt;$L$5/10*2,"8",IF(H421&gt;$L$5/10,"9","10")))))))))</f>
        <v>6</v>
      </c>
    </row>
    <row r="422" spans="1:9" x14ac:dyDescent="0.55000000000000004">
      <c r="A422">
        <v>421</v>
      </c>
      <c r="B422">
        <f>estuary_data!U418*weights!$C$2</f>
        <v>5.0841148971776932E-2</v>
      </c>
      <c r="C422">
        <f>estuary_data!R418*weights!$C$5</f>
        <v>8.5899404411624039E-2</v>
      </c>
      <c r="D422">
        <f>estuary_data!V418*weights!$C$3</f>
        <v>3.1134430838174763E-2</v>
      </c>
      <c r="E422">
        <f>estuary_data!S418*weights!$C$6</f>
        <v>3.2060413621012598E-2</v>
      </c>
      <c r="F422">
        <f>estuary_data!W418*weights!$C$4</f>
        <v>0.10526817218653094</v>
      </c>
      <c r="G422">
        <f>estuary_data!T418*weights!$C$7</f>
        <v>1.6833551976117682E-2</v>
      </c>
      <c r="H422">
        <f>SUM(B422:G422)</f>
        <v>0.32203712200523699</v>
      </c>
      <c r="I422" t="str">
        <f>IF(H422&gt;$L$5/10*9,"1",IF(H422&gt;$L$5/10*8,"2",IF(H422&gt;$L$5/10*7,"3",IF(H422&gt;$L$5/10*6,"4",IF(H422&gt;$L$5/10*5,"5",IF(H422&gt;$L$5/10*4,"6",IF(H422&gt;$L$5/10*3,"7",IF(H422&gt;$L$5/10*2,"8",IF(H422&gt;$L$5/10,"9","10")))))))))</f>
        <v>6</v>
      </c>
    </row>
    <row r="423" spans="1:9" x14ac:dyDescent="0.55000000000000004">
      <c r="A423">
        <v>422</v>
      </c>
      <c r="B423">
        <f>estuary_data!U752*weights!$C$2</f>
        <v>2.4124922707672854E-2</v>
      </c>
      <c r="C423">
        <f>estuary_data!R752*weights!$C$5</f>
        <v>9.3859963756511094E-2</v>
      </c>
      <c r="D423">
        <f>estuary_data!V752*weights!$C$3</f>
        <v>3.0235365078869356E-2</v>
      </c>
      <c r="E423">
        <f>estuary_data!S752*weights!$C$6</f>
        <v>4.3354882279177089E-2</v>
      </c>
      <c r="F423">
        <f>estuary_data!W752*weights!$C$4</f>
        <v>0.15289834724399914</v>
      </c>
      <c r="G423">
        <f>estuary_data!T752*weights!$C$7</f>
        <v>5.7132404817663775E-2</v>
      </c>
      <c r="H423">
        <f>SUM(B423:G423)</f>
        <v>0.40160588588389334</v>
      </c>
      <c r="I423" t="str">
        <f>IF(H423&gt;$L$5/10*9,"1",IF(H423&gt;$L$5/10*8,"2",IF(H423&gt;$L$5/10*7,"3",IF(H423&gt;$L$5/10*6,"4",IF(H423&gt;$L$5/10*5,"5",IF(H423&gt;$L$5/10*4,"6",IF(H423&gt;$L$5/10*3,"7",IF(H423&gt;$L$5/10*2,"8",IF(H423&gt;$L$5/10,"9","10")))))))))</f>
        <v>4</v>
      </c>
    </row>
    <row r="424" spans="1:9" x14ac:dyDescent="0.55000000000000004">
      <c r="A424">
        <v>423</v>
      </c>
      <c r="B424">
        <f>estuary_data!U419*weights!$C$2</f>
        <v>4.8523217507090023E-2</v>
      </c>
      <c r="C424">
        <f>estuary_data!R419*weights!$C$5</f>
        <v>8.1597620839516202E-2</v>
      </c>
      <c r="D424">
        <f>estuary_data!V419*weights!$C$3</f>
        <v>3.4678228054313587E-2</v>
      </c>
      <c r="E424">
        <f>estuary_data!S419*weights!$C$6</f>
        <v>2.8823220098998441E-2</v>
      </c>
      <c r="F424">
        <f>estuary_data!W419*weights!$C$4</f>
        <v>0.11875110777460159</v>
      </c>
      <c r="G424">
        <f>estuary_data!T419*weights!$C$7</f>
        <v>9.5443241395068382E-3</v>
      </c>
      <c r="H424">
        <f>SUM(B424:G424)</f>
        <v>0.32191771841402667</v>
      </c>
      <c r="I424" t="str">
        <f>IF(H424&gt;$L$5/10*9,"1",IF(H424&gt;$L$5/10*8,"2",IF(H424&gt;$L$5/10*7,"3",IF(H424&gt;$L$5/10*6,"4",IF(H424&gt;$L$5/10*5,"5",IF(H424&gt;$L$5/10*4,"6",IF(H424&gt;$L$5/10*3,"7",IF(H424&gt;$L$5/10*2,"8",IF(H424&gt;$L$5/10,"9","10")))))))))</f>
        <v>6</v>
      </c>
    </row>
    <row r="425" spans="1:9" x14ac:dyDescent="0.55000000000000004">
      <c r="A425">
        <v>424</v>
      </c>
      <c r="B425">
        <f>estuary_data!U753*weights!$C$2</f>
        <v>2.4546835252375096E-2</v>
      </c>
      <c r="C425">
        <f>estuary_data!R753*weights!$C$5</f>
        <v>9.6559960245705762E-2</v>
      </c>
      <c r="D425">
        <f>estuary_data!V753*weights!$C$3</f>
        <v>2.8619082427263871E-2</v>
      </c>
      <c r="E425">
        <f>estuary_data!S753*weights!$C$6</f>
        <v>3.721942098263422E-2</v>
      </c>
      <c r="F425">
        <f>estuary_data!W753*weights!$C$4</f>
        <v>0.14926561903083727</v>
      </c>
      <c r="G425">
        <f>estuary_data!T753*weights!$C$7</f>
        <v>4.3618059899821329E-2</v>
      </c>
      <c r="H425">
        <f>SUM(B425:G425)</f>
        <v>0.3798289778386375</v>
      </c>
      <c r="I425" t="str">
        <f>IF(H425&gt;$L$5/10*9,"1",IF(H425&gt;$L$5/10*8,"2",IF(H425&gt;$L$5/10*7,"3",IF(H425&gt;$L$5/10*6,"4",IF(H425&gt;$L$5/10*5,"5",IF(H425&gt;$L$5/10*4,"6",IF(H425&gt;$L$5/10*3,"7",IF(H425&gt;$L$5/10*2,"8",IF(H425&gt;$L$5/10,"9","10")))))))))</f>
        <v>5</v>
      </c>
    </row>
    <row r="426" spans="1:9" x14ac:dyDescent="0.55000000000000004">
      <c r="A426">
        <v>425</v>
      </c>
      <c r="B426" t="e">
        <f>estuary_data!U420*weights!$C$2</f>
        <v>#VALUE!</v>
      </c>
      <c r="C426" t="e">
        <f>estuary_data!R420*weights!$C$5</f>
        <v>#VALUE!</v>
      </c>
      <c r="D426" t="e">
        <f>estuary_data!V420*weights!$C$3</f>
        <v>#VALUE!</v>
      </c>
      <c r="E426" t="e">
        <f>estuary_data!S420*weights!$C$6</f>
        <v>#VALUE!</v>
      </c>
      <c r="F426" t="e">
        <f>estuary_data!W420*weights!$C$4</f>
        <v>#VALUE!</v>
      </c>
      <c r="G426" t="e">
        <f>estuary_data!T420*weights!$C$7</f>
        <v>#VALUE!</v>
      </c>
      <c r="H426" t="e">
        <f>SUM(B426:G426)</f>
        <v>#VALUE!</v>
      </c>
      <c r="I426" t="e">
        <f>IF(H426&gt;$L$5/10*9,"1",IF(H426&gt;$L$5/10*8,"2",IF(H426&gt;$L$5/10*7,"3",IF(H426&gt;$L$5/10*6,"4",IF(H426&gt;$L$5/10*5,"5",IF(H426&gt;$L$5/10*4,"6",IF(H426&gt;$L$5/10*3,"7",IF(H426&gt;$L$5/10*2,"8",IF(H426&gt;$L$5/10,"9","10")))))))))</f>
        <v>#VALUE!</v>
      </c>
    </row>
    <row r="427" spans="1:9" x14ac:dyDescent="0.55000000000000004">
      <c r="A427">
        <v>426</v>
      </c>
      <c r="B427">
        <f>estuary_data!U421*weights!$C$2</f>
        <v>4.9280988862046488E-2</v>
      </c>
      <c r="C427">
        <f>estuary_data!R421*weights!$C$5</f>
        <v>8.0267231336900197E-2</v>
      </c>
      <c r="D427">
        <f>estuary_data!V421*weights!$C$3</f>
        <v>3.2538008070508426E-2</v>
      </c>
      <c r="E427">
        <f>estuary_data!S421*weights!$C$6</f>
        <v>2.9924974590388044E-2</v>
      </c>
      <c r="F427">
        <f>estuary_data!W421*weights!$C$4</f>
        <v>0.11665035577768756</v>
      </c>
      <c r="G427">
        <f>estuary_data!T421*weights!$C$7</f>
        <v>1.364176503224445E-2</v>
      </c>
      <c r="H427">
        <f>SUM(B427:G427)</f>
        <v>0.32230332366977521</v>
      </c>
      <c r="I427" t="str">
        <f>IF(H427&gt;$L$5/10*9,"1",IF(H427&gt;$L$5/10*8,"2",IF(H427&gt;$L$5/10*7,"3",IF(H427&gt;$L$5/10*6,"4",IF(H427&gt;$L$5/10*5,"5",IF(H427&gt;$L$5/10*4,"6",IF(H427&gt;$L$5/10*3,"7",IF(H427&gt;$L$5/10*2,"8",IF(H427&gt;$L$5/10,"9","10")))))))))</f>
        <v>6</v>
      </c>
    </row>
    <row r="428" spans="1:9" x14ac:dyDescent="0.55000000000000004">
      <c r="A428">
        <v>427</v>
      </c>
      <c r="B428">
        <f>estuary_data!U422*weights!$C$2</f>
        <v>5.5360201058262053E-2</v>
      </c>
      <c r="C428">
        <f>estuary_data!R422*weights!$C$5</f>
        <v>7.9815720670601359E-2</v>
      </c>
      <c r="D428">
        <f>estuary_data!V422*weights!$C$3</f>
        <v>3.2112272525311902E-2</v>
      </c>
      <c r="E428">
        <f>estuary_data!S422*weights!$C$6</f>
        <v>3.2549376499318459E-2</v>
      </c>
      <c r="F428">
        <f>estuary_data!W422*weights!$C$4</f>
        <v>0.11709499068874304</v>
      </c>
      <c r="G428">
        <f>estuary_data!T422*weights!$C$7</f>
        <v>2.0979528261287475E-2</v>
      </c>
      <c r="H428">
        <f>SUM(B428:G428)</f>
        <v>0.33791208970352427</v>
      </c>
      <c r="I428" t="str">
        <f>IF(H428&gt;$L$5/10*9,"1",IF(H428&gt;$L$5/10*8,"2",IF(H428&gt;$L$5/10*7,"3",IF(H428&gt;$L$5/10*6,"4",IF(H428&gt;$L$5/10*5,"5",IF(H428&gt;$L$5/10*4,"6",IF(H428&gt;$L$5/10*3,"7",IF(H428&gt;$L$5/10*2,"8",IF(H428&gt;$L$5/10,"9","10")))))))))</f>
        <v>5</v>
      </c>
    </row>
    <row r="429" spans="1:9" x14ac:dyDescent="0.55000000000000004">
      <c r="A429">
        <v>428</v>
      </c>
      <c r="B429" t="e">
        <f>estuary_data!U423*weights!$C$2</f>
        <v>#VALUE!</v>
      </c>
      <c r="C429" t="e">
        <f>estuary_data!R423*weights!$C$5</f>
        <v>#VALUE!</v>
      </c>
      <c r="D429" t="e">
        <f>estuary_data!V423*weights!$C$3</f>
        <v>#VALUE!</v>
      </c>
      <c r="E429" t="e">
        <f>estuary_data!S423*weights!$C$6</f>
        <v>#VALUE!</v>
      </c>
      <c r="F429" t="e">
        <f>estuary_data!W423*weights!$C$4</f>
        <v>#VALUE!</v>
      </c>
      <c r="G429" t="e">
        <f>estuary_data!T423*weights!$C$7</f>
        <v>#VALUE!</v>
      </c>
      <c r="H429" t="e">
        <f>SUM(B429:G429)</f>
        <v>#VALUE!</v>
      </c>
      <c r="I429" t="e">
        <f>IF(H429&gt;$L$5/10*9,"1",IF(H429&gt;$L$5/10*8,"2",IF(H429&gt;$L$5/10*7,"3",IF(H429&gt;$L$5/10*6,"4",IF(H429&gt;$L$5/10*5,"5",IF(H429&gt;$L$5/10*4,"6",IF(H429&gt;$L$5/10*3,"7",IF(H429&gt;$L$5/10*2,"8",IF(H429&gt;$L$5/10,"9","10")))))))))</f>
        <v>#VALUE!</v>
      </c>
    </row>
    <row r="430" spans="1:9" x14ac:dyDescent="0.55000000000000004">
      <c r="A430">
        <v>429</v>
      </c>
      <c r="B430">
        <f>estuary_data!U424*weights!$C$2</f>
        <v>4.8762452459108721E-2</v>
      </c>
      <c r="C430">
        <f>estuary_data!R424*weights!$C$5</f>
        <v>8.0464774158290925E-2</v>
      </c>
      <c r="D430">
        <f>estuary_data!V424*weights!$C$3</f>
        <v>3.5119479516581641E-2</v>
      </c>
      <c r="E430">
        <f>estuary_data!S424*weights!$C$6</f>
        <v>1.6995152355623887E-2</v>
      </c>
      <c r="F430">
        <f>estuary_data!W424*weights!$C$4</f>
        <v>0.12833359489318402</v>
      </c>
      <c r="G430">
        <f>estuary_data!T424*weights!$C$7</f>
        <v>1.1566114443355107E-2</v>
      </c>
      <c r="H430">
        <f>SUM(B430:G430)</f>
        <v>0.32124156782614433</v>
      </c>
      <c r="I430" t="str">
        <f>IF(H430&gt;$L$5/10*9,"1",IF(H430&gt;$L$5/10*8,"2",IF(H430&gt;$L$5/10*7,"3",IF(H430&gt;$L$5/10*6,"4",IF(H430&gt;$L$5/10*5,"5",IF(H430&gt;$L$5/10*4,"6",IF(H430&gt;$L$5/10*3,"7",IF(H430&gt;$L$5/10*2,"8",IF(H430&gt;$L$5/10,"9","10")))))))))</f>
        <v>6</v>
      </c>
    </row>
    <row r="431" spans="1:9" x14ac:dyDescent="0.55000000000000004">
      <c r="A431">
        <v>430</v>
      </c>
      <c r="B431" t="e">
        <f>estuary_data!U425*weights!$C$2</f>
        <v>#VALUE!</v>
      </c>
      <c r="C431" t="e">
        <f>estuary_data!R425*weights!$C$5</f>
        <v>#VALUE!</v>
      </c>
      <c r="D431" t="e">
        <f>estuary_data!V425*weights!$C$3</f>
        <v>#VALUE!</v>
      </c>
      <c r="E431" t="e">
        <f>estuary_data!S425*weights!$C$6</f>
        <v>#VALUE!</v>
      </c>
      <c r="F431" t="e">
        <f>estuary_data!W425*weights!$C$4</f>
        <v>#VALUE!</v>
      </c>
      <c r="G431" t="e">
        <f>estuary_data!T425*weights!$C$7</f>
        <v>#VALUE!</v>
      </c>
      <c r="H431" t="e">
        <f>SUM(B431:G431)</f>
        <v>#VALUE!</v>
      </c>
      <c r="I431" t="e">
        <f>IF(H431&gt;$L$5/10*9,"1",IF(H431&gt;$L$5/10*8,"2",IF(H431&gt;$L$5/10*7,"3",IF(H431&gt;$L$5/10*6,"4",IF(H431&gt;$L$5/10*5,"5",IF(H431&gt;$L$5/10*4,"6",IF(H431&gt;$L$5/10*3,"7",IF(H431&gt;$L$5/10*2,"8",IF(H431&gt;$L$5/10,"9","10")))))))))</f>
        <v>#VALUE!</v>
      </c>
    </row>
    <row r="432" spans="1:9" x14ac:dyDescent="0.55000000000000004">
      <c r="A432">
        <v>431</v>
      </c>
      <c r="B432">
        <f>estuary_data!U426*weights!$C$2</f>
        <v>5.2160026602869516E-2</v>
      </c>
      <c r="C432">
        <f>estuary_data!R426*weights!$C$5</f>
        <v>8.0436324792131961E-2</v>
      </c>
      <c r="D432">
        <f>estuary_data!V426*weights!$C$3</f>
        <v>3.2176125263807566E-2</v>
      </c>
      <c r="E432">
        <f>estuary_data!S426*weights!$C$6</f>
        <v>1.6996796951924489E-2</v>
      </c>
      <c r="F432">
        <f>estuary_data!W426*weights!$C$4</f>
        <v>0.12276910724770657</v>
      </c>
      <c r="G432">
        <f>estuary_data!T426*weights!$C$7</f>
        <v>1.0499396369847177E-2</v>
      </c>
      <c r="H432">
        <f>SUM(B432:G432)</f>
        <v>0.3150377772282873</v>
      </c>
      <c r="I432" t="str">
        <f>IF(H432&gt;$L$5/10*9,"1",IF(H432&gt;$L$5/10*8,"2",IF(H432&gt;$L$5/10*7,"3",IF(H432&gt;$L$5/10*6,"4",IF(H432&gt;$L$5/10*5,"5",IF(H432&gt;$L$5/10*4,"6",IF(H432&gt;$L$5/10*3,"7",IF(H432&gt;$L$5/10*2,"8",IF(H432&gt;$L$5/10,"9","10")))))))))</f>
        <v>6</v>
      </c>
    </row>
    <row r="433" spans="1:9" x14ac:dyDescent="0.55000000000000004">
      <c r="A433">
        <v>432</v>
      </c>
      <c r="B433">
        <f>estuary_data!U427*weights!$C$2</f>
        <v>5.5255539408277057E-2</v>
      </c>
      <c r="C433">
        <f>estuary_data!R427*weights!$C$5</f>
        <v>9.1763264365055039E-2</v>
      </c>
      <c r="D433">
        <f>estuary_data!V427*weights!$C$3</f>
        <v>3.2841341199252035E-2</v>
      </c>
      <c r="E433">
        <f>estuary_data!S427*weights!$C$6</f>
        <v>1.1897271796328305E-2</v>
      </c>
      <c r="F433">
        <f>estuary_data!W427*weights!$C$4</f>
        <v>0.10842063993399191</v>
      </c>
      <c r="G433">
        <f>estuary_data!T427*weights!$C$7</f>
        <v>2.9712173182872722E-2</v>
      </c>
      <c r="H433">
        <f>SUM(B433:G433)</f>
        <v>0.32989022988577704</v>
      </c>
      <c r="I433" t="str">
        <f>IF(H433&gt;$L$5/10*9,"1",IF(H433&gt;$L$5/10*8,"2",IF(H433&gt;$L$5/10*7,"3",IF(H433&gt;$L$5/10*6,"4",IF(H433&gt;$L$5/10*5,"5",IF(H433&gt;$L$5/10*4,"6",IF(H433&gt;$L$5/10*3,"7",IF(H433&gt;$L$5/10*2,"8",IF(H433&gt;$L$5/10,"9","10")))))))))</f>
        <v>6</v>
      </c>
    </row>
    <row r="434" spans="1:9" x14ac:dyDescent="0.55000000000000004">
      <c r="A434">
        <v>433</v>
      </c>
      <c r="B434">
        <f>estuary_data!U428*weights!$C$2</f>
        <v>5.8944343748203162E-2</v>
      </c>
      <c r="C434">
        <f>estuary_data!R428*weights!$C$5</f>
        <v>8.9755398415565749E-2</v>
      </c>
      <c r="D434">
        <f>estuary_data!V428*weights!$C$3</f>
        <v>3.205216769283168E-2</v>
      </c>
      <c r="E434">
        <f>estuary_data!S428*weights!$C$6</f>
        <v>1.2716239069757024E-2</v>
      </c>
      <c r="F434">
        <f>estuary_data!W428*weights!$C$4</f>
        <v>0.10985043737638392</v>
      </c>
      <c r="G434">
        <f>estuary_data!T428*weights!$C$7</f>
        <v>2.6887258541197341E-2</v>
      </c>
      <c r="H434">
        <f>SUM(B434:G434)</f>
        <v>0.33020584484393889</v>
      </c>
      <c r="I434" t="str">
        <f>IF(H434&gt;$L$5/10*9,"1",IF(H434&gt;$L$5/10*8,"2",IF(H434&gt;$L$5/10*7,"3",IF(H434&gt;$L$5/10*6,"4",IF(H434&gt;$L$5/10*5,"5",IF(H434&gt;$L$5/10*4,"6",IF(H434&gt;$L$5/10*3,"7",IF(H434&gt;$L$5/10*2,"8",IF(H434&gt;$L$5/10,"9","10")))))))))</f>
        <v>6</v>
      </c>
    </row>
    <row r="435" spans="1:9" x14ac:dyDescent="0.55000000000000004">
      <c r="A435">
        <v>434</v>
      </c>
      <c r="B435">
        <f>estuary_data!U429*weights!$C$2</f>
        <v>0.14327009078099287</v>
      </c>
      <c r="C435">
        <f>estuary_data!R429*weights!$C$5</f>
        <v>0.11433187457945831</v>
      </c>
      <c r="D435">
        <f>estuary_data!V429*weights!$C$3</f>
        <v>8.0693687984449997E-3</v>
      </c>
      <c r="E435">
        <f>estuary_data!S429*weights!$C$6</f>
        <v>6.9754576145272971E-3</v>
      </c>
      <c r="F435">
        <f>estuary_data!W429*weights!$C$4</f>
        <v>1.7667556737867993E-2</v>
      </c>
      <c r="G435">
        <f>estuary_data!T429*weights!$C$7</f>
        <v>4.7119230207435497E-2</v>
      </c>
      <c r="H435">
        <f>SUM(B435:G435)</f>
        <v>0.33743357871872703</v>
      </c>
      <c r="I435" t="str">
        <f>IF(H435&gt;$L$5/10*9,"1",IF(H435&gt;$L$5/10*8,"2",IF(H435&gt;$L$5/10*7,"3",IF(H435&gt;$L$5/10*6,"4",IF(H435&gt;$L$5/10*5,"5",IF(H435&gt;$L$5/10*4,"6",IF(H435&gt;$L$5/10*3,"7",IF(H435&gt;$L$5/10*2,"8",IF(H435&gt;$L$5/10,"9","10")))))))))</f>
        <v>5</v>
      </c>
    </row>
    <row r="436" spans="1:9" x14ac:dyDescent="0.55000000000000004">
      <c r="A436">
        <v>435</v>
      </c>
      <c r="B436">
        <f>estuary_data!U430*weights!$C$2</f>
        <v>0.14191894326114879</v>
      </c>
      <c r="C436">
        <f>estuary_data!R430*weights!$C$5</f>
        <v>0.1146050296247957</v>
      </c>
      <c r="D436">
        <f>estuary_data!V430*weights!$C$3</f>
        <v>8.7210015790525376E-3</v>
      </c>
      <c r="E436">
        <f>estuary_data!S430*weights!$C$6</f>
        <v>4.3674635294174103E-3</v>
      </c>
      <c r="F436">
        <f>estuary_data!W430*weights!$C$4</f>
        <v>1.8020485480505818E-2</v>
      </c>
      <c r="G436">
        <f>estuary_data!T430*weights!$C$7</f>
        <v>5.1368976803367931E-2</v>
      </c>
      <c r="H436">
        <f>SUM(B436:G436)</f>
        <v>0.33900190027828819</v>
      </c>
      <c r="I436" t="str">
        <f>IF(H436&gt;$L$5/10*9,"1",IF(H436&gt;$L$5/10*8,"2",IF(H436&gt;$L$5/10*7,"3",IF(H436&gt;$L$5/10*6,"4",IF(H436&gt;$L$5/10*5,"5",IF(H436&gt;$L$5/10*4,"6",IF(H436&gt;$L$5/10*3,"7",IF(H436&gt;$L$5/10*2,"8",IF(H436&gt;$L$5/10,"9","10")))))))))</f>
        <v>5</v>
      </c>
    </row>
    <row r="437" spans="1:9" x14ac:dyDescent="0.55000000000000004">
      <c r="A437">
        <v>436</v>
      </c>
      <c r="B437">
        <f>estuary_data!U431*weights!$C$2</f>
        <v>0.13586106026052397</v>
      </c>
      <c r="C437">
        <f>estuary_data!R431*weights!$C$5</f>
        <v>0.11460235427485263</v>
      </c>
      <c r="D437">
        <f>estuary_data!V431*weights!$C$3</f>
        <v>8.0935490198951118E-3</v>
      </c>
      <c r="E437">
        <f>estuary_data!S431*weights!$C$6</f>
        <v>2.6453742049300632E-3</v>
      </c>
      <c r="F437">
        <f>estuary_data!W431*weights!$C$4</f>
        <v>1.3498346038965065E-2</v>
      </c>
      <c r="G437">
        <f>estuary_data!T431*weights!$C$7</f>
        <v>6.8279459936201714E-2</v>
      </c>
      <c r="H437">
        <f>SUM(B437:G437)</f>
        <v>0.3429801437353685</v>
      </c>
      <c r="I437" t="str">
        <f>IF(H437&gt;$L$5/10*9,"1",IF(H437&gt;$L$5/10*8,"2",IF(H437&gt;$L$5/10*7,"3",IF(H437&gt;$L$5/10*6,"4",IF(H437&gt;$L$5/10*5,"5",IF(H437&gt;$L$5/10*4,"6",IF(H437&gt;$L$5/10*3,"7",IF(H437&gt;$L$5/10*2,"8",IF(H437&gt;$L$5/10,"9","10")))))))))</f>
        <v>5</v>
      </c>
    </row>
    <row r="438" spans="1:9" x14ac:dyDescent="0.55000000000000004">
      <c r="A438">
        <v>437</v>
      </c>
      <c r="B438">
        <f>estuary_data!U432*weights!$C$2</f>
        <v>0.13339215095833987</v>
      </c>
      <c r="C438">
        <f>estuary_data!R432*weights!$C$5</f>
        <v>0.11252996977950078</v>
      </c>
      <c r="D438">
        <f>estuary_data!V432*weights!$C$3</f>
        <v>1.4458671589509274E-2</v>
      </c>
      <c r="E438">
        <f>estuary_data!S432*weights!$C$6</f>
        <v>1.1886875929293595E-2</v>
      </c>
      <c r="F438">
        <f>estuary_data!W432*weights!$C$4</f>
        <v>4.8120511427827008E-2</v>
      </c>
      <c r="G438">
        <f>estuary_data!T432*weights!$C$7</f>
        <v>5.1733257426798726E-2</v>
      </c>
      <c r="H438">
        <f>SUM(B438:G438)</f>
        <v>0.37212143711126927</v>
      </c>
      <c r="I438" t="str">
        <f>IF(H438&gt;$L$5/10*9,"1",IF(H438&gt;$L$5/10*8,"2",IF(H438&gt;$L$5/10*7,"3",IF(H438&gt;$L$5/10*6,"4",IF(H438&gt;$L$5/10*5,"5",IF(H438&gt;$L$5/10*4,"6",IF(H438&gt;$L$5/10*3,"7",IF(H438&gt;$L$5/10*2,"8",IF(H438&gt;$L$5/10,"9","10")))))))))</f>
        <v>5</v>
      </c>
    </row>
    <row r="439" spans="1:9" x14ac:dyDescent="0.55000000000000004">
      <c r="A439">
        <v>438</v>
      </c>
      <c r="B439">
        <f>estuary_data!U433*weights!$C$2</f>
        <v>0.12043576495633498</v>
      </c>
      <c r="C439">
        <f>estuary_data!R433*weights!$C$5</f>
        <v>0.1182673608542788</v>
      </c>
      <c r="D439">
        <f>estuary_data!V433*weights!$C$3</f>
        <v>1.6616684269988722E-2</v>
      </c>
      <c r="E439">
        <f>estuary_data!S433*weights!$C$6</f>
        <v>3.5244841092606172E-2</v>
      </c>
      <c r="F439">
        <f>estuary_data!W433*weights!$C$4</f>
        <v>3.9901212333646206E-2</v>
      </c>
      <c r="G439">
        <f>estuary_data!T433*weights!$C$7</f>
        <v>1.2677974477849543E-2</v>
      </c>
      <c r="H439">
        <f>SUM(B439:G439)</f>
        <v>0.34314383798470438</v>
      </c>
      <c r="I439" t="str">
        <f>IF(H439&gt;$L$5/10*9,"1",IF(H439&gt;$L$5/10*8,"2",IF(H439&gt;$L$5/10*7,"3",IF(H439&gt;$L$5/10*6,"4",IF(H439&gt;$L$5/10*5,"5",IF(H439&gt;$L$5/10*4,"6",IF(H439&gt;$L$5/10*3,"7",IF(H439&gt;$L$5/10*2,"8",IF(H439&gt;$L$5/10,"9","10")))))))))</f>
        <v>5</v>
      </c>
    </row>
    <row r="440" spans="1:9" x14ac:dyDescent="0.55000000000000004">
      <c r="A440">
        <v>439</v>
      </c>
      <c r="B440">
        <f>estuary_data!U434*weights!$C$2</f>
        <v>0.11315427628995832</v>
      </c>
      <c r="C440">
        <f>estuary_data!R434*weights!$C$5</f>
        <v>0.11091441194402332</v>
      </c>
      <c r="D440">
        <f>estuary_data!V434*weights!$C$3</f>
        <v>3.0952197962631166E-2</v>
      </c>
      <c r="E440">
        <f>estuary_data!S434*weights!$C$6</f>
        <v>3.7799054515606834E-2</v>
      </c>
      <c r="F440">
        <f>estuary_data!W434*weights!$C$4</f>
        <v>0.10485813366200694</v>
      </c>
      <c r="G440">
        <f>estuary_data!T434*weights!$C$7</f>
        <v>1.6696939660410231E-2</v>
      </c>
      <c r="H440">
        <f>SUM(B440:G440)</f>
        <v>0.41437501403463678</v>
      </c>
      <c r="I440" t="str">
        <f>IF(H440&gt;$L$5/10*9,"1",IF(H440&gt;$L$5/10*8,"2",IF(H440&gt;$L$5/10*7,"3",IF(H440&gt;$L$5/10*6,"4",IF(H440&gt;$L$5/10*5,"5",IF(H440&gt;$L$5/10*4,"6",IF(H440&gt;$L$5/10*3,"7",IF(H440&gt;$L$5/10*2,"8",IF(H440&gt;$L$5/10,"9","10")))))))))</f>
        <v>4</v>
      </c>
    </row>
    <row r="441" spans="1:9" x14ac:dyDescent="0.55000000000000004">
      <c r="A441">
        <v>440</v>
      </c>
      <c r="B441">
        <f>estuary_data!U435*weights!$C$2</f>
        <v>8.7609812961552624E-2</v>
      </c>
      <c r="C441">
        <f>estuary_data!R435*weights!$C$5</f>
        <v>0.12365824008491767</v>
      </c>
      <c r="D441">
        <f>estuary_data!V435*weights!$C$3</f>
        <v>2.0372929775052732E-2</v>
      </c>
      <c r="E441">
        <f>estuary_data!S435*weights!$C$6</f>
        <v>2.5929979369830998E-2</v>
      </c>
      <c r="F441">
        <f>estuary_data!W435*weights!$C$4</f>
        <v>2.9768410897694327E-2</v>
      </c>
      <c r="G441">
        <f>estuary_data!T435*weights!$C$7</f>
        <v>2.7403204940051516E-2</v>
      </c>
      <c r="H441">
        <f>SUM(B441:G441)</f>
        <v>0.31474257802909983</v>
      </c>
      <c r="I441" t="str">
        <f>IF(H441&gt;$L$5/10*9,"1",IF(H441&gt;$L$5/10*8,"2",IF(H441&gt;$L$5/10*7,"3",IF(H441&gt;$L$5/10*6,"4",IF(H441&gt;$L$5/10*5,"5",IF(H441&gt;$L$5/10*4,"6",IF(H441&gt;$L$5/10*3,"7",IF(H441&gt;$L$5/10*2,"8",IF(H441&gt;$L$5/10,"9","10")))))))))</f>
        <v>6</v>
      </c>
    </row>
    <row r="442" spans="1:9" x14ac:dyDescent="0.55000000000000004">
      <c r="A442">
        <v>441</v>
      </c>
      <c r="B442">
        <f>estuary_data!U436*weights!$C$2</f>
        <v>9.8930808386656563E-2</v>
      </c>
      <c r="C442">
        <f>estuary_data!R436*weights!$C$5</f>
        <v>0.12842557588211406</v>
      </c>
      <c r="D442">
        <f>estuary_data!V436*weights!$C$3</f>
        <v>1.864680605478105E-2</v>
      </c>
      <c r="E442">
        <f>estuary_data!S436*weights!$C$6</f>
        <v>3.5958348633955916E-3</v>
      </c>
      <c r="F442">
        <f>estuary_data!W436*weights!$C$4</f>
        <v>6.894306734771033E-2</v>
      </c>
      <c r="G442">
        <f>estuary_data!T436*weights!$C$7</f>
        <v>7.8792616923351599E-2</v>
      </c>
      <c r="H442">
        <f>SUM(B442:G442)</f>
        <v>0.39733470945800919</v>
      </c>
      <c r="I442" t="str">
        <f>IF(H442&gt;$L$5/10*9,"1",IF(H442&gt;$L$5/10*8,"2",IF(H442&gt;$L$5/10*7,"3",IF(H442&gt;$L$5/10*6,"4",IF(H442&gt;$L$5/10*5,"5",IF(H442&gt;$L$5/10*4,"6",IF(H442&gt;$L$5/10*3,"7",IF(H442&gt;$L$5/10*2,"8",IF(H442&gt;$L$5/10,"9","10")))))))))</f>
        <v>5</v>
      </c>
    </row>
    <row r="443" spans="1:9" x14ac:dyDescent="0.55000000000000004">
      <c r="A443">
        <v>442</v>
      </c>
      <c r="B443">
        <f>estuary_data!U437*weights!$C$2</f>
        <v>0.10862051097952349</v>
      </c>
      <c r="C443">
        <f>estuary_data!R437*weights!$C$5</f>
        <v>0.11903237092712697</v>
      </c>
      <c r="D443">
        <f>estuary_data!V437*weights!$C$3</f>
        <v>1.3008926370919485E-2</v>
      </c>
      <c r="E443">
        <f>estuary_data!S437*weights!$C$6</f>
        <v>2.1084106708054325E-2</v>
      </c>
      <c r="F443">
        <f>estuary_data!W437*weights!$C$4</f>
        <v>3.7359525034612213E-2</v>
      </c>
      <c r="G443">
        <f>estuary_data!T437*weights!$C$7</f>
        <v>0.1023598308277448</v>
      </c>
      <c r="H443">
        <f>SUM(B443:G443)</f>
        <v>0.40146527084798128</v>
      </c>
      <c r="I443" t="str">
        <f>IF(H443&gt;$L$5/10*9,"1",IF(H443&gt;$L$5/10*8,"2",IF(H443&gt;$L$5/10*7,"3",IF(H443&gt;$L$5/10*6,"4",IF(H443&gt;$L$5/10*5,"5",IF(H443&gt;$L$5/10*4,"6",IF(H443&gt;$L$5/10*3,"7",IF(H443&gt;$L$5/10*2,"8",IF(H443&gt;$L$5/10,"9","10")))))))))</f>
        <v>4</v>
      </c>
    </row>
    <row r="444" spans="1:9" x14ac:dyDescent="0.55000000000000004">
      <c r="A444">
        <v>443</v>
      </c>
      <c r="B444">
        <f>estuary_data!U438*weights!$C$2</f>
        <v>0.11890970570193167</v>
      </c>
      <c r="C444">
        <f>estuary_data!R438*weights!$C$5</f>
        <v>0.1206392506221622</v>
      </c>
      <c r="D444">
        <f>estuary_data!V438*weights!$C$3</f>
        <v>1.2716519822593555E-2</v>
      </c>
      <c r="E444">
        <f>estuary_data!S438*weights!$C$6</f>
        <v>1.9443175961381187E-2</v>
      </c>
      <c r="F444">
        <f>estuary_data!W438*weights!$C$4</f>
        <v>3.6812972547321215E-2</v>
      </c>
      <c r="G444">
        <f>estuary_data!T438*weights!$C$7</f>
        <v>0.10057801240469437</v>
      </c>
      <c r="H444">
        <f>SUM(B444:G444)</f>
        <v>0.40909963706008418</v>
      </c>
      <c r="I444" t="str">
        <f>IF(H444&gt;$L$5/10*9,"1",IF(H444&gt;$L$5/10*8,"2",IF(H444&gt;$L$5/10*7,"3",IF(H444&gt;$L$5/10*6,"4",IF(H444&gt;$L$5/10*5,"5",IF(H444&gt;$L$5/10*4,"6",IF(H444&gt;$L$5/10*3,"7",IF(H444&gt;$L$5/10*2,"8",IF(H444&gt;$L$5/10,"9","10")))))))))</f>
        <v>4</v>
      </c>
    </row>
    <row r="445" spans="1:9" x14ac:dyDescent="0.55000000000000004">
      <c r="A445">
        <v>444</v>
      </c>
      <c r="B445">
        <f>estuary_data!U439*weights!$C$2</f>
        <v>0.11422887120112434</v>
      </c>
      <c r="C445">
        <f>estuary_data!R439*weights!$C$5</f>
        <v>0.12201157564097839</v>
      </c>
      <c r="D445">
        <f>estuary_data!V439*weights!$C$3</f>
        <v>1.3519565409323567E-2</v>
      </c>
      <c r="E445">
        <f>estuary_data!S439*weights!$C$6</f>
        <v>8.3434330333371186E-3</v>
      </c>
      <c r="F445">
        <f>estuary_data!W439*weights!$C$4</f>
        <v>4.5673654695977707E-2</v>
      </c>
      <c r="G445">
        <f>estuary_data!T439*weights!$C$7</f>
        <v>8.2498671928328382E-2</v>
      </c>
      <c r="H445">
        <f>SUM(B445:G445)</f>
        <v>0.38627577190906948</v>
      </c>
      <c r="I445" t="str">
        <f>IF(H445&gt;$L$5/10*9,"1",IF(H445&gt;$L$5/10*8,"2",IF(H445&gt;$L$5/10*7,"3",IF(H445&gt;$L$5/10*6,"4",IF(H445&gt;$L$5/10*5,"5",IF(H445&gt;$L$5/10*4,"6",IF(H445&gt;$L$5/10*3,"7",IF(H445&gt;$L$5/10*2,"8",IF(H445&gt;$L$5/10,"9","10")))))))))</f>
        <v>5</v>
      </c>
    </row>
    <row r="446" spans="1:9" x14ac:dyDescent="0.55000000000000004">
      <c r="A446">
        <v>445</v>
      </c>
      <c r="B446">
        <f>estuary_data!U440*weights!$C$2</f>
        <v>5.2255136235399381E-2</v>
      </c>
      <c r="C446">
        <f>estuary_data!R440*weights!$C$5</f>
        <v>0.10435386684046684</v>
      </c>
      <c r="D446">
        <f>estuary_data!V440*weights!$C$3</f>
        <v>3.3084179705705798E-2</v>
      </c>
      <c r="E446">
        <f>estuary_data!S440*weights!$C$6</f>
        <v>6.2700152577883916E-3</v>
      </c>
      <c r="F446">
        <f>estuary_data!W440*weights!$C$4</f>
        <v>7.649384721753702E-2</v>
      </c>
      <c r="G446">
        <f>estuary_data!T440*weights!$C$7</f>
        <v>4.289315054724805E-2</v>
      </c>
      <c r="H446">
        <f>SUM(B446:G446)</f>
        <v>0.31535019580414547</v>
      </c>
      <c r="I446" t="str">
        <f>IF(H446&gt;$L$5/10*9,"1",IF(H446&gt;$L$5/10*8,"2",IF(H446&gt;$L$5/10*7,"3",IF(H446&gt;$L$5/10*6,"4",IF(H446&gt;$L$5/10*5,"5",IF(H446&gt;$L$5/10*4,"6",IF(H446&gt;$L$5/10*3,"7",IF(H446&gt;$L$5/10*2,"8",IF(H446&gt;$L$5/10,"9","10")))))))))</f>
        <v>6</v>
      </c>
    </row>
    <row r="447" spans="1:9" x14ac:dyDescent="0.55000000000000004">
      <c r="A447">
        <v>1000</v>
      </c>
      <c r="B447">
        <f>estuary_data!U441*weights!$C$2</f>
        <v>6.4057164947650846E-2</v>
      </c>
      <c r="C447">
        <f>estuary_data!R441*weights!$C$5</f>
        <v>5.2974165025595113E-2</v>
      </c>
      <c r="D447">
        <f>estuary_data!V441*weights!$C$3</f>
        <v>4.9740555982603935E-2</v>
      </c>
      <c r="E447">
        <f>estuary_data!S441*weights!$C$6</f>
        <v>2.3337134210131109E-2</v>
      </c>
      <c r="F447">
        <f>estuary_data!W441*weights!$C$4</f>
        <v>0.18643369901483661</v>
      </c>
      <c r="G447">
        <f>estuary_data!T441*weights!$C$7</f>
        <v>2.1430785874005657E-2</v>
      </c>
      <c r="H447">
        <f>SUM(B447:G447)</f>
        <v>0.39797350505482326</v>
      </c>
      <c r="I447" t="str">
        <f>IF(H447&gt;$L$5/10*9,"1",IF(H447&gt;$L$5/10*8,"2",IF(H447&gt;$L$5/10*7,"3",IF(H447&gt;$L$5/10*6,"4",IF(H447&gt;$L$5/10*5,"5",IF(H447&gt;$L$5/10*4,"6",IF(H447&gt;$L$5/10*3,"7",IF(H447&gt;$L$5/10*2,"8",IF(H447&gt;$L$5/10,"9","10")))))))))</f>
        <v>5</v>
      </c>
    </row>
    <row r="448" spans="1:9" x14ac:dyDescent="0.55000000000000004">
      <c r="A448">
        <v>1001</v>
      </c>
      <c r="B448">
        <f>estuary_data!U442*weights!$C$2</f>
        <v>0.14455408898726571</v>
      </c>
      <c r="C448">
        <f>estuary_data!R442*weights!$C$5</f>
        <v>0.11165162457965055</v>
      </c>
      <c r="D448">
        <f>estuary_data!V442*weights!$C$3</f>
        <v>1.0181410003641853E-2</v>
      </c>
      <c r="E448">
        <f>estuary_data!S442*weights!$C$6</f>
        <v>1.7341988949327824E-2</v>
      </c>
      <c r="F448">
        <f>estuary_data!W442*weights!$C$4</f>
        <v>1.588371377723544E-2</v>
      </c>
      <c r="G448">
        <f>estuary_data!T442*weights!$C$7</f>
        <v>3.3409812775953833E-2</v>
      </c>
      <c r="H448">
        <f>SUM(B448:G448)</f>
        <v>0.33302263907307522</v>
      </c>
      <c r="I448" t="str">
        <f>IF(H448&gt;$L$5/10*9,"1",IF(H448&gt;$L$5/10*8,"2",IF(H448&gt;$L$5/10*7,"3",IF(H448&gt;$L$5/10*6,"4",IF(H448&gt;$L$5/10*5,"5",IF(H448&gt;$L$5/10*4,"6",IF(H448&gt;$L$5/10*3,"7",IF(H448&gt;$L$5/10*2,"8",IF(H448&gt;$L$5/10,"9","10")))))))))</f>
        <v>5</v>
      </c>
    </row>
    <row r="449" spans="1:9" x14ac:dyDescent="0.55000000000000004">
      <c r="A449">
        <v>1002</v>
      </c>
      <c r="B449">
        <f>estuary_data!U443*weights!$C$2</f>
        <v>7.1962401764350398E-2</v>
      </c>
      <c r="C449">
        <f>estuary_data!R443*weights!$C$5</f>
        <v>9.954179908228368E-2</v>
      </c>
      <c r="D449">
        <f>estuary_data!V443*weights!$C$3</f>
        <v>1.4282333931203789E-2</v>
      </c>
      <c r="E449">
        <f>estuary_data!S443*weights!$C$6</f>
        <v>6.8405559715474379E-3</v>
      </c>
      <c r="F449">
        <f>estuary_data!W443*weights!$C$4</f>
        <v>4.4256776115904388E-2</v>
      </c>
      <c r="G449">
        <f>estuary_data!T443*weights!$C$7</f>
        <v>5.8855075002731114E-2</v>
      </c>
      <c r="H449">
        <f>SUM(B449:G449)</f>
        <v>0.29573894186802085</v>
      </c>
      <c r="I449" t="str">
        <f>IF(H449&gt;$L$5/10*9,"1",IF(H449&gt;$L$5/10*8,"2",IF(H449&gt;$L$5/10*7,"3",IF(H449&gt;$L$5/10*6,"4",IF(H449&gt;$L$5/10*5,"5",IF(H449&gt;$L$5/10*4,"6",IF(H449&gt;$L$5/10*3,"7",IF(H449&gt;$L$5/10*2,"8",IF(H449&gt;$L$5/10,"9","10")))))))))</f>
        <v>6</v>
      </c>
    </row>
    <row r="450" spans="1:9" x14ac:dyDescent="0.55000000000000004">
      <c r="A450">
        <v>1003</v>
      </c>
      <c r="B450">
        <f>estuary_data!U444*weights!$C$2</f>
        <v>9.5123618720116807E-2</v>
      </c>
      <c r="C450">
        <f>estuary_data!R444*weights!$C$5</f>
        <v>0.12066614230013234</v>
      </c>
      <c r="D450">
        <f>estuary_data!V444*weights!$C$3</f>
        <v>1.0126217303551193E-2</v>
      </c>
      <c r="E450">
        <f>estuary_data!S444*weights!$C$6</f>
        <v>3.3293671266902927E-2</v>
      </c>
      <c r="F450">
        <f>estuary_data!W444*weights!$C$4</f>
        <v>1.9851850427879219E-2</v>
      </c>
      <c r="G450">
        <f>estuary_data!T444*weights!$C$7</f>
        <v>0.12851238205964174</v>
      </c>
      <c r="H450">
        <f>SUM(B450:G450)</f>
        <v>0.40757388207822431</v>
      </c>
      <c r="I450" t="str">
        <f>IF(H450&gt;$L$5/10*9,"1",IF(H450&gt;$L$5/10*8,"2",IF(H450&gt;$L$5/10*7,"3",IF(H450&gt;$L$5/10*6,"4",IF(H450&gt;$L$5/10*5,"5",IF(H450&gt;$L$5/10*4,"6",IF(H450&gt;$L$5/10*3,"7",IF(H450&gt;$L$5/10*2,"8",IF(H450&gt;$L$5/10,"9","10")))))))))</f>
        <v>4</v>
      </c>
    </row>
    <row r="451" spans="1:9" x14ac:dyDescent="0.55000000000000004">
      <c r="A451">
        <v>1004</v>
      </c>
      <c r="B451">
        <f>estuary_data!U445*weights!$C$2</f>
        <v>0.11968368332403097</v>
      </c>
      <c r="C451">
        <f>estuary_data!R445*weights!$C$5</f>
        <v>0.1205459490660921</v>
      </c>
      <c r="D451">
        <f>estuary_data!V445*weights!$C$3</f>
        <v>1.637237580905199E-2</v>
      </c>
      <c r="E451">
        <f>estuary_data!S445*weights!$C$6</f>
        <v>2.7394538780453479E-2</v>
      </c>
      <c r="F451">
        <f>estuary_data!W445*weights!$C$4</f>
        <v>3.8078953884331142E-2</v>
      </c>
      <c r="G451">
        <f>estuary_data!T445*weights!$C$7</f>
        <v>2.8094050029081736E-2</v>
      </c>
      <c r="H451">
        <f>SUM(B451:G451)</f>
        <v>0.35016955089304141</v>
      </c>
      <c r="I451" t="str">
        <f>IF(H451&gt;$L$5/10*9,"1",IF(H451&gt;$L$5/10*8,"2",IF(H451&gt;$L$5/10*7,"3",IF(H451&gt;$L$5/10*6,"4",IF(H451&gt;$L$5/10*5,"5",IF(H451&gt;$L$5/10*4,"6",IF(H451&gt;$L$5/10*3,"7",IF(H451&gt;$L$5/10*2,"8",IF(H451&gt;$L$5/10,"9","10")))))))))</f>
        <v>5</v>
      </c>
    </row>
    <row r="452" spans="1:9" x14ac:dyDescent="0.55000000000000004">
      <c r="A452">
        <v>1005</v>
      </c>
      <c r="B452">
        <f>estuary_data!U446*weights!$C$2</f>
        <v>8.826603779179451E-2</v>
      </c>
      <c r="C452">
        <f>estuary_data!R446*weights!$C$5</f>
        <v>0.12265385126649928</v>
      </c>
      <c r="D452">
        <f>estuary_data!V446*weights!$C$3</f>
        <v>2.3926055686437252E-2</v>
      </c>
      <c r="E452">
        <f>estuary_data!S446*weights!$C$6</f>
        <v>2.4815485301512074E-2</v>
      </c>
      <c r="F452">
        <f>estuary_data!W446*weights!$C$4</f>
        <v>4.7977359867369812E-2</v>
      </c>
      <c r="G452">
        <f>estuary_data!T446*weights!$C$7</f>
        <v>3.0147111822155074E-2</v>
      </c>
      <c r="H452">
        <f>SUM(B452:G452)</f>
        <v>0.337785901735768</v>
      </c>
      <c r="I452" t="str">
        <f>IF(H452&gt;$L$5/10*9,"1",IF(H452&gt;$L$5/10*8,"2",IF(H452&gt;$L$5/10*7,"3",IF(H452&gt;$L$5/10*6,"4",IF(H452&gt;$L$5/10*5,"5",IF(H452&gt;$L$5/10*4,"6",IF(H452&gt;$L$5/10*3,"7",IF(H452&gt;$L$5/10*2,"8",IF(H452&gt;$L$5/10,"9","10")))))))))</f>
        <v>5</v>
      </c>
    </row>
    <row r="453" spans="1:9" x14ac:dyDescent="0.55000000000000004">
      <c r="A453">
        <v>1006</v>
      </c>
      <c r="B453">
        <f>estuary_data!U447*weights!$C$2</f>
        <v>5.6423206443436118E-2</v>
      </c>
      <c r="C453">
        <f>estuary_data!R447*weights!$C$5</f>
        <v>6.1547890671030281E-2</v>
      </c>
      <c r="D453">
        <f>estuary_data!V447*weights!$C$3</f>
        <v>4.170447955510749E-2</v>
      </c>
      <c r="E453">
        <f>estuary_data!S447*weights!$C$6</f>
        <v>5.2709716456322678E-2</v>
      </c>
      <c r="F453">
        <f>estuary_data!W447*weights!$C$4</f>
        <v>0.14989316576672626</v>
      </c>
      <c r="G453">
        <f>estuary_data!T447*weights!$C$7</f>
        <v>6.065245634746351E-2</v>
      </c>
      <c r="H453">
        <f>SUM(B453:G453)</f>
        <v>0.4229309152400863</v>
      </c>
      <c r="I453" t="str">
        <f>IF(H453&gt;$L$5/10*9,"1",IF(H453&gt;$L$5/10*8,"2",IF(H453&gt;$L$5/10*7,"3",IF(H453&gt;$L$5/10*6,"4",IF(H453&gt;$L$5/10*5,"5",IF(H453&gt;$L$5/10*4,"6",IF(H453&gt;$L$5/10*3,"7",IF(H453&gt;$L$5/10*2,"8",IF(H453&gt;$L$5/10,"9","10")))))))))</f>
        <v>4</v>
      </c>
    </row>
    <row r="454" spans="1:9" x14ac:dyDescent="0.55000000000000004">
      <c r="A454">
        <v>1007</v>
      </c>
      <c r="B454">
        <f>estuary_data!U448*weights!$C$2</f>
        <v>6.0523039603402981E-2</v>
      </c>
      <c r="C454">
        <f>estuary_data!R448*weights!$C$5</f>
        <v>5.929928628620465E-2</v>
      </c>
      <c r="D454">
        <f>estuary_data!V448*weights!$C$3</f>
        <v>4.0125743827348237E-2</v>
      </c>
      <c r="E454">
        <f>estuary_data!S448*weights!$C$6</f>
        <v>5.7586596225622864E-2</v>
      </c>
      <c r="F454">
        <f>estuary_data!W448*weights!$C$4</f>
        <v>0.14467008705306045</v>
      </c>
      <c r="G454">
        <f>estuary_data!T448*weights!$C$7</f>
        <v>6.1359420474125487E-2</v>
      </c>
      <c r="H454">
        <f>SUM(B454:G454)</f>
        <v>0.4235641734697646</v>
      </c>
      <c r="I454" t="str">
        <f>IF(H454&gt;$L$5/10*9,"1",IF(H454&gt;$L$5/10*8,"2",IF(H454&gt;$L$5/10*7,"3",IF(H454&gt;$L$5/10*6,"4",IF(H454&gt;$L$5/10*5,"5",IF(H454&gt;$L$5/10*4,"6",IF(H454&gt;$L$5/10*3,"7",IF(H454&gt;$L$5/10*2,"8",IF(H454&gt;$L$5/10,"9","10")))))))))</f>
        <v>4</v>
      </c>
    </row>
    <row r="455" spans="1:9" x14ac:dyDescent="0.55000000000000004">
      <c r="A455">
        <v>1008</v>
      </c>
      <c r="B455">
        <f>estuary_data!U449*weights!$C$2</f>
        <v>6.1802343415924638E-2</v>
      </c>
      <c r="C455">
        <f>estuary_data!R449*weights!$C$5</f>
        <v>5.7647034988572245E-2</v>
      </c>
      <c r="D455">
        <f>estuary_data!V449*weights!$C$3</f>
        <v>4.2635591670233598E-2</v>
      </c>
      <c r="E455">
        <f>estuary_data!S449*weights!$C$6</f>
        <v>5.8830282341399823E-2</v>
      </c>
      <c r="F455">
        <f>estuary_data!W449*weights!$C$4</f>
        <v>0.15547795548244911</v>
      </c>
      <c r="G455">
        <f>estuary_data!T449*weights!$C$7</f>
        <v>6.6409174478515853E-2</v>
      </c>
      <c r="H455">
        <f>SUM(B455:G455)</f>
        <v>0.44280238237709529</v>
      </c>
      <c r="I455" t="str">
        <f>IF(H455&gt;$L$5/10*9,"1",IF(H455&gt;$L$5/10*8,"2",IF(H455&gt;$L$5/10*7,"3",IF(H455&gt;$L$5/10*6,"4",IF(H455&gt;$L$5/10*5,"5",IF(H455&gt;$L$5/10*4,"6",IF(H455&gt;$L$5/10*3,"7",IF(H455&gt;$L$5/10*2,"8",IF(H455&gt;$L$5/10,"9","10")))))))))</f>
        <v>4</v>
      </c>
    </row>
    <row r="456" spans="1:9" x14ac:dyDescent="0.55000000000000004">
      <c r="A456">
        <v>1009</v>
      </c>
      <c r="B456">
        <f>estuary_data!U450*weights!$C$2</f>
        <v>6.0922898510572601E-2</v>
      </c>
      <c r="C456">
        <f>estuary_data!R450*weights!$C$5</f>
        <v>5.1183711653565965E-2</v>
      </c>
      <c r="D456">
        <f>estuary_data!V450*weights!$C$3</f>
        <v>4.9087742363331459E-2</v>
      </c>
      <c r="E456">
        <f>estuary_data!S450*weights!$C$6</f>
        <v>6.6013472364860118E-2</v>
      </c>
      <c r="F456">
        <f>estuary_data!W450*weights!$C$4</f>
        <v>0.17569538812884303</v>
      </c>
      <c r="G456">
        <f>estuary_data!T450*weights!$C$7</f>
        <v>8.7533653889651286E-2</v>
      </c>
      <c r="H456">
        <f>SUM(B456:G456)</f>
        <v>0.49043686691082444</v>
      </c>
      <c r="I456" t="str">
        <f>IF(H456&gt;$L$5/10*9,"1",IF(H456&gt;$L$5/10*8,"2",IF(H456&gt;$L$5/10*7,"3",IF(H456&gt;$L$5/10*6,"4",IF(H456&gt;$L$5/10*5,"5",IF(H456&gt;$L$5/10*4,"6",IF(H456&gt;$L$5/10*3,"7",IF(H456&gt;$L$5/10*2,"8",IF(H456&gt;$L$5/10,"9","10")))))))))</f>
        <v>3</v>
      </c>
    </row>
    <row r="457" spans="1:9" x14ac:dyDescent="0.55000000000000004">
      <c r="A457">
        <v>1010</v>
      </c>
      <c r="B457">
        <f>estuary_data!U451*weights!$C$2</f>
        <v>5.6509519003271322E-2</v>
      </c>
      <c r="C457">
        <f>estuary_data!R451*weights!$C$5</f>
        <v>4.9992890824039737E-2</v>
      </c>
      <c r="D457">
        <f>estuary_data!V451*weights!$C$3</f>
        <v>4.9071667144648536E-2</v>
      </c>
      <c r="E457">
        <f>estuary_data!S451*weights!$C$6</f>
        <v>7.0145326069341846E-2</v>
      </c>
      <c r="F457">
        <f>estuary_data!W451*weights!$C$4</f>
        <v>0.16840987186839582</v>
      </c>
      <c r="G457">
        <f>estuary_data!T451*weights!$C$7</f>
        <v>0.10438885100638721</v>
      </c>
      <c r="H457">
        <f>SUM(B457:G457)</f>
        <v>0.49851812591608452</v>
      </c>
      <c r="I457" t="str">
        <f>IF(H457&gt;$L$5/10*9,"1",IF(H457&gt;$L$5/10*8,"2",IF(H457&gt;$L$5/10*7,"3",IF(H457&gt;$L$5/10*6,"4",IF(H457&gt;$L$5/10*5,"5",IF(H457&gt;$L$5/10*4,"6",IF(H457&gt;$L$5/10*3,"7",IF(H457&gt;$L$5/10*2,"8",IF(H457&gt;$L$5/10,"9","10")))))))))</f>
        <v>3</v>
      </c>
    </row>
    <row r="458" spans="1:9" x14ac:dyDescent="0.55000000000000004">
      <c r="A458">
        <v>1011</v>
      </c>
      <c r="B458">
        <f>estuary_data!U452*weights!$C$2</f>
        <v>5.5684476921563648E-2</v>
      </c>
      <c r="C458">
        <f>estuary_data!R452*weights!$C$5</f>
        <v>5.1093153248695324E-2</v>
      </c>
      <c r="D458">
        <f>estuary_data!V452*weights!$C$3</f>
        <v>4.8616721735394282E-2</v>
      </c>
      <c r="E458">
        <f>estuary_data!S452*weights!$C$6</f>
        <v>7.0929243713994908E-2</v>
      </c>
      <c r="F458">
        <f>estuary_data!W452*weights!$C$4</f>
        <v>0.16580400806663165</v>
      </c>
      <c r="G458">
        <f>estuary_data!T452*weights!$C$7</f>
        <v>0.10959312897714446</v>
      </c>
      <c r="H458">
        <f>SUM(B458:G458)</f>
        <v>0.50172073266342432</v>
      </c>
      <c r="I458" t="str">
        <f>IF(H458&gt;$L$5/10*9,"1",IF(H458&gt;$L$5/10*8,"2",IF(H458&gt;$L$5/10*7,"3",IF(H458&gt;$L$5/10*6,"4",IF(H458&gt;$L$5/10*5,"5",IF(H458&gt;$L$5/10*4,"6",IF(H458&gt;$L$5/10*3,"7",IF(H458&gt;$L$5/10*2,"8",IF(H458&gt;$L$5/10,"9","10")))))))))</f>
        <v>3</v>
      </c>
    </row>
    <row r="459" spans="1:9" x14ac:dyDescent="0.55000000000000004">
      <c r="A459">
        <v>1012</v>
      </c>
      <c r="B459">
        <f>estuary_data!U453*weights!$C$2</f>
        <v>7.2514821764794693E-2</v>
      </c>
      <c r="C459">
        <f>estuary_data!R453*weights!$C$5</f>
        <v>5.8442424130768472E-2</v>
      </c>
      <c r="D459">
        <f>estuary_data!V453*weights!$C$3</f>
        <v>6.6519959564578124E-2</v>
      </c>
      <c r="E459">
        <f>estuary_data!S453*weights!$C$6</f>
        <v>4.9959589843996295E-2</v>
      </c>
      <c r="F459">
        <f>estuary_data!W453*weights!$C$4</f>
        <v>0.23803012058057613</v>
      </c>
      <c r="G459">
        <f>estuary_data!T453*weights!$C$7</f>
        <v>7.2114630996224866E-2</v>
      </c>
      <c r="H459">
        <f>SUM(B459:G459)</f>
        <v>0.55758154688093853</v>
      </c>
      <c r="I459" t="str">
        <f>IF(H459&gt;$L$5/10*9,"1",IF(H459&gt;$L$5/10*8,"2",IF(H459&gt;$L$5/10*7,"3",IF(H459&gt;$L$5/10*6,"4",IF(H459&gt;$L$5/10*5,"5",IF(H459&gt;$L$5/10*4,"6",IF(H459&gt;$L$5/10*3,"7",IF(H459&gt;$L$5/10*2,"8",IF(H459&gt;$L$5/10,"9","10")))))))))</f>
        <v>2</v>
      </c>
    </row>
    <row r="460" spans="1:9" x14ac:dyDescent="0.55000000000000004">
      <c r="A460">
        <v>1013</v>
      </c>
      <c r="B460">
        <f>estuary_data!U454*weights!$C$2</f>
        <v>7.1439680394636662E-2</v>
      </c>
      <c r="C460">
        <f>estuary_data!R454*weights!$C$5</f>
        <v>5.8010623361333682E-2</v>
      </c>
      <c r="D460">
        <f>estuary_data!V454*weights!$C$3</f>
        <v>6.657908286109776E-2</v>
      </c>
      <c r="E460">
        <f>estuary_data!S454*weights!$C$6</f>
        <v>5.367094444928569E-2</v>
      </c>
      <c r="F460">
        <f>estuary_data!W454*weights!$C$4</f>
        <v>0.23686508140574619</v>
      </c>
      <c r="G460">
        <f>estuary_data!T454*weights!$C$7</f>
        <v>7.9310665208776915E-2</v>
      </c>
      <c r="H460">
        <f>SUM(B460:G460)</f>
        <v>0.56587607768087689</v>
      </c>
      <c r="I460" t="str">
        <f>IF(H460&gt;$L$5/10*9,"1",IF(H460&gt;$L$5/10*8,"2",IF(H460&gt;$L$5/10*7,"3",IF(H460&gt;$L$5/10*6,"4",IF(H460&gt;$L$5/10*5,"5",IF(H460&gt;$L$5/10*4,"6",IF(H460&gt;$L$5/10*3,"7",IF(H460&gt;$L$5/10*2,"8",IF(H460&gt;$L$5/10,"9","10")))))))))</f>
        <v>2</v>
      </c>
    </row>
    <row r="461" spans="1:9" x14ac:dyDescent="0.55000000000000004">
      <c r="A461">
        <v>1014</v>
      </c>
      <c r="B461">
        <f>estuary_data!U455*weights!$C$2</f>
        <v>7.2319184112612858E-2</v>
      </c>
      <c r="C461">
        <f>estuary_data!R455*weights!$C$5</f>
        <v>5.6858229105304477E-2</v>
      </c>
      <c r="D461">
        <f>estuary_data!V455*weights!$C$3</f>
        <v>6.5401746474726907E-2</v>
      </c>
      <c r="E461">
        <f>estuary_data!S455*weights!$C$6</f>
        <v>5.6377585600960227E-2</v>
      </c>
      <c r="F461">
        <f>estuary_data!W455*weights!$C$4</f>
        <v>0.23655314895779378</v>
      </c>
      <c r="G461">
        <f>estuary_data!T455*weights!$C$7</f>
        <v>8.6308774722169287E-2</v>
      </c>
      <c r="H461">
        <f>SUM(B461:G461)</f>
        <v>0.57381866897356748</v>
      </c>
      <c r="I461" t="str">
        <f>IF(H461&gt;$L$5/10*9,"1",IF(H461&gt;$L$5/10*8,"2",IF(H461&gt;$L$5/10*7,"3",IF(H461&gt;$L$5/10*6,"4",IF(H461&gt;$L$5/10*5,"5",IF(H461&gt;$L$5/10*4,"6",IF(H461&gt;$L$5/10*3,"7",IF(H461&gt;$L$5/10*2,"8",IF(H461&gt;$L$5/10,"9","10")))))))))</f>
        <v>2</v>
      </c>
    </row>
    <row r="462" spans="1:9" x14ac:dyDescent="0.55000000000000004">
      <c r="A462">
        <v>1015</v>
      </c>
      <c r="B462">
        <f>estuary_data!U456*weights!$C$2</f>
        <v>7.3058230873766922E-2</v>
      </c>
      <c r="C462">
        <f>estuary_data!R456*weights!$C$5</f>
        <v>5.7887793094410403E-2</v>
      </c>
      <c r="D462">
        <f>estuary_data!V456*weights!$C$3</f>
        <v>6.7171162079012331E-2</v>
      </c>
      <c r="E462">
        <f>estuary_data!S456*weights!$C$6</f>
        <v>5.2490611985807477E-2</v>
      </c>
      <c r="F462">
        <f>estuary_data!W456*weights!$C$4</f>
        <v>0.24334807356827681</v>
      </c>
      <c r="G462">
        <f>estuary_data!T456*weights!$C$7</f>
        <v>7.8195117235973624E-2</v>
      </c>
      <c r="H462">
        <f>SUM(B462:G462)</f>
        <v>0.57215098883724758</v>
      </c>
      <c r="I462" t="str">
        <f>IF(H462&gt;$L$5/10*9,"1",IF(H462&gt;$L$5/10*8,"2",IF(H462&gt;$L$5/10*7,"3",IF(H462&gt;$L$5/10*6,"4",IF(H462&gt;$L$5/10*5,"5",IF(H462&gt;$L$5/10*4,"6",IF(H462&gt;$L$5/10*3,"7",IF(H462&gt;$L$5/10*2,"8",IF(H462&gt;$L$5/10,"9","10")))))))))</f>
        <v>2</v>
      </c>
    </row>
    <row r="463" spans="1:9" x14ac:dyDescent="0.55000000000000004">
      <c r="A463">
        <v>1016</v>
      </c>
      <c r="B463">
        <f>estuary_data!U457*weights!$C$2</f>
        <v>7.41701193682896E-2</v>
      </c>
      <c r="C463">
        <f>estuary_data!R457*weights!$C$5</f>
        <v>4.7985879059361906E-2</v>
      </c>
      <c r="D463">
        <f>estuary_data!V457*weights!$C$3</f>
        <v>6.8470928250501495E-2</v>
      </c>
      <c r="E463">
        <f>estuary_data!S457*weights!$C$6</f>
        <v>6.5940099954125975E-2</v>
      </c>
      <c r="F463">
        <f>estuary_data!W457*weights!$C$4</f>
        <v>0.24522248236891986</v>
      </c>
      <c r="G463">
        <f>estuary_data!T457*weights!$C$7</f>
        <v>0.11126301256183346</v>
      </c>
      <c r="H463">
        <f>SUM(B463:G463)</f>
        <v>0.61305252156303225</v>
      </c>
      <c r="I463" t="str">
        <f>IF(H463&gt;$L$5/10*9,"1",IF(H463&gt;$L$5/10*8,"2",IF(H463&gt;$L$5/10*7,"3",IF(H463&gt;$L$5/10*6,"4",IF(H463&gt;$L$5/10*5,"5",IF(H463&gt;$L$5/10*4,"6",IF(H463&gt;$L$5/10*3,"7",IF(H463&gt;$L$5/10*2,"8",IF(H463&gt;$L$5/10,"9","10")))))))))</f>
        <v>1</v>
      </c>
    </row>
    <row r="464" spans="1:9" x14ac:dyDescent="0.55000000000000004">
      <c r="A464">
        <v>1017</v>
      </c>
      <c r="B464">
        <f>estuary_data!U458*weights!$C$2</f>
        <v>7.6643757753705161E-2</v>
      </c>
      <c r="C464">
        <f>estuary_data!R458*weights!$C$5</f>
        <v>4.7552411163688253E-2</v>
      </c>
      <c r="D464">
        <f>estuary_data!V458*weights!$C$3</f>
        <v>6.9515502014246569E-2</v>
      </c>
      <c r="E464">
        <f>estuary_data!S458*weights!$C$6</f>
        <v>6.2620149489797897E-2</v>
      </c>
      <c r="F464">
        <f>estuary_data!W458*weights!$C$4</f>
        <v>0.25188334232941872</v>
      </c>
      <c r="G464">
        <f>estuary_data!T458*weights!$C$7</f>
        <v>0.10546620900152155</v>
      </c>
      <c r="H464">
        <f>SUM(B464:G464)</f>
        <v>0.61368137175237825</v>
      </c>
      <c r="I464" t="str">
        <f>IF(H464&gt;$L$5/10*9,"1",IF(H464&gt;$L$5/10*8,"2",IF(H464&gt;$L$5/10*7,"3",IF(H464&gt;$L$5/10*6,"4",IF(H464&gt;$L$5/10*5,"5",IF(H464&gt;$L$5/10*4,"6",IF(H464&gt;$L$5/10*3,"7",IF(H464&gt;$L$5/10*2,"8",IF(H464&gt;$L$5/10,"9","10")))))))))</f>
        <v>1</v>
      </c>
    </row>
    <row r="465" spans="1:9" x14ac:dyDescent="0.55000000000000004">
      <c r="A465">
        <v>1018</v>
      </c>
      <c r="B465">
        <f>estuary_data!U459*weights!$C$2</f>
        <v>7.5547034493037429E-2</v>
      </c>
      <c r="C465">
        <f>estuary_data!R459*weights!$C$5</f>
        <v>4.9046711952043756E-2</v>
      </c>
      <c r="D465">
        <f>estuary_data!V459*weights!$C$3</f>
        <v>7.2153576850330817E-2</v>
      </c>
      <c r="E465">
        <f>estuary_data!S459*weights!$C$6</f>
        <v>5.6343471808456599E-2</v>
      </c>
      <c r="F465">
        <f>estuary_data!W459*weights!$C$4</f>
        <v>0.26606564326600241</v>
      </c>
      <c r="G465">
        <f>estuary_data!T459*weights!$C$7</f>
        <v>9.396271545784135E-2</v>
      </c>
      <c r="H465">
        <f>SUM(B465:G465)</f>
        <v>0.61311915382771232</v>
      </c>
      <c r="I465" t="str">
        <f>IF(H465&gt;$L$5/10*9,"1",IF(H465&gt;$L$5/10*8,"2",IF(H465&gt;$L$5/10*7,"3",IF(H465&gt;$L$5/10*6,"4",IF(H465&gt;$L$5/10*5,"5",IF(H465&gt;$L$5/10*4,"6",IF(H465&gt;$L$5/10*3,"7",IF(H465&gt;$L$5/10*2,"8",IF(H465&gt;$L$5/10,"9","10")))))))))</f>
        <v>1</v>
      </c>
    </row>
    <row r="466" spans="1:9" x14ac:dyDescent="0.55000000000000004">
      <c r="A466">
        <v>1019</v>
      </c>
      <c r="B466">
        <f>estuary_data!U460*weights!$C$2</f>
        <v>7.6025550699555647E-2</v>
      </c>
      <c r="C466">
        <f>estuary_data!R460*weights!$C$5</f>
        <v>4.5233439567620146E-2</v>
      </c>
      <c r="D466">
        <f>estuary_data!V460*weights!$C$3</f>
        <v>7.1877147321185039E-2</v>
      </c>
      <c r="E466">
        <f>estuary_data!S460*weights!$C$6</f>
        <v>5.9768721009201192E-2</v>
      </c>
      <c r="F466">
        <f>estuary_data!W460*weights!$C$4</f>
        <v>0.26411275771342191</v>
      </c>
      <c r="G466">
        <f>estuary_data!T460*weights!$C$7</f>
        <v>0.10038601797463829</v>
      </c>
      <c r="H466">
        <f>SUM(B466:G466)</f>
        <v>0.61740363428562228</v>
      </c>
      <c r="I466" t="str">
        <f>IF(H466&gt;$L$5/10*9,"1",IF(H466&gt;$L$5/10*8,"2",IF(H466&gt;$L$5/10*7,"3",IF(H466&gt;$L$5/10*6,"4",IF(H466&gt;$L$5/10*5,"5",IF(H466&gt;$L$5/10*4,"6",IF(H466&gt;$L$5/10*3,"7",IF(H466&gt;$L$5/10*2,"8",IF(H466&gt;$L$5/10,"9","10")))))))))</f>
        <v>1</v>
      </c>
    </row>
    <row r="467" spans="1:9" x14ac:dyDescent="0.55000000000000004">
      <c r="A467">
        <v>1020</v>
      </c>
      <c r="B467">
        <f>estuary_data!U461*weights!$C$2</f>
        <v>7.5768476831981013E-2</v>
      </c>
      <c r="C467">
        <f>estuary_data!R461*weights!$C$5</f>
        <v>4.9214251760970877E-2</v>
      </c>
      <c r="D467">
        <f>estuary_data!V461*weights!$C$3</f>
        <v>7.5448633531402479E-2</v>
      </c>
      <c r="E467">
        <f>estuary_data!S461*weights!$C$6</f>
        <v>5.4337461661884377E-2</v>
      </c>
      <c r="F467">
        <f>estuary_data!W461*weights!$C$4</f>
        <v>0.27078134999999998</v>
      </c>
      <c r="G467">
        <f>estuary_data!T461*weights!$C$7</f>
        <v>9.113675684858695E-2</v>
      </c>
      <c r="H467">
        <f>SUM(B467:G467)</f>
        <v>0.6166869306348256</v>
      </c>
      <c r="I467" t="str">
        <f>IF(H467&gt;$L$5/10*9,"1",IF(H467&gt;$L$5/10*8,"2",IF(H467&gt;$L$5/10*7,"3",IF(H467&gt;$L$5/10*6,"4",IF(H467&gt;$L$5/10*5,"5",IF(H467&gt;$L$5/10*4,"6",IF(H467&gt;$L$5/10*3,"7",IF(H467&gt;$L$5/10*2,"8",IF(H467&gt;$L$5/10,"9","10")))))))))</f>
        <v>1</v>
      </c>
    </row>
    <row r="468" spans="1:9" x14ac:dyDescent="0.55000000000000004">
      <c r="A468">
        <v>1021</v>
      </c>
      <c r="B468">
        <f>estuary_data!U462*weights!$C$2</f>
        <v>7.5063194298642652E-2</v>
      </c>
      <c r="C468">
        <f>estuary_data!R462*weights!$C$5</f>
        <v>4.1267337245100226E-2</v>
      </c>
      <c r="D468">
        <f>estuary_data!V462*weights!$C$3</f>
        <v>7.5295793661933397E-2</v>
      </c>
      <c r="E468">
        <f>estuary_data!S462*weights!$C$6</f>
        <v>5.9547567320715596E-2</v>
      </c>
      <c r="F468">
        <f>estuary_data!W462*weights!$C$4</f>
        <v>0.26886349223785033</v>
      </c>
      <c r="G468">
        <f>estuary_data!T462*weights!$C$7</f>
        <v>0.10103856582661848</v>
      </c>
      <c r="H468">
        <f>SUM(B468:G468)</f>
        <v>0.62107595059086074</v>
      </c>
      <c r="I468" t="str">
        <f>IF(H468&gt;$L$5/10*9,"1",IF(H468&gt;$L$5/10*8,"2",IF(H468&gt;$L$5/10*7,"3",IF(H468&gt;$L$5/10*6,"4",IF(H468&gt;$L$5/10*5,"5",IF(H468&gt;$L$5/10*4,"6",IF(H468&gt;$L$5/10*3,"7",IF(H468&gt;$L$5/10*2,"8",IF(H468&gt;$L$5/10,"9","10")))))))))</f>
        <v>1</v>
      </c>
    </row>
    <row r="469" spans="1:9" x14ac:dyDescent="0.55000000000000004">
      <c r="A469">
        <v>1022</v>
      </c>
      <c r="B469">
        <f>estuary_data!U463*weights!$C$2</f>
        <v>7.5293572567883243E-2</v>
      </c>
      <c r="C469">
        <f>estuary_data!R463*weights!$C$5</f>
        <v>4.0515194218842351E-2</v>
      </c>
      <c r="D469">
        <f>estuary_data!V463*weights!$C$3</f>
        <v>7.5887389999999999E-2</v>
      </c>
      <c r="E469">
        <f>estuary_data!S463*weights!$C$6</f>
        <v>5.9532054605803089E-2</v>
      </c>
      <c r="F469">
        <f>estuary_data!W463*weights!$C$4</f>
        <v>0.26870848318195956</v>
      </c>
      <c r="G469">
        <f>estuary_data!T463*weights!$C$7</f>
        <v>0.10084768268688522</v>
      </c>
      <c r="H469">
        <f>SUM(B469:G469)</f>
        <v>0.62078437726137348</v>
      </c>
      <c r="I469" t="str">
        <f>IF(H469&gt;$L$5/10*9,"1",IF(H469&gt;$L$5/10*8,"2",IF(H469&gt;$L$5/10*7,"3",IF(H469&gt;$L$5/10*6,"4",IF(H469&gt;$L$5/10*5,"5",IF(H469&gt;$L$5/10*4,"6",IF(H469&gt;$L$5/10*3,"7",IF(H469&gt;$L$5/10*2,"8",IF(H469&gt;$L$5/10,"9","10")))))))))</f>
        <v>1</v>
      </c>
    </row>
    <row r="470" spans="1:9" x14ac:dyDescent="0.55000000000000004">
      <c r="A470">
        <v>1023</v>
      </c>
      <c r="B470">
        <f>estuary_data!U464*weights!$C$2</f>
        <v>5.715621778332703E-2</v>
      </c>
      <c r="C470">
        <f>estuary_data!R464*weights!$C$5</f>
        <v>5.7405089053873967E-2</v>
      </c>
      <c r="D470">
        <f>estuary_data!V464*weights!$C$3</f>
        <v>4.5274311366266244E-2</v>
      </c>
      <c r="E470">
        <f>estuary_data!S464*weights!$C$6</f>
        <v>6.5816630926089456E-2</v>
      </c>
      <c r="F470">
        <f>estuary_data!W464*weights!$C$4</f>
        <v>0.16358028404529534</v>
      </c>
      <c r="G470">
        <f>estuary_data!T464*weights!$C$7</f>
        <v>9.9629578532205776E-2</v>
      </c>
      <c r="H470">
        <f>SUM(B470:G470)</f>
        <v>0.48886211170705784</v>
      </c>
      <c r="I470" t="str">
        <f>IF(H470&gt;$L$5/10*9,"1",IF(H470&gt;$L$5/10*8,"2",IF(H470&gt;$L$5/10*7,"3",IF(H470&gt;$L$5/10*6,"4",IF(H470&gt;$L$5/10*5,"5",IF(H470&gt;$L$5/10*4,"6",IF(H470&gt;$L$5/10*3,"7",IF(H470&gt;$L$5/10*2,"8",IF(H470&gt;$L$5/10,"9","10")))))))))</f>
        <v>3</v>
      </c>
    </row>
    <row r="471" spans="1:9" x14ac:dyDescent="0.55000000000000004">
      <c r="A471">
        <v>1024</v>
      </c>
      <c r="B471">
        <f>estuary_data!U465*weights!$C$2</f>
        <v>5.8887072911991904E-2</v>
      </c>
      <c r="C471">
        <f>estuary_data!R465*weights!$C$5</f>
        <v>6.029683930878426E-2</v>
      </c>
      <c r="D471">
        <f>estuary_data!V465*weights!$C$3</f>
        <v>4.765663798639054E-2</v>
      </c>
      <c r="E471">
        <f>estuary_data!S465*weights!$C$6</f>
        <v>6.1192881840938011E-2</v>
      </c>
      <c r="F471">
        <f>estuary_data!W465*weights!$C$4</f>
        <v>0.17348673939304957</v>
      </c>
      <c r="G471">
        <f>estuary_data!T465*weights!$C$7</f>
        <v>9.0411587770080085E-2</v>
      </c>
      <c r="H471">
        <f>SUM(B471:G471)</f>
        <v>0.49193175921123433</v>
      </c>
      <c r="I471" t="str">
        <f>IF(H471&gt;$L$5/10*9,"1",IF(H471&gt;$L$5/10*8,"2",IF(H471&gt;$L$5/10*7,"3",IF(H471&gt;$L$5/10*6,"4",IF(H471&gt;$L$5/10*5,"5",IF(H471&gt;$L$5/10*4,"6",IF(H471&gt;$L$5/10*3,"7",IF(H471&gt;$L$5/10*2,"8",IF(H471&gt;$L$5/10,"9","10")))))))))</f>
        <v>3</v>
      </c>
    </row>
    <row r="472" spans="1:9" x14ac:dyDescent="0.55000000000000004">
      <c r="A472">
        <v>1025</v>
      </c>
      <c r="B472">
        <f>estuary_data!U466*weights!$C$2</f>
        <v>6.2586131083406979E-2</v>
      </c>
      <c r="C472">
        <f>estuary_data!R466*weights!$C$5</f>
        <v>5.8545824845899597E-2</v>
      </c>
      <c r="D472">
        <f>estuary_data!V466*weights!$C$3</f>
        <v>5.3648761648436349E-2</v>
      </c>
      <c r="E472">
        <f>estuary_data!S466*weights!$C$6</f>
        <v>6.1397631259792376E-2</v>
      </c>
      <c r="F472">
        <f>estuary_data!W466*weights!$C$4</f>
        <v>0.19266075254066775</v>
      </c>
      <c r="G472">
        <f>estuary_data!T466*weights!$C$7</f>
        <v>9.4030940818067815E-2</v>
      </c>
      <c r="H472">
        <f>SUM(B472:G472)</f>
        <v>0.52287004219627087</v>
      </c>
      <c r="I472" t="str">
        <f>IF(H472&gt;$L$5/10*9,"1",IF(H472&gt;$L$5/10*8,"2",IF(H472&gt;$L$5/10*7,"3",IF(H472&gt;$L$5/10*6,"4",IF(H472&gt;$L$5/10*5,"5",IF(H472&gt;$L$5/10*4,"6",IF(H472&gt;$L$5/10*3,"7",IF(H472&gt;$L$5/10*2,"8",IF(H472&gt;$L$5/10,"9","10")))))))))</f>
        <v>3</v>
      </c>
    </row>
    <row r="473" spans="1:9" x14ac:dyDescent="0.55000000000000004">
      <c r="A473">
        <v>1026</v>
      </c>
      <c r="B473">
        <f>estuary_data!U467*weights!$C$2</f>
        <v>6.9883561908371222E-2</v>
      </c>
      <c r="C473">
        <f>estuary_data!R467*weights!$C$5</f>
        <v>5.4066443910262628E-2</v>
      </c>
      <c r="D473">
        <f>estuary_data!V467*weights!$C$3</f>
        <v>6.2816337266284883E-2</v>
      </c>
      <c r="E473">
        <f>estuary_data!S467*weights!$C$6</f>
        <v>6.473146347623808E-2</v>
      </c>
      <c r="F473">
        <f>estuary_data!W467*weights!$C$4</f>
        <v>0.22371612890800283</v>
      </c>
      <c r="G473">
        <f>estuary_data!T467*weights!$C$7</f>
        <v>0.10372637028809122</v>
      </c>
      <c r="H473">
        <f>SUM(B473:G473)</f>
        <v>0.57894030575725086</v>
      </c>
      <c r="I473" t="str">
        <f>IF(H473&gt;$L$5/10*9,"1",IF(H473&gt;$L$5/10*8,"2",IF(H473&gt;$L$5/10*7,"3",IF(H473&gt;$L$5/10*6,"4",IF(H473&gt;$L$5/10*5,"5",IF(H473&gt;$L$5/10*4,"6",IF(H473&gt;$L$5/10*3,"7",IF(H473&gt;$L$5/10*2,"8",IF(H473&gt;$L$5/10,"9","10")))))))))</f>
        <v>2</v>
      </c>
    </row>
    <row r="474" spans="1:9" x14ac:dyDescent="0.55000000000000004">
      <c r="A474">
        <v>1027</v>
      </c>
      <c r="B474">
        <f>estuary_data!U468*weights!$C$2</f>
        <v>6.8566369956736178E-2</v>
      </c>
      <c r="C474">
        <f>estuary_data!R468*weights!$C$5</f>
        <v>5.3840725007960652E-2</v>
      </c>
      <c r="D474">
        <f>estuary_data!V468*weights!$C$3</f>
        <v>6.4389894781347615E-2</v>
      </c>
      <c r="E474">
        <f>estuary_data!S468*weights!$C$6</f>
        <v>6.4487536456442784E-2</v>
      </c>
      <c r="F474">
        <f>estuary_data!W468*weights!$C$4</f>
        <v>0.22898252942784464</v>
      </c>
      <c r="G474">
        <f>estuary_data!T468*weights!$C$7</f>
        <v>0.10384331147902384</v>
      </c>
      <c r="H474">
        <f>SUM(B474:G474)</f>
        <v>0.58411036710935571</v>
      </c>
      <c r="I474" t="str">
        <f>IF(H474&gt;$L$5/10*9,"1",IF(H474&gt;$L$5/10*8,"2",IF(H474&gt;$L$5/10*7,"3",IF(H474&gt;$L$5/10*6,"4",IF(H474&gt;$L$5/10*5,"5",IF(H474&gt;$L$5/10*4,"6",IF(H474&gt;$L$5/10*3,"7",IF(H474&gt;$L$5/10*2,"8",IF(H474&gt;$L$5/10,"9","10")))))))))</f>
        <v>2</v>
      </c>
    </row>
    <row r="475" spans="1:9" x14ac:dyDescent="0.55000000000000004">
      <c r="A475">
        <v>1028</v>
      </c>
      <c r="B475">
        <f>estuary_data!U469*weights!$C$2</f>
        <v>6.3389655569761796E-2</v>
      </c>
      <c r="C475">
        <f>estuary_data!R469*weights!$C$5</f>
        <v>5.8738115966615601E-2</v>
      </c>
      <c r="D475">
        <f>estuary_data!V469*weights!$C$3</f>
        <v>5.1369002731398057E-2</v>
      </c>
      <c r="E475">
        <f>estuary_data!S469*weights!$C$6</f>
        <v>5.9767074462653148E-2</v>
      </c>
      <c r="F475">
        <f>estuary_data!W469*weights!$C$4</f>
        <v>0.18941313146315977</v>
      </c>
      <c r="G475">
        <f>estuary_data!T469*weights!$C$7</f>
        <v>8.9992690166826358E-2</v>
      </c>
      <c r="H475">
        <f>SUM(B475:G475)</f>
        <v>0.51266967036041466</v>
      </c>
      <c r="I475" t="str">
        <f>IF(H475&gt;$L$5/10*9,"1",IF(H475&gt;$L$5/10*8,"2",IF(H475&gt;$L$5/10*7,"3",IF(H475&gt;$L$5/10*6,"4",IF(H475&gt;$L$5/10*5,"5",IF(H475&gt;$L$5/10*4,"6",IF(H475&gt;$L$5/10*3,"7",IF(H475&gt;$L$5/10*2,"8",IF(H475&gt;$L$5/10,"9","10")))))))))</f>
        <v>3</v>
      </c>
    </row>
    <row r="476" spans="1:9" x14ac:dyDescent="0.55000000000000004">
      <c r="A476">
        <v>1029</v>
      </c>
      <c r="B476">
        <f>estuary_data!U470*weights!$C$2</f>
        <v>6.7252928356552999E-2</v>
      </c>
      <c r="C476">
        <f>estuary_data!R470*weights!$C$5</f>
        <v>5.2062847332747277E-2</v>
      </c>
      <c r="D476">
        <f>estuary_data!V470*weights!$C$3</f>
        <v>6.0782878124118797E-2</v>
      </c>
      <c r="E476">
        <f>estuary_data!S470*weights!$C$6</f>
        <v>6.1683585565724994E-2</v>
      </c>
      <c r="F476">
        <f>estuary_data!W470*weights!$C$4</f>
        <v>0.22366923840474476</v>
      </c>
      <c r="G476">
        <f>estuary_data!T470*weights!$C$7</f>
        <v>9.9230289817794373E-2</v>
      </c>
      <c r="H476">
        <f>SUM(B476:G476)</f>
        <v>0.5646817676016832</v>
      </c>
      <c r="I476" t="str">
        <f>IF(H476&gt;$L$5/10*9,"1",IF(H476&gt;$L$5/10*8,"2",IF(H476&gt;$L$5/10*7,"3",IF(H476&gt;$L$5/10*6,"4",IF(H476&gt;$L$5/10*5,"5",IF(H476&gt;$L$5/10*4,"6",IF(H476&gt;$L$5/10*3,"7",IF(H476&gt;$L$5/10*2,"8",IF(H476&gt;$L$5/10,"9","10")))))))))</f>
        <v>2</v>
      </c>
    </row>
    <row r="477" spans="1:9" x14ac:dyDescent="0.55000000000000004">
      <c r="A477">
        <v>1030</v>
      </c>
      <c r="B477">
        <f>estuary_data!U471*weights!$C$2</f>
        <v>6.407456132313126E-2</v>
      </c>
      <c r="C477">
        <f>estuary_data!R471*weights!$C$5</f>
        <v>5.2722261085202261E-2</v>
      </c>
      <c r="D477">
        <f>estuary_data!V471*weights!$C$3</f>
        <v>5.2990825613760069E-2</v>
      </c>
      <c r="E477">
        <f>estuary_data!S471*weights!$C$6</f>
        <v>5.570907503495643E-2</v>
      </c>
      <c r="F477">
        <f>estuary_data!W471*weights!$C$4</f>
        <v>0.1977172814733224</v>
      </c>
      <c r="G477">
        <f>estuary_data!T471*weights!$C$7</f>
        <v>8.4111888766346038E-2</v>
      </c>
      <c r="H477">
        <f>SUM(B477:G477)</f>
        <v>0.5073258932967184</v>
      </c>
      <c r="I477" t="str">
        <f>IF(H477&gt;$L$5/10*9,"1",IF(H477&gt;$L$5/10*8,"2",IF(H477&gt;$L$5/10*7,"3",IF(H477&gt;$L$5/10*6,"4",IF(H477&gt;$L$5/10*5,"5",IF(H477&gt;$L$5/10*4,"6",IF(H477&gt;$L$5/10*3,"7",IF(H477&gt;$L$5/10*2,"8",IF(H477&gt;$L$5/10,"9","10")))))))))</f>
        <v>3</v>
      </c>
    </row>
    <row r="478" spans="1:9" x14ac:dyDescent="0.55000000000000004">
      <c r="A478">
        <v>1031</v>
      </c>
      <c r="B478">
        <f>estuary_data!U472*weights!$C$2</f>
        <v>5.7888352217024305E-2</v>
      </c>
      <c r="C478">
        <f>estuary_data!R472*weights!$C$5</f>
        <v>5.8828103016158075E-2</v>
      </c>
      <c r="D478">
        <f>estuary_data!V472*weights!$C$3</f>
        <v>4.3438598538494404E-2</v>
      </c>
      <c r="E478">
        <f>estuary_data!S472*weights!$C$6</f>
        <v>5.6226754464247949E-2</v>
      </c>
      <c r="F478">
        <f>estuary_data!W472*weights!$C$4</f>
        <v>0.15671652323332097</v>
      </c>
      <c r="G478">
        <f>estuary_data!T472*weights!$C$7</f>
        <v>7.426627433420116E-2</v>
      </c>
      <c r="H478">
        <f>SUM(B478:G478)</f>
        <v>0.44736460580344684</v>
      </c>
      <c r="I478" t="str">
        <f>IF(H478&gt;$L$5/10*9,"1",IF(H478&gt;$L$5/10*8,"2",IF(H478&gt;$L$5/10*7,"3",IF(H478&gt;$L$5/10*6,"4",IF(H478&gt;$L$5/10*5,"5",IF(H478&gt;$L$5/10*4,"6",IF(H478&gt;$L$5/10*3,"7",IF(H478&gt;$L$5/10*2,"8",IF(H478&gt;$L$5/10,"9","10")))))))))</f>
        <v>4</v>
      </c>
    </row>
    <row r="479" spans="1:9" x14ac:dyDescent="0.55000000000000004">
      <c r="A479">
        <v>1032</v>
      </c>
      <c r="B479">
        <f>estuary_data!U473*weights!$C$2</f>
        <v>6.4291530762646695E-2</v>
      </c>
      <c r="C479">
        <f>estuary_data!R473*weights!$C$5</f>
        <v>4.575619969681511E-2</v>
      </c>
      <c r="D479">
        <f>estuary_data!V473*weights!$C$3</f>
        <v>5.1154650172314041E-2</v>
      </c>
      <c r="E479">
        <f>estuary_data!S473*weights!$C$6</f>
        <v>5.1927051982367398E-2</v>
      </c>
      <c r="F479">
        <f>estuary_data!W473*weights!$C$4</f>
        <v>0.19642572617327153</v>
      </c>
      <c r="G479">
        <f>estuary_data!T473*weights!$C$7</f>
        <v>7.7831722429660952E-2</v>
      </c>
      <c r="H479">
        <f>SUM(B479:G479)</f>
        <v>0.48738688121707574</v>
      </c>
      <c r="I479" t="str">
        <f>IF(H479&gt;$L$5/10*9,"1",IF(H479&gt;$L$5/10*8,"2",IF(H479&gt;$L$5/10*7,"3",IF(H479&gt;$L$5/10*6,"4",IF(H479&gt;$L$5/10*5,"5",IF(H479&gt;$L$5/10*4,"6",IF(H479&gt;$L$5/10*3,"7",IF(H479&gt;$L$5/10*2,"8",IF(H479&gt;$L$5/10,"9","10")))))))))</f>
        <v>3</v>
      </c>
    </row>
    <row r="480" spans="1:9" x14ac:dyDescent="0.55000000000000004">
      <c r="A480">
        <v>1033</v>
      </c>
      <c r="B480">
        <f>estuary_data!U474*weights!$C$2</f>
        <v>6.5358948240976586E-2</v>
      </c>
      <c r="C480">
        <f>estuary_data!R474*weights!$C$5</f>
        <v>3.9747817967839327E-2</v>
      </c>
      <c r="D480">
        <f>estuary_data!V474*weights!$C$3</f>
        <v>5.4574027476257891E-2</v>
      </c>
      <c r="E480">
        <f>estuary_data!S474*weights!$C$6</f>
        <v>5.3633064081876673E-2</v>
      </c>
      <c r="F480">
        <f>estuary_data!W474*weights!$C$4</f>
        <v>0.20666112908138504</v>
      </c>
      <c r="G480">
        <f>estuary_data!T474*weights!$C$7</f>
        <v>8.3806454846656886E-2</v>
      </c>
      <c r="H480">
        <f>SUM(B480:G480)</f>
        <v>0.50378144169499239</v>
      </c>
      <c r="I480" t="str">
        <f>IF(H480&gt;$L$5/10*9,"1",IF(H480&gt;$L$5/10*8,"2",IF(H480&gt;$L$5/10*7,"3",IF(H480&gt;$L$5/10*6,"4",IF(H480&gt;$L$5/10*5,"5",IF(H480&gt;$L$5/10*4,"6",IF(H480&gt;$L$5/10*3,"7",IF(H480&gt;$L$5/10*2,"8",IF(H480&gt;$L$5/10,"9","10")))))))))</f>
        <v>3</v>
      </c>
    </row>
    <row r="481" spans="1:9" x14ac:dyDescent="0.55000000000000004">
      <c r="A481">
        <v>1034</v>
      </c>
      <c r="B481">
        <f>estuary_data!U475*weights!$C$2</f>
        <v>6.4479534635902488E-2</v>
      </c>
      <c r="C481">
        <f>estuary_data!R475*weights!$C$5</f>
        <v>4.139081392244244E-2</v>
      </c>
      <c r="D481">
        <f>estuary_data!V475*weights!$C$3</f>
        <v>5.2343606503506987E-2</v>
      </c>
      <c r="E481">
        <f>estuary_data!S475*weights!$C$6</f>
        <v>5.217501050087138E-2</v>
      </c>
      <c r="F481">
        <f>estuary_data!W475*weights!$C$4</f>
        <v>0.20007680947453241</v>
      </c>
      <c r="G481">
        <f>estuary_data!T475*weights!$C$7</f>
        <v>7.9608435198231672E-2</v>
      </c>
      <c r="H481">
        <f>SUM(B481:G481)</f>
        <v>0.49007421023548736</v>
      </c>
      <c r="I481" t="str">
        <f>IF(H481&gt;$L$5/10*9,"1",IF(H481&gt;$L$5/10*8,"2",IF(H481&gt;$L$5/10*7,"3",IF(H481&gt;$L$5/10*6,"4",IF(H481&gt;$L$5/10*5,"5",IF(H481&gt;$L$5/10*4,"6",IF(H481&gt;$L$5/10*3,"7",IF(H481&gt;$L$5/10*2,"8",IF(H481&gt;$L$5/10,"9","10")))))))))</f>
        <v>3</v>
      </c>
    </row>
    <row r="482" spans="1:9" x14ac:dyDescent="0.55000000000000004">
      <c r="A482">
        <v>1035</v>
      </c>
      <c r="B482">
        <f>estuary_data!U476*weights!$C$2</f>
        <v>6.6644687051716861E-2</v>
      </c>
      <c r="C482">
        <f>estuary_data!R476*weights!$C$5</f>
        <v>2.3794092677960798E-2</v>
      </c>
      <c r="D482">
        <f>estuary_data!V476*weights!$C$3</f>
        <v>5.774181038343177E-2</v>
      </c>
      <c r="E482">
        <f>estuary_data!S476*weights!$C$6</f>
        <v>6.6278442964934015E-2</v>
      </c>
      <c r="F482">
        <f>estuary_data!W476*weights!$C$4</f>
        <v>0.22204018677072335</v>
      </c>
      <c r="G482">
        <f>estuary_data!T476*weights!$C$7</f>
        <v>0.11128252472087946</v>
      </c>
      <c r="H482">
        <f>SUM(B482:G482)</f>
        <v>0.54778174456964623</v>
      </c>
      <c r="I482" t="str">
        <f>IF(H482&gt;$L$5/10*9,"1",IF(H482&gt;$L$5/10*8,"2",IF(H482&gt;$L$5/10*7,"3",IF(H482&gt;$L$5/10*6,"4",IF(H482&gt;$L$5/10*5,"5",IF(H482&gt;$L$5/10*4,"6",IF(H482&gt;$L$5/10*3,"7",IF(H482&gt;$L$5/10*2,"8",IF(H482&gt;$L$5/10,"9","10")))))))))</f>
        <v>2</v>
      </c>
    </row>
    <row r="483" spans="1:9" x14ac:dyDescent="0.55000000000000004">
      <c r="A483">
        <v>1036</v>
      </c>
      <c r="B483">
        <f>estuary_data!U477*weights!$C$2</f>
        <v>6.6644687051716861E-2</v>
      </c>
      <c r="C483">
        <f>estuary_data!R477*weights!$C$5</f>
        <v>2.3794092677960798E-2</v>
      </c>
      <c r="D483">
        <f>estuary_data!V477*weights!$C$3</f>
        <v>5.774181038343177E-2</v>
      </c>
      <c r="E483">
        <f>estuary_data!S477*weights!$C$6</f>
        <v>6.6278442964934015E-2</v>
      </c>
      <c r="F483">
        <f>estuary_data!W477*weights!$C$4</f>
        <v>0.22204018677072335</v>
      </c>
      <c r="G483">
        <f>estuary_data!T477*weights!$C$7</f>
        <v>0.11128252472087946</v>
      </c>
      <c r="H483">
        <f>SUM(B483:G483)</f>
        <v>0.54778174456964623</v>
      </c>
      <c r="I483" t="str">
        <f>IF(H483&gt;$L$5/10*9,"1",IF(H483&gt;$L$5/10*8,"2",IF(H483&gt;$L$5/10*7,"3",IF(H483&gt;$L$5/10*6,"4",IF(H483&gt;$L$5/10*5,"5",IF(H483&gt;$L$5/10*4,"6",IF(H483&gt;$L$5/10*3,"7",IF(H483&gt;$L$5/10*2,"8",IF(H483&gt;$L$5/10,"9","10")))))))))</f>
        <v>2</v>
      </c>
    </row>
    <row r="484" spans="1:9" x14ac:dyDescent="0.55000000000000004">
      <c r="A484">
        <v>1037</v>
      </c>
      <c r="B484">
        <f>estuary_data!U478*weights!$C$2</f>
        <v>6.4315230007306656E-2</v>
      </c>
      <c r="C484">
        <f>estuary_data!R478*weights!$C$5</f>
        <v>2.0350558629876891E-2</v>
      </c>
      <c r="D484">
        <f>estuary_data!V478*weights!$C$3</f>
        <v>5.5696062624673963E-2</v>
      </c>
      <c r="E484">
        <f>estuary_data!S478*weights!$C$6</f>
        <v>6.9426919606598858E-2</v>
      </c>
      <c r="F484">
        <f>estuary_data!W478*weights!$C$4</f>
        <v>0.21183471083112115</v>
      </c>
      <c r="G484">
        <f>estuary_data!T478*weights!$C$7</f>
        <v>0.11573384593524461</v>
      </c>
      <c r="H484">
        <f>SUM(B484:G484)</f>
        <v>0.53735732763482214</v>
      </c>
      <c r="I484" t="str">
        <f>IF(H484&gt;$L$5/10*9,"1",IF(H484&gt;$L$5/10*8,"2",IF(H484&gt;$L$5/10*7,"3",IF(H484&gt;$L$5/10*6,"4",IF(H484&gt;$L$5/10*5,"5",IF(H484&gt;$L$5/10*4,"6",IF(H484&gt;$L$5/10*3,"7",IF(H484&gt;$L$5/10*2,"8",IF(H484&gt;$L$5/10,"9","10")))))))))</f>
        <v>2</v>
      </c>
    </row>
    <row r="485" spans="1:9" x14ac:dyDescent="0.55000000000000004">
      <c r="A485">
        <v>1038</v>
      </c>
      <c r="B485">
        <f>estuary_data!U479*weights!$C$2</f>
        <v>6.0977516299342227E-2</v>
      </c>
      <c r="C485">
        <f>estuary_data!R479*weights!$C$5</f>
        <v>3.6650102004152196E-2</v>
      </c>
      <c r="D485">
        <f>estuary_data!V479*weights!$C$3</f>
        <v>4.9866758672417917E-2</v>
      </c>
      <c r="E485">
        <f>estuary_data!S479*weights!$C$6</f>
        <v>5.098460592055154E-2</v>
      </c>
      <c r="F485">
        <f>estuary_data!W479*weights!$C$4</f>
        <v>0.1880330519040404</v>
      </c>
      <c r="G485">
        <f>estuary_data!T479*weights!$C$7</f>
        <v>7.3333167162434015E-2</v>
      </c>
      <c r="H485">
        <f>SUM(B485:G485)</f>
        <v>0.45984520196293832</v>
      </c>
      <c r="I485" t="str">
        <f>IF(H485&gt;$L$5/10*9,"1",IF(H485&gt;$L$5/10*8,"2",IF(H485&gt;$L$5/10*7,"3",IF(H485&gt;$L$5/10*6,"4",IF(H485&gt;$L$5/10*5,"5",IF(H485&gt;$L$5/10*4,"6",IF(H485&gt;$L$5/10*3,"7",IF(H485&gt;$L$5/10*2,"8",IF(H485&gt;$L$5/10,"9","10")))))))))</f>
        <v>4</v>
      </c>
    </row>
    <row r="486" spans="1:9" x14ac:dyDescent="0.55000000000000004">
      <c r="A486">
        <v>1039</v>
      </c>
      <c r="B486">
        <f>estuary_data!U480*weights!$C$2</f>
        <v>6.273247568231384E-2</v>
      </c>
      <c r="C486">
        <f>estuary_data!R480*weights!$C$5</f>
        <v>3.5659371083508529E-2</v>
      </c>
      <c r="D486">
        <f>estuary_data!V480*weights!$C$3</f>
        <v>4.8620694950504452E-2</v>
      </c>
      <c r="E486">
        <f>estuary_data!S480*weights!$C$6</f>
        <v>5.0830834649081662E-2</v>
      </c>
      <c r="F486">
        <f>estuary_data!W480*weights!$C$4</f>
        <v>0.18379379425533518</v>
      </c>
      <c r="G486">
        <f>estuary_data!T480*weights!$C$7</f>
        <v>7.1338756902595724E-2</v>
      </c>
      <c r="H486">
        <f>SUM(B486:G486)</f>
        <v>0.45297592752333937</v>
      </c>
      <c r="I486" t="str">
        <f>IF(H486&gt;$L$5/10*9,"1",IF(H486&gt;$L$5/10*8,"2",IF(H486&gt;$L$5/10*7,"3",IF(H486&gt;$L$5/10*6,"4",IF(H486&gt;$L$5/10*5,"5",IF(H486&gt;$L$5/10*4,"6",IF(H486&gt;$L$5/10*3,"7",IF(H486&gt;$L$5/10*2,"8",IF(H486&gt;$L$5/10,"9","10")))))))))</f>
        <v>4</v>
      </c>
    </row>
    <row r="487" spans="1:9" x14ac:dyDescent="0.55000000000000004">
      <c r="A487">
        <v>1040</v>
      </c>
      <c r="B487">
        <f>estuary_data!U481*weights!$C$2</f>
        <v>5.8050135628170754E-2</v>
      </c>
      <c r="C487">
        <f>estuary_data!R481*weights!$C$5</f>
        <v>5.0949098062846539E-2</v>
      </c>
      <c r="D487">
        <f>estuary_data!V481*weights!$C$3</f>
        <v>4.1547100025370313E-2</v>
      </c>
      <c r="E487">
        <f>estuary_data!S481*weights!$C$6</f>
        <v>4.6537064382560153E-2</v>
      </c>
      <c r="F487">
        <f>estuary_data!W481*weights!$C$4</f>
        <v>0.15052003707377362</v>
      </c>
      <c r="G487">
        <f>estuary_data!T481*weights!$C$7</f>
        <v>5.5020629864002996E-2</v>
      </c>
      <c r="H487">
        <f>SUM(B487:G487)</f>
        <v>0.40262406503672443</v>
      </c>
      <c r="I487" t="str">
        <f>IF(H487&gt;$L$5/10*9,"1",IF(H487&gt;$L$5/10*8,"2",IF(H487&gt;$L$5/10*7,"3",IF(H487&gt;$L$5/10*6,"4",IF(H487&gt;$L$5/10*5,"5",IF(H487&gt;$L$5/10*4,"6",IF(H487&gt;$L$5/10*3,"7",IF(H487&gt;$L$5/10*2,"8",IF(H487&gt;$L$5/10,"9","10")))))))))</f>
        <v>4</v>
      </c>
    </row>
    <row r="488" spans="1:9" x14ac:dyDescent="0.55000000000000004">
      <c r="A488">
        <v>1041</v>
      </c>
      <c r="B488">
        <f>estuary_data!U482*weights!$C$2</f>
        <v>5.8226419192107574E-2</v>
      </c>
      <c r="C488">
        <f>estuary_data!R482*weights!$C$5</f>
        <v>4.5772086063063155E-2</v>
      </c>
      <c r="D488">
        <f>estuary_data!V482*weights!$C$3</f>
        <v>4.2272012256341425E-2</v>
      </c>
      <c r="E488">
        <f>estuary_data!S482*weights!$C$6</f>
        <v>4.5643507971809785E-2</v>
      </c>
      <c r="F488">
        <f>estuary_data!W482*weights!$C$4</f>
        <v>0.15818797306507143</v>
      </c>
      <c r="G488">
        <f>estuary_data!T482*weights!$C$7</f>
        <v>5.5019457107084627E-2</v>
      </c>
      <c r="H488">
        <f>SUM(B488:G488)</f>
        <v>0.40512145565547797</v>
      </c>
      <c r="I488" t="str">
        <f>IF(H488&gt;$L$5/10*9,"1",IF(H488&gt;$L$5/10*8,"2",IF(H488&gt;$L$5/10*7,"3",IF(H488&gt;$L$5/10*6,"4",IF(H488&gt;$L$5/10*5,"5",IF(H488&gt;$L$5/10*4,"6",IF(H488&gt;$L$5/10*3,"7",IF(H488&gt;$L$5/10*2,"8",IF(H488&gt;$L$5/10,"9","10")))))))))</f>
        <v>4</v>
      </c>
    </row>
    <row r="489" spans="1:9" x14ac:dyDescent="0.55000000000000004">
      <c r="A489">
        <v>1042</v>
      </c>
      <c r="B489">
        <f>estuary_data!U483*weights!$C$2</f>
        <v>6.1372010199322029E-2</v>
      </c>
      <c r="C489">
        <f>estuary_data!R483*weights!$C$5</f>
        <v>2.913495993219356E-2</v>
      </c>
      <c r="D489">
        <f>estuary_data!V483*weights!$C$3</f>
        <v>5.1096298595273287E-2</v>
      </c>
      <c r="E489">
        <f>estuary_data!S483*weights!$C$6</f>
        <v>5.7068611773982141E-2</v>
      </c>
      <c r="F489">
        <f>estuary_data!W483*weights!$C$4</f>
        <v>0.18671091954826105</v>
      </c>
      <c r="G489">
        <f>estuary_data!T483*weights!$C$7</f>
        <v>8.4544172974209894E-2</v>
      </c>
      <c r="H489">
        <f>SUM(B489:G489)</f>
        <v>0.46992697302324199</v>
      </c>
      <c r="I489" t="str">
        <f>IF(H489&gt;$L$5/10*9,"1",IF(H489&gt;$L$5/10*8,"2",IF(H489&gt;$L$5/10*7,"3",IF(H489&gt;$L$5/10*6,"4",IF(H489&gt;$L$5/10*5,"5",IF(H489&gt;$L$5/10*4,"6",IF(H489&gt;$L$5/10*3,"7",IF(H489&gt;$L$5/10*2,"8",IF(H489&gt;$L$5/10,"9","10")))))))))</f>
        <v>3</v>
      </c>
    </row>
    <row r="490" spans="1:9" x14ac:dyDescent="0.55000000000000004">
      <c r="A490">
        <v>1043</v>
      </c>
      <c r="B490">
        <f>estuary_data!U484*weights!$C$2</f>
        <v>6.034249262263057E-2</v>
      </c>
      <c r="C490">
        <f>estuary_data!R484*weights!$C$5</f>
        <v>4.3656715053896407E-2</v>
      </c>
      <c r="D490">
        <f>estuary_data!V484*weights!$C$3</f>
        <v>4.3227289861685947E-2</v>
      </c>
      <c r="E490">
        <f>estuary_data!S484*weights!$C$6</f>
        <v>4.480619256059596E-2</v>
      </c>
      <c r="F490">
        <f>estuary_data!W484*weights!$C$4</f>
        <v>0.15748779037461577</v>
      </c>
      <c r="G490">
        <f>estuary_data!T484*weights!$C$7</f>
        <v>5.053217231941743E-2</v>
      </c>
      <c r="H490">
        <f>SUM(B490:G490)</f>
        <v>0.40005265279284208</v>
      </c>
      <c r="I490" t="str">
        <f>IF(H490&gt;$L$5/10*9,"1",IF(H490&gt;$L$5/10*8,"2",IF(H490&gt;$L$5/10*7,"3",IF(H490&gt;$L$5/10*6,"4",IF(H490&gt;$L$5/10*5,"5",IF(H490&gt;$L$5/10*4,"6",IF(H490&gt;$L$5/10*3,"7",IF(H490&gt;$L$5/10*2,"8",IF(H490&gt;$L$5/10,"9","10")))))))))</f>
        <v>4</v>
      </c>
    </row>
    <row r="491" spans="1:9" x14ac:dyDescent="0.55000000000000004">
      <c r="A491">
        <v>1044</v>
      </c>
      <c r="B491">
        <f>estuary_data!U485*weights!$C$2</f>
        <v>5.9768798351605396E-2</v>
      </c>
      <c r="C491">
        <f>estuary_data!R485*weights!$C$5</f>
        <v>3.6486394553315656E-2</v>
      </c>
      <c r="D491">
        <f>estuary_data!V485*weights!$C$3</f>
        <v>4.8361869821764589E-2</v>
      </c>
      <c r="E491">
        <f>estuary_data!S485*weights!$C$6</f>
        <v>4.9153617269939616E-2</v>
      </c>
      <c r="F491">
        <f>estuary_data!W485*weights!$C$4</f>
        <v>0.17253400639023334</v>
      </c>
      <c r="G491">
        <f>estuary_data!T485*weights!$C$7</f>
        <v>6.4127160755869481E-2</v>
      </c>
      <c r="H491">
        <f>SUM(B491:G491)</f>
        <v>0.43043184714272803</v>
      </c>
      <c r="I491" t="str">
        <f>IF(H491&gt;$L$5/10*9,"1",IF(H491&gt;$L$5/10*8,"2",IF(H491&gt;$L$5/10*7,"3",IF(H491&gt;$L$5/10*6,"4",IF(H491&gt;$L$5/10*5,"5",IF(H491&gt;$L$5/10*4,"6",IF(H491&gt;$L$5/10*3,"7",IF(H491&gt;$L$5/10*2,"8",IF(H491&gt;$L$5/10,"9","10")))))))))</f>
        <v>4</v>
      </c>
    </row>
    <row r="492" spans="1:9" x14ac:dyDescent="0.55000000000000004">
      <c r="A492">
        <v>1045</v>
      </c>
      <c r="B492">
        <f>estuary_data!U486*weights!$C$2</f>
        <v>5.8314943654862367E-2</v>
      </c>
      <c r="C492">
        <f>estuary_data!R486*weights!$C$5</f>
        <v>4.3077046200846424E-2</v>
      </c>
      <c r="D492">
        <f>estuary_data!V486*weights!$C$3</f>
        <v>4.3270669662825161E-2</v>
      </c>
      <c r="E492">
        <f>estuary_data!S486*weights!$C$6</f>
        <v>4.3442667738651006E-2</v>
      </c>
      <c r="F492">
        <f>estuary_data!W486*weights!$C$4</f>
        <v>0.15408328227773174</v>
      </c>
      <c r="G492">
        <f>estuary_data!T486*weights!$C$7</f>
        <v>4.6761863399012359E-2</v>
      </c>
      <c r="H492">
        <f>SUM(B492:G492)</f>
        <v>0.38895047293392904</v>
      </c>
      <c r="I492" t="str">
        <f>IF(H492&gt;$L$5/10*9,"1",IF(H492&gt;$L$5/10*8,"2",IF(H492&gt;$L$5/10*7,"3",IF(H492&gt;$L$5/10*6,"4",IF(H492&gt;$L$5/10*5,"5",IF(H492&gt;$L$5/10*4,"6",IF(H492&gt;$L$5/10*3,"7",IF(H492&gt;$L$5/10*2,"8",IF(H492&gt;$L$5/10,"9","10")))))))))</f>
        <v>5</v>
      </c>
    </row>
    <row r="493" spans="1:9" x14ac:dyDescent="0.55000000000000004">
      <c r="A493">
        <v>1046</v>
      </c>
      <c r="B493">
        <f>estuary_data!U487*weights!$C$2</f>
        <v>5.9369172900648817E-2</v>
      </c>
      <c r="C493">
        <f>estuary_data!R487*weights!$C$5</f>
        <v>3.4577362846955291E-2</v>
      </c>
      <c r="D493">
        <f>estuary_data!V487*weights!$C$3</f>
        <v>4.7812602392281994E-2</v>
      </c>
      <c r="E493">
        <f>estuary_data!S487*weights!$C$6</f>
        <v>5.0191182368754E-2</v>
      </c>
      <c r="F493">
        <f>estuary_data!W487*weights!$C$4</f>
        <v>0.17067900599488145</v>
      </c>
      <c r="G493">
        <f>estuary_data!T487*weights!$C$7</f>
        <v>6.5439477079612354E-2</v>
      </c>
      <c r="H493">
        <f>SUM(B493:G493)</f>
        <v>0.42806880358313387</v>
      </c>
      <c r="I493" t="str">
        <f>IF(H493&gt;$L$5/10*9,"1",IF(H493&gt;$L$5/10*8,"2",IF(H493&gt;$L$5/10*7,"3",IF(H493&gt;$L$5/10*6,"4",IF(H493&gt;$L$5/10*5,"5",IF(H493&gt;$L$5/10*4,"6",IF(H493&gt;$L$5/10*3,"7",IF(H493&gt;$L$5/10*2,"8",IF(H493&gt;$L$5/10,"9","10")))))))))</f>
        <v>4</v>
      </c>
    </row>
    <row r="494" spans="1:9" x14ac:dyDescent="0.55000000000000004">
      <c r="A494">
        <v>1047</v>
      </c>
      <c r="B494">
        <f>estuary_data!U488*weights!$C$2</f>
        <v>5.7939825823099721E-2</v>
      </c>
      <c r="C494">
        <f>estuary_data!R488*weights!$C$5</f>
        <v>3.3460619942221999E-2</v>
      </c>
      <c r="D494">
        <f>estuary_data!V488*weights!$C$3</f>
        <v>4.606113884845691E-2</v>
      </c>
      <c r="E494">
        <f>estuary_data!S488*weights!$C$6</f>
        <v>5.1105783590079251E-2</v>
      </c>
      <c r="F494">
        <f>estuary_data!W488*weights!$C$4</f>
        <v>0.15920438673936282</v>
      </c>
      <c r="G494">
        <f>estuary_data!T488*weights!$C$7</f>
        <v>6.7525124940970016E-2</v>
      </c>
      <c r="H494">
        <f>SUM(B494:G494)</f>
        <v>0.41529687988419073</v>
      </c>
      <c r="I494" t="str">
        <f>IF(H494&gt;$L$5/10*9,"1",IF(H494&gt;$L$5/10*8,"2",IF(H494&gt;$L$5/10*7,"3",IF(H494&gt;$L$5/10*6,"4",IF(H494&gt;$L$5/10*5,"5",IF(H494&gt;$L$5/10*4,"6",IF(H494&gt;$L$5/10*3,"7",IF(H494&gt;$L$5/10*2,"8",IF(H494&gt;$L$5/10,"9","10")))))))))</f>
        <v>4</v>
      </c>
    </row>
    <row r="495" spans="1:9" x14ac:dyDescent="0.55000000000000004">
      <c r="A495">
        <v>1048</v>
      </c>
      <c r="B495">
        <f>estuary_data!U489*weights!$C$2</f>
        <v>5.7109541094365293E-2</v>
      </c>
      <c r="C495">
        <f>estuary_data!R489*weights!$C$5</f>
        <v>4.9153845023666952E-2</v>
      </c>
      <c r="D495">
        <f>estuary_data!V489*weights!$C$3</f>
        <v>3.5384855993934407E-2</v>
      </c>
      <c r="E495">
        <f>estuary_data!S489*weights!$C$6</f>
        <v>4.388395875873545E-2</v>
      </c>
      <c r="F495">
        <f>estuary_data!W489*weights!$C$4</f>
        <v>0.12670126196592238</v>
      </c>
      <c r="G495">
        <f>estuary_data!T489*weights!$C$7</f>
        <v>4.0105973558914057E-2</v>
      </c>
      <c r="H495">
        <f>SUM(B495:G495)</f>
        <v>0.3523394363955385</v>
      </c>
      <c r="I495" t="str">
        <f>IF(H495&gt;$L$5/10*9,"1",IF(H495&gt;$L$5/10*8,"2",IF(H495&gt;$L$5/10*7,"3",IF(H495&gt;$L$5/10*6,"4",IF(H495&gt;$L$5/10*5,"5",IF(H495&gt;$L$5/10*4,"6",IF(H495&gt;$L$5/10*3,"7",IF(H495&gt;$L$5/10*2,"8",IF(H495&gt;$L$5/10,"9","10")))))))))</f>
        <v>5</v>
      </c>
    </row>
    <row r="496" spans="1:9" x14ac:dyDescent="0.55000000000000004">
      <c r="A496">
        <v>1049</v>
      </c>
      <c r="B496">
        <f>estuary_data!U490*weights!$C$2</f>
        <v>5.3153287293307212E-2</v>
      </c>
      <c r="C496">
        <f>estuary_data!R490*weights!$C$5</f>
        <v>5.6764274865811655E-2</v>
      </c>
      <c r="D496">
        <f>estuary_data!V490*weights!$C$3</f>
        <v>3.3855548221386131E-2</v>
      </c>
      <c r="E496">
        <f>estuary_data!S490*weights!$C$6</f>
        <v>4.4752186631234175E-2</v>
      </c>
      <c r="F496">
        <f>estuary_data!W490*weights!$C$4</f>
        <v>0.11265188500805849</v>
      </c>
      <c r="G496">
        <f>estuary_data!T490*weights!$C$7</f>
        <v>4.1764521787102639E-2</v>
      </c>
      <c r="H496">
        <f>SUM(B496:G496)</f>
        <v>0.34294170380690031</v>
      </c>
      <c r="I496" t="str">
        <f>IF(H496&gt;$L$5/10*9,"1",IF(H496&gt;$L$5/10*8,"2",IF(H496&gt;$L$5/10*7,"3",IF(H496&gt;$L$5/10*6,"4",IF(H496&gt;$L$5/10*5,"5",IF(H496&gt;$L$5/10*4,"6",IF(H496&gt;$L$5/10*3,"7",IF(H496&gt;$L$5/10*2,"8",IF(H496&gt;$L$5/10,"9","10")))))))))</f>
        <v>5</v>
      </c>
    </row>
    <row r="497" spans="1:9" x14ac:dyDescent="0.55000000000000004">
      <c r="A497">
        <v>1050</v>
      </c>
      <c r="B497">
        <f>estuary_data!U491*weights!$C$2</f>
        <v>5.6408138649140523E-2</v>
      </c>
      <c r="C497">
        <f>estuary_data!R491*weights!$C$5</f>
        <v>4.648306904358955E-2</v>
      </c>
      <c r="D497">
        <f>estuary_data!V491*weights!$C$3</f>
        <v>3.8835421431621373E-2</v>
      </c>
      <c r="E497">
        <f>estuary_data!S491*weights!$C$6</f>
        <v>4.0121303363135324E-2</v>
      </c>
      <c r="F497">
        <f>estuary_data!W491*weights!$C$4</f>
        <v>0.12718368794801904</v>
      </c>
      <c r="G497">
        <f>estuary_data!T491*weights!$C$7</f>
        <v>4.0440503466024083E-2</v>
      </c>
      <c r="H497">
        <f>SUM(B497:G497)</f>
        <v>0.34947212390152987</v>
      </c>
      <c r="I497" t="str">
        <f>IF(H497&gt;$L$5/10*9,"1",IF(H497&gt;$L$5/10*8,"2",IF(H497&gt;$L$5/10*7,"3",IF(H497&gt;$L$5/10*6,"4",IF(H497&gt;$L$5/10*5,"5",IF(H497&gt;$L$5/10*4,"6",IF(H497&gt;$L$5/10*3,"7",IF(H497&gt;$L$5/10*2,"8",IF(H497&gt;$L$5/10,"9","10")))))))))</f>
        <v>5</v>
      </c>
    </row>
    <row r="498" spans="1:9" x14ac:dyDescent="0.55000000000000004">
      <c r="A498">
        <v>1051</v>
      </c>
      <c r="B498">
        <f>estuary_data!U492*weights!$C$2</f>
        <v>5.4984808601449511E-2</v>
      </c>
      <c r="C498">
        <f>estuary_data!R492*weights!$C$5</f>
        <v>5.1935538938626971E-2</v>
      </c>
      <c r="D498">
        <f>estuary_data!V492*weights!$C$3</f>
        <v>3.5877515271041729E-2</v>
      </c>
      <c r="E498">
        <f>estuary_data!S492*weights!$C$6</f>
        <v>3.6887229640148352E-2</v>
      </c>
      <c r="F498">
        <f>estuary_data!W492*weights!$C$4</f>
        <v>0.10804404743528961</v>
      </c>
      <c r="G498">
        <f>estuary_data!T492*weights!$C$7</f>
        <v>3.2782682974469193E-2</v>
      </c>
      <c r="H498">
        <f>SUM(B498:G498)</f>
        <v>0.32051182286102536</v>
      </c>
      <c r="I498" t="str">
        <f>IF(H498&gt;$L$5/10*9,"1",IF(H498&gt;$L$5/10*8,"2",IF(H498&gt;$L$5/10*7,"3",IF(H498&gt;$L$5/10*6,"4",IF(H498&gt;$L$5/10*5,"5",IF(H498&gt;$L$5/10*4,"6",IF(H498&gt;$L$5/10*3,"7",IF(H498&gt;$L$5/10*2,"8",IF(H498&gt;$L$5/10,"9","10")))))))))</f>
        <v>6</v>
      </c>
    </row>
    <row r="499" spans="1:9" x14ac:dyDescent="0.55000000000000004">
      <c r="A499">
        <v>1052</v>
      </c>
      <c r="B499">
        <f>estuary_data!U493*weights!$C$2</f>
        <v>5.3213915782101384E-2</v>
      </c>
      <c r="C499">
        <f>estuary_data!R493*weights!$C$5</f>
        <v>5.5315865153759101E-2</v>
      </c>
      <c r="D499">
        <f>estuary_data!V493*weights!$C$3</f>
        <v>3.4326745094123041E-2</v>
      </c>
      <c r="E499">
        <f>estuary_data!S493*weights!$C$6</f>
        <v>3.5724991900757432E-2</v>
      </c>
      <c r="F499">
        <f>estuary_data!W493*weights!$C$4</f>
        <v>0.10217883400473481</v>
      </c>
      <c r="G499">
        <f>estuary_data!T493*weights!$C$7</f>
        <v>2.911573755770171E-2</v>
      </c>
      <c r="H499">
        <f>SUM(B499:G499)</f>
        <v>0.30987608949317746</v>
      </c>
      <c r="I499" t="str">
        <f>IF(H499&gt;$L$5/10*9,"1",IF(H499&gt;$L$5/10*8,"2",IF(H499&gt;$L$5/10*7,"3",IF(H499&gt;$L$5/10*6,"4",IF(H499&gt;$L$5/10*5,"5",IF(H499&gt;$L$5/10*4,"6",IF(H499&gt;$L$5/10*3,"7",IF(H499&gt;$L$5/10*2,"8",IF(H499&gt;$L$5/10,"9","10")))))))))</f>
        <v>6</v>
      </c>
    </row>
    <row r="500" spans="1:9" x14ac:dyDescent="0.55000000000000004">
      <c r="A500">
        <v>1053</v>
      </c>
      <c r="B500">
        <f>estuary_data!U494*weights!$C$2</f>
        <v>4.2807438718987609E-2</v>
      </c>
      <c r="C500">
        <f>estuary_data!R494*weights!$C$5</f>
        <v>6.5387109024192105E-2</v>
      </c>
      <c r="D500">
        <f>estuary_data!V494*weights!$C$3</f>
        <v>3.0933736594187172E-2</v>
      </c>
      <c r="E500">
        <f>estuary_data!S494*weights!$C$6</f>
        <v>3.2520112156626951E-2</v>
      </c>
      <c r="F500">
        <f>estuary_data!W494*weights!$C$4</f>
        <v>7.7814814305768837E-2</v>
      </c>
      <c r="G500">
        <f>estuary_data!T494*weights!$C$7</f>
        <v>2.3220212295329536E-2</v>
      </c>
      <c r="H500">
        <f>SUM(B500:G500)</f>
        <v>0.27268342309509219</v>
      </c>
      <c r="I500" t="str">
        <f>IF(H500&gt;$L$5/10*9,"1",IF(H500&gt;$L$5/10*8,"2",IF(H500&gt;$L$5/10*7,"3",IF(H500&gt;$L$5/10*6,"4",IF(H500&gt;$L$5/10*5,"5",IF(H500&gt;$L$5/10*4,"6",IF(H500&gt;$L$5/10*3,"7",IF(H500&gt;$L$5/10*2,"8",IF(H500&gt;$L$5/10,"9","10")))))))))</f>
        <v>6</v>
      </c>
    </row>
    <row r="501" spans="1:9" x14ac:dyDescent="0.55000000000000004">
      <c r="A501">
        <v>1054</v>
      </c>
      <c r="B501">
        <f>estuary_data!U495*weights!$C$2</f>
        <v>4.0767313718220004E-2</v>
      </c>
      <c r="C501">
        <f>estuary_data!R495*weights!$C$5</f>
        <v>6.85250336711304E-2</v>
      </c>
      <c r="D501">
        <f>estuary_data!V495*weights!$C$3</f>
        <v>3.0037760310450121E-2</v>
      </c>
      <c r="E501">
        <f>estuary_data!S495*weights!$C$6</f>
        <v>3.2725293637315189E-2</v>
      </c>
      <c r="F501">
        <f>estuary_data!W495*weights!$C$4</f>
        <v>7.7409596205536016E-2</v>
      </c>
      <c r="G501">
        <f>estuary_data!T495*weights!$C$7</f>
        <v>2.409347012181309E-2</v>
      </c>
      <c r="H501">
        <f>SUM(B501:G501)</f>
        <v>0.27355846766446479</v>
      </c>
      <c r="I501" t="str">
        <f>IF(H501&gt;$L$5/10*9,"1",IF(H501&gt;$L$5/10*8,"2",IF(H501&gt;$L$5/10*7,"3",IF(H501&gt;$L$5/10*6,"4",IF(H501&gt;$L$5/10*5,"5",IF(H501&gt;$L$5/10*4,"6",IF(H501&gt;$L$5/10*3,"7",IF(H501&gt;$L$5/10*2,"8",IF(H501&gt;$L$5/10,"9","10")))))))))</f>
        <v>6</v>
      </c>
    </row>
    <row r="502" spans="1:9" x14ac:dyDescent="0.55000000000000004">
      <c r="A502">
        <v>1055</v>
      </c>
      <c r="B502">
        <f>estuary_data!U496*weights!$C$2</f>
        <v>3.8906921591951978E-2</v>
      </c>
      <c r="C502">
        <f>estuary_data!R496*weights!$C$5</f>
        <v>6.9384923736575121E-2</v>
      </c>
      <c r="D502">
        <f>estuary_data!V496*weights!$C$3</f>
        <v>2.8575415592907872E-2</v>
      </c>
      <c r="E502">
        <f>estuary_data!S496*weights!$C$6</f>
        <v>3.1200953587238216E-2</v>
      </c>
      <c r="F502">
        <f>estuary_data!W496*weights!$C$4</f>
        <v>7.16139620823604E-2</v>
      </c>
      <c r="G502">
        <f>estuary_data!T496*weights!$C$7</f>
        <v>2.0339217784937181E-2</v>
      </c>
      <c r="H502">
        <f>SUM(B502:G502)</f>
        <v>0.26002139437597077</v>
      </c>
      <c r="I502" t="str">
        <f>IF(H502&gt;$L$5/10*9,"1",IF(H502&gt;$L$5/10*8,"2",IF(H502&gt;$L$5/10*7,"3",IF(H502&gt;$L$5/10*6,"4",IF(H502&gt;$L$5/10*5,"5",IF(H502&gt;$L$5/10*4,"6",IF(H502&gt;$L$5/10*3,"7",IF(H502&gt;$L$5/10*2,"8",IF(H502&gt;$L$5/10,"9","10")))))))))</f>
        <v>7</v>
      </c>
    </row>
    <row r="503" spans="1:9" x14ac:dyDescent="0.55000000000000004">
      <c r="A503">
        <v>1056</v>
      </c>
      <c r="B503">
        <f>estuary_data!U497*weights!$C$2</f>
        <v>3.8566795676612864E-2</v>
      </c>
      <c r="C503">
        <f>estuary_data!R497*weights!$C$5</f>
        <v>7.0067532244357758E-2</v>
      </c>
      <c r="D503">
        <f>estuary_data!V497*weights!$C$3</f>
        <v>3.0161186747183554E-2</v>
      </c>
      <c r="E503">
        <f>estuary_data!S497*weights!$C$6</f>
        <v>3.4488628171365249E-2</v>
      </c>
      <c r="F503">
        <f>estuary_data!W497*weights!$C$4</f>
        <v>7.8959384155627921E-2</v>
      </c>
      <c r="G503">
        <f>estuary_data!T497*weights!$C$7</f>
        <v>2.8233877129253744E-2</v>
      </c>
      <c r="H503">
        <f>SUM(B503:G503)</f>
        <v>0.28047740412440109</v>
      </c>
      <c r="I503" t="str">
        <f>IF(H503&gt;$L$5/10*9,"1",IF(H503&gt;$L$5/10*8,"2",IF(H503&gt;$L$5/10*7,"3",IF(H503&gt;$L$5/10*6,"4",IF(H503&gt;$L$5/10*5,"5",IF(H503&gt;$L$5/10*4,"6",IF(H503&gt;$L$5/10*3,"7",IF(H503&gt;$L$5/10*2,"8",IF(H503&gt;$L$5/10,"9","10")))))))))</f>
        <v>6</v>
      </c>
    </row>
    <row r="504" spans="1:9" x14ac:dyDescent="0.55000000000000004">
      <c r="A504">
        <v>1057</v>
      </c>
      <c r="B504">
        <f>estuary_data!U498*weights!$C$2</f>
        <v>3.977990498356325E-2</v>
      </c>
      <c r="C504">
        <f>estuary_data!R498*weights!$C$5</f>
        <v>7.257431935069103E-2</v>
      </c>
      <c r="D504">
        <f>estuary_data!V498*weights!$C$3</f>
        <v>2.7837463120356128E-2</v>
      </c>
      <c r="E504">
        <f>estuary_data!S498*weights!$C$6</f>
        <v>3.060792539923644E-2</v>
      </c>
      <c r="F504">
        <f>estuary_data!W498*weights!$C$4</f>
        <v>7.0273651284515432E-2</v>
      </c>
      <c r="G504">
        <f>estuary_data!T498*weights!$C$7</f>
        <v>1.9345699674715253E-2</v>
      </c>
      <c r="H504">
        <f>SUM(B504:G504)</f>
        <v>0.26041896381307755</v>
      </c>
      <c r="I504" t="str">
        <f>IF(H504&gt;$L$5/10*9,"1",IF(H504&gt;$L$5/10*8,"2",IF(H504&gt;$L$5/10*7,"3",IF(H504&gt;$L$5/10*6,"4",IF(H504&gt;$L$5/10*5,"5",IF(H504&gt;$L$5/10*4,"6",IF(H504&gt;$L$5/10*3,"7",IF(H504&gt;$L$5/10*2,"8",IF(H504&gt;$L$5/10,"9","10")))))))))</f>
        <v>7</v>
      </c>
    </row>
    <row r="505" spans="1:9" x14ac:dyDescent="0.55000000000000004">
      <c r="A505">
        <v>1058</v>
      </c>
      <c r="B505">
        <f>estuary_data!U499*weights!$C$2</f>
        <v>3.696294626017807E-2</v>
      </c>
      <c r="C505">
        <f>estuary_data!R499*weights!$C$5</f>
        <v>7.2676502219237341E-2</v>
      </c>
      <c r="D505">
        <f>estuary_data!V499*weights!$C$3</f>
        <v>2.8908273987837057E-2</v>
      </c>
      <c r="E505">
        <f>estuary_data!S499*weights!$C$6</f>
        <v>3.4036656762278475E-2</v>
      </c>
      <c r="F505">
        <f>estuary_data!W499*weights!$C$4</f>
        <v>7.0657378643219068E-2</v>
      </c>
      <c r="G505">
        <f>estuary_data!T499*weights!$C$7</f>
        <v>2.6881295730279916E-2</v>
      </c>
      <c r="H505">
        <f>SUM(B505:G505)</f>
        <v>0.27012305360302996</v>
      </c>
      <c r="I505" t="str">
        <f>IF(H505&gt;$L$5/10*9,"1",IF(H505&gt;$L$5/10*8,"2",IF(H505&gt;$L$5/10*7,"3",IF(H505&gt;$L$5/10*6,"4",IF(H505&gt;$L$5/10*5,"5",IF(H505&gt;$L$5/10*4,"6",IF(H505&gt;$L$5/10*3,"7",IF(H505&gt;$L$5/10*2,"8",IF(H505&gt;$L$5/10,"9","10")))))))))</f>
        <v>6</v>
      </c>
    </row>
    <row r="506" spans="1:9" x14ac:dyDescent="0.55000000000000004">
      <c r="A506">
        <v>1059</v>
      </c>
      <c r="B506">
        <f>estuary_data!U500*weights!$C$2</f>
        <v>3.8216480823036164E-2</v>
      </c>
      <c r="C506">
        <f>estuary_data!R500*weights!$C$5</f>
        <v>7.3303261537238582E-2</v>
      </c>
      <c r="D506">
        <f>estuary_data!V500*weights!$C$3</f>
        <v>2.8580004351061294E-2</v>
      </c>
      <c r="E506">
        <f>estuary_data!S500*weights!$C$6</f>
        <v>3.1517336556384001E-2</v>
      </c>
      <c r="F506">
        <f>estuary_data!W500*weights!$C$4</f>
        <v>7.0116180215215734E-2</v>
      </c>
      <c r="G506">
        <f>estuary_data!T500*weights!$C$7</f>
        <v>2.1380248574386983E-2</v>
      </c>
      <c r="H506">
        <f>SUM(B506:G506)</f>
        <v>0.26311351205732275</v>
      </c>
      <c r="I506" t="str">
        <f>IF(H506&gt;$L$5/10*9,"1",IF(H506&gt;$L$5/10*8,"2",IF(H506&gt;$L$5/10*7,"3",IF(H506&gt;$L$5/10*6,"4",IF(H506&gt;$L$5/10*5,"5",IF(H506&gt;$L$5/10*4,"6",IF(H506&gt;$L$5/10*3,"7",IF(H506&gt;$L$5/10*2,"8",IF(H506&gt;$L$5/10,"9","10")))))))))</f>
        <v>7</v>
      </c>
    </row>
    <row r="507" spans="1:9" x14ac:dyDescent="0.55000000000000004">
      <c r="A507">
        <v>1060</v>
      </c>
      <c r="B507">
        <f>estuary_data!U501*weights!$C$2</f>
        <v>3.9397551953005601E-2</v>
      </c>
      <c r="C507">
        <f>estuary_data!R501*weights!$C$5</f>
        <v>7.0388833295338668E-2</v>
      </c>
      <c r="D507">
        <f>estuary_data!V501*weights!$C$3</f>
        <v>2.5912733299795571E-2</v>
      </c>
      <c r="E507">
        <f>estuary_data!S501*weights!$C$6</f>
        <v>2.8123139168485186E-2</v>
      </c>
      <c r="F507">
        <f>estuary_data!W501*weights!$C$4</f>
        <v>6.6491057470939474E-2</v>
      </c>
      <c r="G507">
        <f>estuary_data!T501*weights!$C$7</f>
        <v>1.4628779900891238E-2</v>
      </c>
      <c r="H507">
        <f>SUM(B507:G507)</f>
        <v>0.24494209508845574</v>
      </c>
      <c r="I507" t="str">
        <f>IF(H507&gt;$L$5/10*9,"1",IF(H507&gt;$L$5/10*8,"2",IF(H507&gt;$L$5/10*7,"3",IF(H507&gt;$L$5/10*6,"4",IF(H507&gt;$L$5/10*5,"5",IF(H507&gt;$L$5/10*4,"6",IF(H507&gt;$L$5/10*3,"7",IF(H507&gt;$L$5/10*2,"8",IF(H507&gt;$L$5/10,"9","10")))))))))</f>
        <v>7</v>
      </c>
    </row>
    <row r="508" spans="1:9" x14ac:dyDescent="0.55000000000000004">
      <c r="A508">
        <v>1061</v>
      </c>
      <c r="B508">
        <f>estuary_data!U502*weights!$C$2</f>
        <v>3.85151370599775E-2</v>
      </c>
      <c r="C508">
        <f>estuary_data!R502*weights!$C$5</f>
        <v>7.6344230549434469E-2</v>
      </c>
      <c r="D508">
        <f>estuary_data!V502*weights!$C$3</f>
        <v>2.9728607408379779E-2</v>
      </c>
      <c r="E508">
        <f>estuary_data!S502*weights!$C$6</f>
        <v>3.333369621391561E-2</v>
      </c>
      <c r="F508">
        <f>estuary_data!W502*weights!$C$4</f>
        <v>7.0843583984899913E-2</v>
      </c>
      <c r="G508">
        <f>estuary_data!T502*weights!$C$7</f>
        <v>2.5109795577021549E-2</v>
      </c>
      <c r="H508">
        <f>SUM(B508:G508)</f>
        <v>0.27387505079362878</v>
      </c>
      <c r="I508" t="str">
        <f>IF(H508&gt;$L$5/10*9,"1",IF(H508&gt;$L$5/10*8,"2",IF(H508&gt;$L$5/10*7,"3",IF(H508&gt;$L$5/10*6,"4",IF(H508&gt;$L$5/10*5,"5",IF(H508&gt;$L$5/10*4,"6",IF(H508&gt;$L$5/10*3,"7",IF(H508&gt;$L$5/10*2,"8",IF(H508&gt;$L$5/10,"9","10")))))))))</f>
        <v>6</v>
      </c>
    </row>
    <row r="509" spans="1:9" x14ac:dyDescent="0.55000000000000004">
      <c r="A509">
        <v>1062</v>
      </c>
      <c r="B509">
        <f>estuary_data!U503*weights!$C$2</f>
        <v>3.6162860368526221E-2</v>
      </c>
      <c r="C509">
        <f>estuary_data!R503*weights!$C$5</f>
        <v>7.6442687447665456E-2</v>
      </c>
      <c r="D509">
        <f>estuary_data!V503*weights!$C$3</f>
        <v>2.8622048775562368E-2</v>
      </c>
      <c r="E509">
        <f>estuary_data!S503*weights!$C$6</f>
        <v>3.2102869597060643E-2</v>
      </c>
      <c r="F509">
        <f>estuary_data!W503*weights!$C$4</f>
        <v>6.7390853309689969E-2</v>
      </c>
      <c r="G509">
        <f>estuary_data!T503*weights!$C$7</f>
        <v>2.2637794154216039E-2</v>
      </c>
      <c r="H509">
        <f>SUM(B509:G509)</f>
        <v>0.26335911365272069</v>
      </c>
      <c r="I509" t="str">
        <f>IF(H509&gt;$L$5/10*9,"1",IF(H509&gt;$L$5/10*8,"2",IF(H509&gt;$L$5/10*7,"3",IF(H509&gt;$L$5/10*6,"4",IF(H509&gt;$L$5/10*5,"5",IF(H509&gt;$L$5/10*4,"6",IF(H509&gt;$L$5/10*3,"7",IF(H509&gt;$L$5/10*2,"8",IF(H509&gt;$L$5/10,"9","10")))))))))</f>
        <v>7</v>
      </c>
    </row>
    <row r="510" spans="1:9" x14ac:dyDescent="0.55000000000000004">
      <c r="A510">
        <v>1063</v>
      </c>
      <c r="B510">
        <f>estuary_data!U504*weights!$C$2</f>
        <v>3.5359649134156505E-2</v>
      </c>
      <c r="C510">
        <f>estuary_data!R504*weights!$C$5</f>
        <v>7.3925275683463659E-2</v>
      </c>
      <c r="D510">
        <f>estuary_data!V504*weights!$C$3</f>
        <v>3.0397441266407484E-2</v>
      </c>
      <c r="E510">
        <f>estuary_data!S504*weights!$C$6</f>
        <v>3.3286950973857463E-2</v>
      </c>
      <c r="F510">
        <f>estuary_data!W504*weights!$C$4</f>
        <v>7.2295413287050594E-2</v>
      </c>
      <c r="G510">
        <f>estuary_data!T504*weights!$C$7</f>
        <v>2.5623917659267196E-2</v>
      </c>
      <c r="H510">
        <f>SUM(B510:G510)</f>
        <v>0.27088864800420287</v>
      </c>
      <c r="I510" t="str">
        <f>IF(H510&gt;$L$5/10*9,"1",IF(H510&gt;$L$5/10*8,"2",IF(H510&gt;$L$5/10*7,"3",IF(H510&gt;$L$5/10*6,"4",IF(H510&gt;$L$5/10*5,"5",IF(H510&gt;$L$5/10*4,"6",IF(H510&gt;$L$5/10*3,"7",IF(H510&gt;$L$5/10*2,"8",IF(H510&gt;$L$5/10,"9","10")))))))))</f>
        <v>6</v>
      </c>
    </row>
    <row r="511" spans="1:9" x14ac:dyDescent="0.55000000000000004">
      <c r="A511">
        <v>1064</v>
      </c>
      <c r="B511">
        <f>estuary_data!U505*weights!$C$2</f>
        <v>3.5551231307017934E-2</v>
      </c>
      <c r="C511">
        <f>estuary_data!R505*weights!$C$5</f>
        <v>7.5123535083068405E-2</v>
      </c>
      <c r="D511">
        <f>estuary_data!V505*weights!$C$3</f>
        <v>2.9980044815081337E-2</v>
      </c>
      <c r="E511">
        <f>estuary_data!S505*weights!$C$6</f>
        <v>3.2697153361673066E-2</v>
      </c>
      <c r="F511">
        <f>estuary_data!W505*weights!$C$4</f>
        <v>7.1517830565585722E-2</v>
      </c>
      <c r="G511">
        <f>estuary_data!T505*weights!$C$7</f>
        <v>2.4211013692269776E-2</v>
      </c>
      <c r="H511">
        <f>SUM(B511:G511)</f>
        <v>0.26908080882469626</v>
      </c>
      <c r="I511" t="str">
        <f>IF(H511&gt;$L$5/10*9,"1",IF(H511&gt;$L$5/10*8,"2",IF(H511&gt;$L$5/10*7,"3",IF(H511&gt;$L$5/10*6,"4",IF(H511&gt;$L$5/10*5,"5",IF(H511&gt;$L$5/10*4,"6",IF(H511&gt;$L$5/10*3,"7",IF(H511&gt;$L$5/10*2,"8",IF(H511&gt;$L$5/10,"9","10")))))))))</f>
        <v>6</v>
      </c>
    </row>
    <row r="512" spans="1:9" x14ac:dyDescent="0.55000000000000004">
      <c r="A512">
        <v>1065</v>
      </c>
      <c r="B512">
        <f>estuary_data!U506*weights!$C$2</f>
        <v>3.5769106660309455E-2</v>
      </c>
      <c r="C512">
        <f>estuary_data!R506*weights!$C$5</f>
        <v>7.5763038568998228E-2</v>
      </c>
      <c r="D512">
        <f>estuary_data!V506*weights!$C$3</f>
        <v>2.7217464881691206E-2</v>
      </c>
      <c r="E512">
        <f>estuary_data!S506*weights!$C$6</f>
        <v>3.0025623011840308E-2</v>
      </c>
      <c r="F512">
        <f>estuary_data!W506*weights!$C$4</f>
        <v>6.6986798091910771E-2</v>
      </c>
      <c r="G512">
        <f>estuary_data!T506*weights!$C$7</f>
        <v>1.8811495033063855E-2</v>
      </c>
      <c r="H512">
        <f>SUM(B512:G512)</f>
        <v>0.25457352624781382</v>
      </c>
      <c r="I512" t="str">
        <f>IF(H512&gt;$L$5/10*9,"1",IF(H512&gt;$L$5/10*8,"2",IF(H512&gt;$L$5/10*7,"3",IF(H512&gt;$L$5/10*6,"4",IF(H512&gt;$L$5/10*5,"5",IF(H512&gt;$L$5/10*4,"6",IF(H512&gt;$L$5/10*3,"7",IF(H512&gt;$L$5/10*2,"8",IF(H512&gt;$L$5/10,"9","10")))))))))</f>
        <v>7</v>
      </c>
    </row>
    <row r="513" spans="1:9" x14ac:dyDescent="0.55000000000000004">
      <c r="A513">
        <v>1066</v>
      </c>
      <c r="B513">
        <f>estuary_data!U507*weights!$C$2</f>
        <v>3.4375822985449236E-2</v>
      </c>
      <c r="C513">
        <f>estuary_data!R507*weights!$C$5</f>
        <v>7.4633769224541804E-2</v>
      </c>
      <c r="D513">
        <f>estuary_data!V507*weights!$C$3</f>
        <v>3.139930639766516E-2</v>
      </c>
      <c r="E513">
        <f>estuary_data!S507*weights!$C$6</f>
        <v>3.0609988018323108E-2</v>
      </c>
      <c r="F513">
        <f>estuary_data!W507*weights!$C$4</f>
        <v>6.9644644721954474E-2</v>
      </c>
      <c r="G513">
        <f>estuary_data!T507*weights!$C$7</f>
        <v>2.0485390251806641E-2</v>
      </c>
      <c r="H513">
        <f>SUM(B513:G513)</f>
        <v>0.2611489215997404</v>
      </c>
      <c r="I513" t="str">
        <f>IF(H513&gt;$L$5/10*9,"1",IF(H513&gt;$L$5/10*8,"2",IF(H513&gt;$L$5/10*7,"3",IF(H513&gt;$L$5/10*6,"4",IF(H513&gt;$L$5/10*5,"5",IF(H513&gt;$L$5/10*4,"6",IF(H513&gt;$L$5/10*3,"7",IF(H513&gt;$L$5/10*2,"8",IF(H513&gt;$L$5/10,"9","10")))))))))</f>
        <v>7</v>
      </c>
    </row>
    <row r="514" spans="1:9" x14ac:dyDescent="0.55000000000000004">
      <c r="A514">
        <v>1067</v>
      </c>
      <c r="B514">
        <f>estuary_data!U508*weights!$C$2</f>
        <v>3.5358364477049452E-2</v>
      </c>
      <c r="C514">
        <f>estuary_data!R508*weights!$C$5</f>
        <v>7.7013919740983247E-2</v>
      </c>
      <c r="D514">
        <f>estuary_data!V508*weights!$C$3</f>
        <v>2.8490420136804626E-2</v>
      </c>
      <c r="E514">
        <f>estuary_data!S508*weights!$C$6</f>
        <v>3.0546488708055829E-2</v>
      </c>
      <c r="F514">
        <f>estuary_data!W508*weights!$C$4</f>
        <v>6.5455985950663598E-2</v>
      </c>
      <c r="G514">
        <f>estuary_data!T508*weights!$C$7</f>
        <v>1.9728781038476896E-2</v>
      </c>
      <c r="H514">
        <f>SUM(B514:G514)</f>
        <v>0.25659396005203366</v>
      </c>
      <c r="I514" t="str">
        <f>IF(H514&gt;$L$5/10*9,"1",IF(H514&gt;$L$5/10*8,"2",IF(H514&gt;$L$5/10*7,"3",IF(H514&gt;$L$5/10*6,"4",IF(H514&gt;$L$5/10*5,"5",IF(H514&gt;$L$5/10*4,"6",IF(H514&gt;$L$5/10*3,"7",IF(H514&gt;$L$5/10*2,"8",IF(H514&gt;$L$5/10,"9","10")))))))))</f>
        <v>7</v>
      </c>
    </row>
    <row r="515" spans="1:9" x14ac:dyDescent="0.55000000000000004">
      <c r="A515">
        <v>1068</v>
      </c>
      <c r="B515">
        <f>estuary_data!U509*weights!$C$2</f>
        <v>3.405293285722219E-2</v>
      </c>
      <c r="C515">
        <f>estuary_data!R509*weights!$C$5</f>
        <v>7.6823844596624682E-2</v>
      </c>
      <c r="D515">
        <f>estuary_data!V509*weights!$C$3</f>
        <v>3.0554895799649189E-2</v>
      </c>
      <c r="E515">
        <f>estuary_data!S509*weights!$C$6</f>
        <v>3.077632315307088E-2</v>
      </c>
      <c r="F515">
        <f>estuary_data!W509*weights!$C$4</f>
        <v>6.8411243830295385E-2</v>
      </c>
      <c r="G515">
        <f>estuary_data!T509*weights!$C$7</f>
        <v>2.0328371187194719E-2</v>
      </c>
      <c r="H515">
        <f>SUM(B515:G515)</f>
        <v>0.26094761142405704</v>
      </c>
      <c r="I515" t="str">
        <f>IF(H515&gt;$L$5/10*9,"1",IF(H515&gt;$L$5/10*8,"2",IF(H515&gt;$L$5/10*7,"3",IF(H515&gt;$L$5/10*6,"4",IF(H515&gt;$L$5/10*5,"5",IF(H515&gt;$L$5/10*4,"6",IF(H515&gt;$L$5/10*3,"7",IF(H515&gt;$L$5/10*2,"8",IF(H515&gt;$L$5/10,"9","10")))))))))</f>
        <v>7</v>
      </c>
    </row>
    <row r="516" spans="1:9" x14ac:dyDescent="0.55000000000000004">
      <c r="A516">
        <v>1069</v>
      </c>
      <c r="B516">
        <f>estuary_data!U510*weights!$C$2</f>
        <v>3.5030633023193126E-2</v>
      </c>
      <c r="C516">
        <f>estuary_data!R510*weights!$C$5</f>
        <v>7.6246143564424051E-2</v>
      </c>
      <c r="D516">
        <f>estuary_data!V510*weights!$C$3</f>
        <v>3.0294562632441457E-2</v>
      </c>
      <c r="E516">
        <f>estuary_data!S510*weights!$C$6</f>
        <v>2.9354254239699236E-2</v>
      </c>
      <c r="F516">
        <f>estuary_data!W510*weights!$C$4</f>
        <v>6.8113532356984599E-2</v>
      </c>
      <c r="G516">
        <f>estuary_data!T510*weights!$C$7</f>
        <v>1.7744671273297045E-2</v>
      </c>
      <c r="H516">
        <f>SUM(B516:G516)</f>
        <v>0.25678379709003951</v>
      </c>
      <c r="I516" t="str">
        <f>IF(H516&gt;$L$5/10*9,"1",IF(H516&gt;$L$5/10*8,"2",IF(H516&gt;$L$5/10*7,"3",IF(H516&gt;$L$5/10*6,"4",IF(H516&gt;$L$5/10*5,"5",IF(H516&gt;$L$5/10*4,"6",IF(H516&gt;$L$5/10*3,"7",IF(H516&gt;$L$5/10*2,"8",IF(H516&gt;$L$5/10,"9","10")))))))))</f>
        <v>7</v>
      </c>
    </row>
    <row r="517" spans="1:9" x14ac:dyDescent="0.55000000000000004">
      <c r="A517">
        <v>1070</v>
      </c>
      <c r="B517">
        <f>estuary_data!U511*weights!$C$2</f>
        <v>3.4805334270709441E-2</v>
      </c>
      <c r="C517">
        <f>estuary_data!R511*weights!$C$5</f>
        <v>7.6248662089269184E-2</v>
      </c>
      <c r="D517">
        <f>estuary_data!V511*weights!$C$3</f>
        <v>2.8682874740464104E-2</v>
      </c>
      <c r="E517">
        <f>estuary_data!S511*weights!$C$6</f>
        <v>3.0355836110782231E-2</v>
      </c>
      <c r="F517">
        <f>estuary_data!W511*weights!$C$4</f>
        <v>6.5945260432398206E-2</v>
      </c>
      <c r="G517">
        <f>estuary_data!T511*weights!$C$7</f>
        <v>2.026931955269886E-2</v>
      </c>
      <c r="H517">
        <f>SUM(B517:G517)</f>
        <v>0.25630728719632201</v>
      </c>
      <c r="I517" t="str">
        <f>IF(H517&gt;$L$5/10*9,"1",IF(H517&gt;$L$5/10*8,"2",IF(H517&gt;$L$5/10*7,"3",IF(H517&gt;$L$5/10*6,"4",IF(H517&gt;$L$5/10*5,"5",IF(H517&gt;$L$5/10*4,"6",IF(H517&gt;$L$5/10*3,"7",IF(H517&gt;$L$5/10*2,"8",IF(H517&gt;$L$5/10,"9","10")))))))))</f>
        <v>7</v>
      </c>
    </row>
    <row r="518" spans="1:9" x14ac:dyDescent="0.55000000000000004">
      <c r="A518">
        <v>1071</v>
      </c>
      <c r="B518">
        <f>estuary_data!U512*weights!$C$2</f>
        <v>3.7426380118768372E-2</v>
      </c>
      <c r="C518">
        <f>estuary_data!R512*weights!$C$5</f>
        <v>6.5231083410956819E-2</v>
      </c>
      <c r="D518">
        <f>estuary_data!V512*weights!$C$3</f>
        <v>2.7542630968544757E-2</v>
      </c>
      <c r="E518">
        <f>estuary_data!S512*weights!$C$6</f>
        <v>2.8600801387960759E-2</v>
      </c>
      <c r="F518">
        <f>estuary_data!W512*weights!$C$4</f>
        <v>6.5462665108618964E-2</v>
      </c>
      <c r="G518">
        <f>estuary_data!T512*weights!$C$7</f>
        <v>1.8020736699448876E-2</v>
      </c>
      <c r="H518">
        <f>SUM(B518:G518)</f>
        <v>0.24228429769429854</v>
      </c>
      <c r="I518" t="str">
        <f>IF(H518&gt;$L$5/10*9,"1",IF(H518&gt;$L$5/10*8,"2",IF(H518&gt;$L$5/10*7,"3",IF(H518&gt;$L$5/10*6,"4",IF(H518&gt;$L$5/10*5,"5",IF(H518&gt;$L$5/10*4,"6",IF(H518&gt;$L$5/10*3,"7",IF(H518&gt;$L$5/10*2,"8",IF(H518&gt;$L$5/10,"9","10")))))))))</f>
        <v>7</v>
      </c>
    </row>
    <row r="519" spans="1:9" x14ac:dyDescent="0.55000000000000004">
      <c r="A519">
        <v>1072</v>
      </c>
      <c r="B519">
        <f>estuary_data!U513*weights!$C$2</f>
        <v>3.2810281719978053E-2</v>
      </c>
      <c r="C519">
        <f>estuary_data!R513*weights!$C$5</f>
        <v>7.5910159426830034E-2</v>
      </c>
      <c r="D519">
        <f>estuary_data!V513*weights!$C$3</f>
        <v>2.9621017568261843E-2</v>
      </c>
      <c r="E519">
        <f>estuary_data!S513*weights!$C$6</f>
        <v>2.6914358859846527E-2</v>
      </c>
      <c r="F519">
        <f>estuary_data!W513*weights!$C$4</f>
        <v>6.4330739984322802E-2</v>
      </c>
      <c r="G519">
        <f>estuary_data!T513*weights!$C$7</f>
        <v>1.2599752281495225E-2</v>
      </c>
      <c r="H519">
        <f>SUM(B519:G519)</f>
        <v>0.24218630984073453</v>
      </c>
      <c r="I519" t="str">
        <f>IF(H519&gt;$L$5/10*9,"1",IF(H519&gt;$L$5/10*8,"2",IF(H519&gt;$L$5/10*7,"3",IF(H519&gt;$L$5/10*6,"4",IF(H519&gt;$L$5/10*5,"5",IF(H519&gt;$L$5/10*4,"6",IF(H519&gt;$L$5/10*3,"7",IF(H519&gt;$L$5/10*2,"8",IF(H519&gt;$L$5/10,"9","10")))))))))</f>
        <v>7</v>
      </c>
    </row>
    <row r="520" spans="1:9" x14ac:dyDescent="0.55000000000000004">
      <c r="A520">
        <v>1073</v>
      </c>
      <c r="B520">
        <f>estuary_data!U514*weights!$C$2</f>
        <v>3.3810363877352527E-2</v>
      </c>
      <c r="C520">
        <f>estuary_data!R514*weights!$C$5</f>
        <v>7.4351098829863252E-2</v>
      </c>
      <c r="D520">
        <f>estuary_data!V514*weights!$C$3</f>
        <v>2.7554392209280319E-2</v>
      </c>
      <c r="E520">
        <f>estuary_data!S514*weights!$C$6</f>
        <v>2.981992663392392E-2</v>
      </c>
      <c r="F520">
        <f>estuary_data!W514*weights!$C$4</f>
        <v>6.4794333114153876E-2</v>
      </c>
      <c r="G520">
        <f>estuary_data!T514*weights!$C$7</f>
        <v>2.0539506347199223E-2</v>
      </c>
      <c r="H520">
        <f>SUM(B520:G520)</f>
        <v>0.25086962101177307</v>
      </c>
      <c r="I520" t="str">
        <f>IF(H520&gt;$L$5/10*9,"1",IF(H520&gt;$L$5/10*8,"2",IF(H520&gt;$L$5/10*7,"3",IF(H520&gt;$L$5/10*6,"4",IF(H520&gt;$L$5/10*5,"5",IF(H520&gt;$L$5/10*4,"6",IF(H520&gt;$L$5/10*3,"7",IF(H520&gt;$L$5/10*2,"8",IF(H520&gt;$L$5/10,"9","10")))))))))</f>
        <v>7</v>
      </c>
    </row>
    <row r="521" spans="1:9" x14ac:dyDescent="0.55000000000000004">
      <c r="A521">
        <v>1074</v>
      </c>
      <c r="B521">
        <f>estuary_data!U515*weights!$C$2</f>
        <v>3.3593044153835204E-2</v>
      </c>
      <c r="C521">
        <f>estuary_data!R515*weights!$C$5</f>
        <v>7.3565030379876384E-2</v>
      </c>
      <c r="D521">
        <f>estuary_data!V515*weights!$C$3</f>
        <v>2.7363106624217069E-2</v>
      </c>
      <c r="E521">
        <f>estuary_data!S515*weights!$C$6</f>
        <v>2.9247702282461683E-2</v>
      </c>
      <c r="F521">
        <f>estuary_data!W515*weights!$C$4</f>
        <v>6.2971792060998788E-2</v>
      </c>
      <c r="G521">
        <f>estuary_data!T515*weights!$C$7</f>
        <v>1.9718867072593613E-2</v>
      </c>
      <c r="H521">
        <f>SUM(B521:G521)</f>
        <v>0.24645954257398273</v>
      </c>
      <c r="I521" t="str">
        <f>IF(H521&gt;$L$5/10*9,"1",IF(H521&gt;$L$5/10*8,"2",IF(H521&gt;$L$5/10*7,"3",IF(H521&gt;$L$5/10*6,"4",IF(H521&gt;$L$5/10*5,"5",IF(H521&gt;$L$5/10*4,"6",IF(H521&gt;$L$5/10*3,"7",IF(H521&gt;$L$5/10*2,"8",IF(H521&gt;$L$5/10,"9","10")))))))))</f>
        <v>7</v>
      </c>
    </row>
    <row r="522" spans="1:9" x14ac:dyDescent="0.55000000000000004">
      <c r="A522">
        <v>1075</v>
      </c>
      <c r="B522">
        <f>estuary_data!U516*weights!$C$2</f>
        <v>3.5619260268049228E-2</v>
      </c>
      <c r="C522">
        <f>estuary_data!R516*weights!$C$5</f>
        <v>6.7799196998763425E-2</v>
      </c>
      <c r="D522">
        <f>estuary_data!V516*weights!$C$3</f>
        <v>2.8097142850881079E-2</v>
      </c>
      <c r="E522">
        <f>estuary_data!S516*weights!$C$6</f>
        <v>2.9398008328713168E-2</v>
      </c>
      <c r="F522">
        <f>estuary_data!W516*weights!$C$4</f>
        <v>6.366486597842004E-2</v>
      </c>
      <c r="G522">
        <f>estuary_data!T516*weights!$C$7</f>
        <v>2.053402158173263E-2</v>
      </c>
      <c r="H522">
        <f>SUM(B522:G522)</f>
        <v>0.24511249600655954</v>
      </c>
      <c r="I522" t="str">
        <f>IF(H522&gt;$L$5/10*9,"1",IF(H522&gt;$L$5/10*8,"2",IF(H522&gt;$L$5/10*7,"3",IF(H522&gt;$L$5/10*6,"4",IF(H522&gt;$L$5/10*5,"5",IF(H522&gt;$L$5/10*4,"6",IF(H522&gt;$L$5/10*3,"7",IF(H522&gt;$L$5/10*2,"8",IF(H522&gt;$L$5/10,"9","10")))))))))</f>
        <v>7</v>
      </c>
    </row>
    <row r="523" spans="1:9" x14ac:dyDescent="0.55000000000000004">
      <c r="A523">
        <v>1076</v>
      </c>
      <c r="B523">
        <f>estuary_data!U517*weights!$C$2</f>
        <v>3.4790104841380051E-2</v>
      </c>
      <c r="C523">
        <f>estuary_data!R517*weights!$C$5</f>
        <v>6.8398863730215406E-2</v>
      </c>
      <c r="D523">
        <f>estuary_data!V517*weights!$C$3</f>
        <v>2.8127483015065756E-2</v>
      </c>
      <c r="E523">
        <f>estuary_data!S517*weights!$C$6</f>
        <v>3.268858575594992E-2</v>
      </c>
      <c r="F523">
        <f>estuary_data!W517*weights!$C$4</f>
        <v>6.3699723681826123E-2</v>
      </c>
      <c r="G523">
        <f>estuary_data!T517*weights!$C$7</f>
        <v>2.8855660358896834E-2</v>
      </c>
      <c r="H523">
        <f>SUM(B523:G523)</f>
        <v>0.25656042138333413</v>
      </c>
      <c r="I523" t="str">
        <f>IF(H523&gt;$L$5/10*9,"1",IF(H523&gt;$L$5/10*8,"2",IF(H523&gt;$L$5/10*7,"3",IF(H523&gt;$L$5/10*6,"4",IF(H523&gt;$L$5/10*5,"5",IF(H523&gt;$L$5/10*4,"6",IF(H523&gt;$L$5/10*3,"7",IF(H523&gt;$L$5/10*2,"8",IF(H523&gt;$L$5/10,"9","10")))))))))</f>
        <v>7</v>
      </c>
    </row>
    <row r="524" spans="1:9" x14ac:dyDescent="0.55000000000000004">
      <c r="A524">
        <v>1077</v>
      </c>
      <c r="B524">
        <f>estuary_data!U518*weights!$C$2</f>
        <v>3.7086457356188464E-2</v>
      </c>
      <c r="C524">
        <f>estuary_data!R518*weights!$C$5</f>
        <v>6.5252655430709822E-2</v>
      </c>
      <c r="D524">
        <f>estuary_data!V518*weights!$C$3</f>
        <v>2.8235564479717749E-2</v>
      </c>
      <c r="E524">
        <f>estuary_data!S518*weights!$C$6</f>
        <v>3.5179747664639771E-2</v>
      </c>
      <c r="F524">
        <f>estuary_data!W518*weights!$C$4</f>
        <v>6.638515944093544E-2</v>
      </c>
      <c r="G524">
        <f>estuary_data!T518*weights!$C$7</f>
        <v>3.4865507540639877E-2</v>
      </c>
      <c r="H524">
        <f>SUM(B524:G524)</f>
        <v>0.26700509191283112</v>
      </c>
      <c r="I524" t="str">
        <f>IF(H524&gt;$L$5/10*9,"1",IF(H524&gt;$L$5/10*8,"2",IF(H524&gt;$L$5/10*7,"3",IF(H524&gt;$L$5/10*6,"4",IF(H524&gt;$L$5/10*5,"5",IF(H524&gt;$L$5/10*4,"6",IF(H524&gt;$L$5/10*3,"7",IF(H524&gt;$L$5/10*2,"8",IF(H524&gt;$L$5/10,"9","10")))))))))</f>
        <v>6</v>
      </c>
    </row>
    <row r="525" spans="1:9" x14ac:dyDescent="0.55000000000000004">
      <c r="A525">
        <v>1078</v>
      </c>
      <c r="B525">
        <f>estuary_data!U519*weights!$C$2</f>
        <v>3.7873380434312376E-2</v>
      </c>
      <c r="C525">
        <f>estuary_data!R519*weights!$C$5</f>
        <v>6.4449215717921851E-2</v>
      </c>
      <c r="D525">
        <f>estuary_data!V519*weights!$C$3</f>
        <v>2.8727151986005242E-2</v>
      </c>
      <c r="E525">
        <f>estuary_data!S519*weights!$C$6</f>
        <v>3.4051485509911383E-2</v>
      </c>
      <c r="F525">
        <f>estuary_data!W519*weights!$C$4</f>
        <v>6.5784964219109704E-2</v>
      </c>
      <c r="G525">
        <f>estuary_data!T519*weights!$C$7</f>
        <v>3.0962479931444978E-2</v>
      </c>
      <c r="H525">
        <f>SUM(B525:G525)</f>
        <v>0.26184867779870552</v>
      </c>
      <c r="I525" t="str">
        <f>IF(H525&gt;$L$5/10*9,"1",IF(H525&gt;$L$5/10*8,"2",IF(H525&gt;$L$5/10*7,"3",IF(H525&gt;$L$5/10*6,"4",IF(H525&gt;$L$5/10*5,"5",IF(H525&gt;$L$5/10*4,"6",IF(H525&gt;$L$5/10*3,"7",IF(H525&gt;$L$5/10*2,"8",IF(H525&gt;$L$5/10,"9","10")))))))))</f>
        <v>7</v>
      </c>
    </row>
    <row r="526" spans="1:9" x14ac:dyDescent="0.55000000000000004">
      <c r="A526">
        <v>1079</v>
      </c>
      <c r="B526">
        <f>estuary_data!U520*weights!$C$2</f>
        <v>3.4215437022060993E-2</v>
      </c>
      <c r="C526">
        <f>estuary_data!R520*weights!$C$5</f>
        <v>6.8325540236537641E-2</v>
      </c>
      <c r="D526">
        <f>estuary_data!V520*weights!$C$3</f>
        <v>2.9059940016629506E-2</v>
      </c>
      <c r="E526">
        <f>estuary_data!S520*weights!$C$6</f>
        <v>3.2391611645049119E-2</v>
      </c>
      <c r="F526">
        <f>estuary_data!W520*weights!$C$4</f>
        <v>6.7260826325919648E-2</v>
      </c>
      <c r="G526">
        <f>estuary_data!T520*weights!$C$7</f>
        <v>2.7456573894222427E-2</v>
      </c>
      <c r="H526">
        <f>SUM(B526:G526)</f>
        <v>0.25870992914041929</v>
      </c>
      <c r="I526" t="str">
        <f>IF(H526&gt;$L$5/10*9,"1",IF(H526&gt;$L$5/10*8,"2",IF(H526&gt;$L$5/10*7,"3",IF(H526&gt;$L$5/10*6,"4",IF(H526&gt;$L$5/10*5,"5",IF(H526&gt;$L$5/10*4,"6",IF(H526&gt;$L$5/10*3,"7",IF(H526&gt;$L$5/10*2,"8",IF(H526&gt;$L$5/10,"9","10")))))))))</f>
        <v>7</v>
      </c>
    </row>
    <row r="527" spans="1:9" x14ac:dyDescent="0.55000000000000004">
      <c r="A527">
        <v>1080</v>
      </c>
      <c r="B527">
        <f>estuary_data!U521*weights!$C$2</f>
        <v>3.5233548737607992E-2</v>
      </c>
      <c r="C527">
        <f>estuary_data!R521*weights!$C$5</f>
        <v>6.943659814524572E-2</v>
      </c>
      <c r="D527">
        <f>estuary_data!V521*weights!$C$3</f>
        <v>2.911630210107791E-2</v>
      </c>
      <c r="E527">
        <f>estuary_data!S521*weights!$C$6</f>
        <v>2.9093488796935137E-2</v>
      </c>
      <c r="F527">
        <f>estuary_data!W521*weights!$C$4</f>
        <v>6.8161169990976558E-2</v>
      </c>
      <c r="G527">
        <f>estuary_data!T521*weights!$C$7</f>
        <v>2.0229058484911012E-2</v>
      </c>
      <c r="H527">
        <f>SUM(B527:G527)</f>
        <v>0.25127016625675436</v>
      </c>
      <c r="I527" t="str">
        <f>IF(H527&gt;$L$5/10*9,"1",IF(H527&gt;$L$5/10*8,"2",IF(H527&gt;$L$5/10*7,"3",IF(H527&gt;$L$5/10*6,"4",IF(H527&gt;$L$5/10*5,"5",IF(H527&gt;$L$5/10*4,"6",IF(H527&gt;$L$5/10*3,"7",IF(H527&gt;$L$5/10*2,"8",IF(H527&gt;$L$5/10,"9","10")))))))))</f>
        <v>7</v>
      </c>
    </row>
    <row r="528" spans="1:9" x14ac:dyDescent="0.55000000000000004">
      <c r="A528">
        <v>1081</v>
      </c>
      <c r="B528">
        <f>estuary_data!U522*weights!$C$2</f>
        <v>3.5421349507945593E-2</v>
      </c>
      <c r="C528">
        <f>estuary_data!R522*weights!$C$5</f>
        <v>7.0347800089315099E-2</v>
      </c>
      <c r="D528">
        <f>estuary_data!V522*weights!$C$3</f>
        <v>2.9338869488423066E-2</v>
      </c>
      <c r="E528">
        <f>estuary_data!S522*weights!$C$6</f>
        <v>2.6465264042991744E-2</v>
      </c>
      <c r="F528">
        <f>estuary_data!W522*weights!$C$4</f>
        <v>7.0932697809421921E-2</v>
      </c>
      <c r="G528">
        <f>estuary_data!T522*weights!$C$7</f>
        <v>1.4751399362813448E-2</v>
      </c>
      <c r="H528">
        <f>SUM(B528:G528)</f>
        <v>0.24725738030091088</v>
      </c>
      <c r="I528" t="str">
        <f>IF(H528&gt;$L$5/10*9,"1",IF(H528&gt;$L$5/10*8,"2",IF(H528&gt;$L$5/10*7,"3",IF(H528&gt;$L$5/10*6,"4",IF(H528&gt;$L$5/10*5,"5",IF(H528&gt;$L$5/10*4,"6",IF(H528&gt;$L$5/10*3,"7",IF(H528&gt;$L$5/10*2,"8",IF(H528&gt;$L$5/10,"9","10")))))))))</f>
        <v>7</v>
      </c>
    </row>
    <row r="529" spans="1:9" x14ac:dyDescent="0.55000000000000004">
      <c r="A529">
        <v>1082</v>
      </c>
      <c r="B529">
        <f>estuary_data!U523*weights!$C$2</f>
        <v>3.7288039070701481E-2</v>
      </c>
      <c r="C529">
        <f>estuary_data!R523*weights!$C$5</f>
        <v>6.5397650311467437E-2</v>
      </c>
      <c r="D529">
        <f>estuary_data!V523*weights!$C$3</f>
        <v>2.8006551045754079E-2</v>
      </c>
      <c r="E529">
        <f>estuary_data!S523*weights!$C$6</f>
        <v>3.4737277113926116E-2</v>
      </c>
      <c r="F529">
        <f>estuary_data!W523*weights!$C$4</f>
        <v>6.7062599364515502E-2</v>
      </c>
      <c r="G529">
        <f>estuary_data!T523*weights!$C$7</f>
        <v>3.3823227783960928E-2</v>
      </c>
      <c r="H529">
        <f>SUM(B529:G529)</f>
        <v>0.26631534469032553</v>
      </c>
      <c r="I529" t="str">
        <f>IF(H529&gt;$L$5/10*9,"1",IF(H529&gt;$L$5/10*8,"2",IF(H529&gt;$L$5/10*7,"3",IF(H529&gt;$L$5/10*6,"4",IF(H529&gt;$L$5/10*5,"5",IF(H529&gt;$L$5/10*4,"6",IF(H529&gt;$L$5/10*3,"7",IF(H529&gt;$L$5/10*2,"8",IF(H529&gt;$L$5/10,"9","10")))))))))</f>
        <v>6</v>
      </c>
    </row>
    <row r="530" spans="1:9" x14ac:dyDescent="0.55000000000000004">
      <c r="A530">
        <v>1083</v>
      </c>
      <c r="B530">
        <f>estuary_data!U524*weights!$C$2</f>
        <v>3.8553439329678856E-2</v>
      </c>
      <c r="C530">
        <f>estuary_data!R524*weights!$C$5</f>
        <v>6.479356466911293E-2</v>
      </c>
      <c r="D530">
        <f>estuary_data!V524*weights!$C$3</f>
        <v>2.795797723326017E-2</v>
      </c>
      <c r="E530">
        <f>estuary_data!S524*weights!$C$6</f>
        <v>3.5532599382003337E-2</v>
      </c>
      <c r="F530">
        <f>estuary_data!W524*weights!$C$4</f>
        <v>6.6880346123796633E-2</v>
      </c>
      <c r="G530">
        <f>estuary_data!T524*weights!$C$7</f>
        <v>3.5037663279691607E-2</v>
      </c>
      <c r="H530">
        <f>SUM(B530:G530)</f>
        <v>0.26875559001754357</v>
      </c>
      <c r="I530" t="str">
        <f>IF(H530&gt;$L$5/10*9,"1",IF(H530&gt;$L$5/10*8,"2",IF(H530&gt;$L$5/10*7,"3",IF(H530&gt;$L$5/10*6,"4",IF(H530&gt;$L$5/10*5,"5",IF(H530&gt;$L$5/10*4,"6",IF(H530&gt;$L$5/10*3,"7",IF(H530&gt;$L$5/10*2,"8",IF(H530&gt;$L$5/10,"9","10")))))))))</f>
        <v>6</v>
      </c>
    </row>
    <row r="531" spans="1:9" x14ac:dyDescent="0.55000000000000004">
      <c r="A531">
        <v>1084</v>
      </c>
      <c r="B531">
        <f>estuary_data!U525*weights!$C$2</f>
        <v>3.9749036729231073E-2</v>
      </c>
      <c r="C531">
        <f>estuary_data!R525*weights!$C$5</f>
        <v>6.4642422513977407E-2</v>
      </c>
      <c r="D531">
        <f>estuary_data!V525*weights!$C$3</f>
        <v>2.7890979024093619E-2</v>
      </c>
      <c r="E531">
        <f>estuary_data!S525*weights!$C$6</f>
        <v>3.6268156129600528E-2</v>
      </c>
      <c r="F531">
        <f>estuary_data!W525*weights!$C$4</f>
        <v>6.6273730228591163E-2</v>
      </c>
      <c r="G531">
        <f>estuary_data!T525*weights!$C$7</f>
        <v>3.5936558314421177E-2</v>
      </c>
      <c r="H531">
        <f>SUM(B531:G531)</f>
        <v>0.27076088293991496</v>
      </c>
      <c r="I531" t="str">
        <f>IF(H531&gt;$L$5/10*9,"1",IF(H531&gt;$L$5/10*8,"2",IF(H531&gt;$L$5/10*7,"3",IF(H531&gt;$L$5/10*6,"4",IF(H531&gt;$L$5/10*5,"5",IF(H531&gt;$L$5/10*4,"6",IF(H531&gt;$L$5/10*3,"7",IF(H531&gt;$L$5/10*2,"8",IF(H531&gt;$L$5/10,"9","10")))))))))</f>
        <v>6</v>
      </c>
    </row>
    <row r="532" spans="1:9" x14ac:dyDescent="0.55000000000000004">
      <c r="A532">
        <v>1085</v>
      </c>
      <c r="B532">
        <f>estuary_data!U526*weights!$C$2</f>
        <v>3.7019759354745413E-2</v>
      </c>
      <c r="C532">
        <f>estuary_data!R526*weights!$C$5</f>
        <v>6.6236556909356356E-2</v>
      </c>
      <c r="D532">
        <f>estuary_data!V526*weights!$C$3</f>
        <v>2.8826867574086309E-2</v>
      </c>
      <c r="E532">
        <f>estuary_data!S526*weights!$C$6</f>
        <v>3.0370301082582575E-2</v>
      </c>
      <c r="F532">
        <f>estuary_data!W526*weights!$C$4</f>
        <v>7.0084782090835407E-2</v>
      </c>
      <c r="G532">
        <f>estuary_data!T526*weights!$C$7</f>
        <v>2.4460987737142576E-2</v>
      </c>
      <c r="H532">
        <f>SUM(B532:G532)</f>
        <v>0.25699925474874863</v>
      </c>
      <c r="I532" t="str">
        <f>IF(H532&gt;$L$5/10*9,"1",IF(H532&gt;$L$5/10*8,"2",IF(H532&gt;$L$5/10*7,"3",IF(H532&gt;$L$5/10*6,"4",IF(H532&gt;$L$5/10*5,"5",IF(H532&gt;$L$5/10*4,"6",IF(H532&gt;$L$5/10*3,"7",IF(H532&gt;$L$5/10*2,"8",IF(H532&gt;$L$5/10,"9","10")))))))))</f>
        <v>7</v>
      </c>
    </row>
    <row r="533" spans="1:9" x14ac:dyDescent="0.55000000000000004">
      <c r="A533">
        <v>1086</v>
      </c>
      <c r="B533">
        <f>estuary_data!U527*weights!$C$2</f>
        <v>3.9148795885080134E-2</v>
      </c>
      <c r="C533">
        <f>estuary_data!R527*weights!$C$5</f>
        <v>6.4679773887058534E-2</v>
      </c>
      <c r="D533">
        <f>estuary_data!V527*weights!$C$3</f>
        <v>3.0362983153787264E-2</v>
      </c>
      <c r="E533">
        <f>estuary_data!S527*weights!$C$6</f>
        <v>3.4264622150267973E-2</v>
      </c>
      <c r="F533">
        <f>estuary_data!W527*weights!$C$4</f>
        <v>7.2202265075818881E-2</v>
      </c>
      <c r="G533">
        <f>estuary_data!T527*weights!$C$7</f>
        <v>3.2392310108560828E-2</v>
      </c>
      <c r="H533">
        <f>SUM(B533:G533)</f>
        <v>0.27305075026057363</v>
      </c>
      <c r="I533" t="str">
        <f>IF(H533&gt;$L$5/10*9,"1",IF(H533&gt;$L$5/10*8,"2",IF(H533&gt;$L$5/10*7,"3",IF(H533&gt;$L$5/10*6,"4",IF(H533&gt;$L$5/10*5,"5",IF(H533&gt;$L$5/10*4,"6",IF(H533&gt;$L$5/10*3,"7",IF(H533&gt;$L$5/10*2,"8",IF(H533&gt;$L$5/10,"9","10")))))))))</f>
        <v>6</v>
      </c>
    </row>
    <row r="534" spans="1:9" x14ac:dyDescent="0.55000000000000004">
      <c r="A534">
        <v>1087</v>
      </c>
      <c r="B534">
        <f>estuary_data!U528*weights!$C$2</f>
        <v>3.8201556621257515E-2</v>
      </c>
      <c r="C534">
        <f>estuary_data!R528*weights!$C$5</f>
        <v>6.4503007750439906E-2</v>
      </c>
      <c r="D534">
        <f>estuary_data!V528*weights!$C$3</f>
        <v>3.0564183234756417E-2</v>
      </c>
      <c r="E534">
        <f>estuary_data!S528*weights!$C$6</f>
        <v>3.4227370651090938E-2</v>
      </c>
      <c r="F534">
        <f>estuary_data!W528*weights!$C$4</f>
        <v>7.2565219159119371E-2</v>
      </c>
      <c r="G534">
        <f>estuary_data!T528*weights!$C$7</f>
        <v>3.23763010516969E-2</v>
      </c>
      <c r="H534">
        <f>SUM(B534:G534)</f>
        <v>0.27243763846836105</v>
      </c>
      <c r="I534" t="str">
        <f>IF(H534&gt;$L$5/10*9,"1",IF(H534&gt;$L$5/10*8,"2",IF(H534&gt;$L$5/10*7,"3",IF(H534&gt;$L$5/10*6,"4",IF(H534&gt;$L$5/10*5,"5",IF(H534&gt;$L$5/10*4,"6",IF(H534&gt;$L$5/10*3,"7",IF(H534&gt;$L$5/10*2,"8",IF(H534&gt;$L$5/10,"9","10")))))))))</f>
        <v>6</v>
      </c>
    </row>
    <row r="535" spans="1:9" x14ac:dyDescent="0.55000000000000004">
      <c r="A535">
        <v>1088</v>
      </c>
      <c r="B535">
        <f>estuary_data!U529*weights!$C$2</f>
        <v>4.0958944486258295E-2</v>
      </c>
      <c r="C535">
        <f>estuary_data!R529*weights!$C$5</f>
        <v>6.36611892715582E-2</v>
      </c>
      <c r="D535">
        <f>estuary_data!V529*weights!$C$3</f>
        <v>2.9762870947069552E-2</v>
      </c>
      <c r="E535">
        <f>estuary_data!S529*weights!$C$6</f>
        <v>3.5149737302168589E-2</v>
      </c>
      <c r="F535">
        <f>estuary_data!W529*weights!$C$4</f>
        <v>7.0480055093916055E-2</v>
      </c>
      <c r="G535">
        <f>estuary_data!T529*weights!$C$7</f>
        <v>3.4044519641468166E-2</v>
      </c>
      <c r="H535">
        <f>SUM(B535:G535)</f>
        <v>0.27405731674243883</v>
      </c>
      <c r="I535" t="str">
        <f>IF(H535&gt;$L$5/10*9,"1",IF(H535&gt;$L$5/10*8,"2",IF(H535&gt;$L$5/10*7,"3",IF(H535&gt;$L$5/10*6,"4",IF(H535&gt;$L$5/10*5,"5",IF(H535&gt;$L$5/10*4,"6",IF(H535&gt;$L$5/10*3,"7",IF(H535&gt;$L$5/10*2,"8",IF(H535&gt;$L$5/10,"9","10")))))))))</f>
        <v>6</v>
      </c>
    </row>
    <row r="536" spans="1:9" x14ac:dyDescent="0.55000000000000004">
      <c r="A536">
        <v>1089</v>
      </c>
      <c r="B536">
        <f>estuary_data!U530*weights!$C$2</f>
        <v>3.8394030552992432E-2</v>
      </c>
      <c r="C536">
        <f>estuary_data!R530*weights!$C$5</f>
        <v>6.3932770030036695E-2</v>
      </c>
      <c r="D536">
        <f>estuary_data!V530*weights!$C$3</f>
        <v>3.0093366552455397E-2</v>
      </c>
      <c r="E536">
        <f>estuary_data!S530*weights!$C$6</f>
        <v>3.2421588607254116E-2</v>
      </c>
      <c r="F536">
        <f>estuary_data!W530*weights!$C$4</f>
        <v>7.0855047492598411E-2</v>
      </c>
      <c r="G536">
        <f>estuary_data!T530*weights!$C$7</f>
        <v>2.9673680143770715E-2</v>
      </c>
      <c r="H536">
        <f>SUM(B536:G536)</f>
        <v>0.26537048337910774</v>
      </c>
      <c r="I536" t="str">
        <f>IF(H536&gt;$L$5/10*9,"1",IF(H536&gt;$L$5/10*8,"2",IF(H536&gt;$L$5/10*7,"3",IF(H536&gt;$L$5/10*6,"4",IF(H536&gt;$L$5/10*5,"5",IF(H536&gt;$L$5/10*4,"6",IF(H536&gt;$L$5/10*3,"7",IF(H536&gt;$L$5/10*2,"8",IF(H536&gt;$L$5/10,"9","10")))))))))</f>
        <v>7</v>
      </c>
    </row>
    <row r="537" spans="1:9" x14ac:dyDescent="0.55000000000000004">
      <c r="A537">
        <v>1090</v>
      </c>
      <c r="B537">
        <f>estuary_data!U531*weights!$C$2</f>
        <v>3.9249706984248296E-2</v>
      </c>
      <c r="C537">
        <f>estuary_data!R531*weights!$C$5</f>
        <v>6.5251651803975186E-2</v>
      </c>
      <c r="D537">
        <f>estuary_data!V531*weights!$C$3</f>
        <v>2.8251696212287378E-2</v>
      </c>
      <c r="E537">
        <f>estuary_data!S531*weights!$C$6</f>
        <v>3.1273809770201624E-2</v>
      </c>
      <c r="F537">
        <f>estuary_data!W531*weights!$C$4</f>
        <v>6.9786380132775827E-2</v>
      </c>
      <c r="G537">
        <f>estuary_data!T531*weights!$C$7</f>
        <v>2.6637525746683061E-2</v>
      </c>
      <c r="H537">
        <f>SUM(B537:G537)</f>
        <v>0.26045077065017136</v>
      </c>
      <c r="I537" t="str">
        <f>IF(H537&gt;$L$5/10*9,"1",IF(H537&gt;$L$5/10*8,"2",IF(H537&gt;$L$5/10*7,"3",IF(H537&gt;$L$5/10*6,"4",IF(H537&gt;$L$5/10*5,"5",IF(H537&gt;$L$5/10*4,"6",IF(H537&gt;$L$5/10*3,"7",IF(H537&gt;$L$5/10*2,"8",IF(H537&gt;$L$5/10,"9","10")))))))))</f>
        <v>7</v>
      </c>
    </row>
    <row r="538" spans="1:9" x14ac:dyDescent="0.55000000000000004">
      <c r="A538">
        <v>1091</v>
      </c>
      <c r="B538">
        <f>estuary_data!U532*weights!$C$2</f>
        <v>4.072443692286988E-2</v>
      </c>
      <c r="C538">
        <f>estuary_data!R532*weights!$C$5</f>
        <v>6.2358471746084901E-2</v>
      </c>
      <c r="D538">
        <f>estuary_data!V532*weights!$C$3</f>
        <v>2.9838258426615173E-2</v>
      </c>
      <c r="E538">
        <f>estuary_data!S532*weights!$C$6</f>
        <v>3.3530679027401131E-2</v>
      </c>
      <c r="F538">
        <f>estuary_data!W532*weights!$C$4</f>
        <v>7.1438624272983503E-2</v>
      </c>
      <c r="G538">
        <f>estuary_data!T532*weights!$C$7</f>
        <v>3.3238828886691718E-2</v>
      </c>
      <c r="H538">
        <f>SUM(B538:G538)</f>
        <v>0.27112929928264629</v>
      </c>
      <c r="I538" t="str">
        <f>IF(H538&gt;$L$5/10*9,"1",IF(H538&gt;$L$5/10*8,"2",IF(H538&gt;$L$5/10*7,"3",IF(H538&gt;$L$5/10*6,"4",IF(H538&gt;$L$5/10*5,"5",IF(H538&gt;$L$5/10*4,"6",IF(H538&gt;$L$5/10*3,"7",IF(H538&gt;$L$5/10*2,"8",IF(H538&gt;$L$5/10,"9","10")))))))))</f>
        <v>6</v>
      </c>
    </row>
    <row r="539" spans="1:9" x14ac:dyDescent="0.55000000000000004">
      <c r="A539">
        <v>1092</v>
      </c>
      <c r="B539">
        <f>estuary_data!U533*weights!$C$2</f>
        <v>3.9774090259163869E-2</v>
      </c>
      <c r="C539">
        <f>estuary_data!R533*weights!$C$5</f>
        <v>6.317747125706423E-2</v>
      </c>
      <c r="D539">
        <f>estuary_data!V533*weights!$C$3</f>
        <v>2.9898403351036353E-2</v>
      </c>
      <c r="E539">
        <f>estuary_data!S533*weights!$C$6</f>
        <v>3.2281640817423803E-2</v>
      </c>
      <c r="F539">
        <f>estuary_data!W533*weights!$C$4</f>
        <v>7.2120495701444381E-2</v>
      </c>
      <c r="G539">
        <f>estuary_data!T533*weights!$C$7</f>
        <v>3.0871681575521063E-2</v>
      </c>
      <c r="H539">
        <f>SUM(B539:G539)</f>
        <v>0.26812378296165368</v>
      </c>
      <c r="I539" t="str">
        <f>IF(H539&gt;$L$5/10*9,"1",IF(H539&gt;$L$5/10*8,"2",IF(H539&gt;$L$5/10*7,"3",IF(H539&gt;$L$5/10*6,"4",IF(H539&gt;$L$5/10*5,"5",IF(H539&gt;$L$5/10*4,"6",IF(H539&gt;$L$5/10*3,"7",IF(H539&gt;$L$5/10*2,"8",IF(H539&gt;$L$5/10,"9","10")))))))))</f>
        <v>6</v>
      </c>
    </row>
    <row r="540" spans="1:9" x14ac:dyDescent="0.55000000000000004">
      <c r="A540">
        <v>1093</v>
      </c>
      <c r="B540">
        <f>estuary_data!U534*weights!$C$2</f>
        <v>4.1368489982141404E-2</v>
      </c>
      <c r="C540">
        <f>estuary_data!R534*weights!$C$5</f>
        <v>6.0995884434119789E-2</v>
      </c>
      <c r="D540">
        <f>estuary_data!V534*weights!$C$3</f>
        <v>3.0850429317831232E-2</v>
      </c>
      <c r="E540">
        <f>estuary_data!S534*weights!$C$6</f>
        <v>3.4238643295618758E-2</v>
      </c>
      <c r="F540">
        <f>estuary_data!W534*weights!$C$4</f>
        <v>7.3023994995094765E-2</v>
      </c>
      <c r="G540">
        <f>estuary_data!T534*weights!$C$7</f>
        <v>3.5934590568101575E-2</v>
      </c>
      <c r="H540">
        <f>SUM(B540:G540)</f>
        <v>0.27641203259290753</v>
      </c>
      <c r="I540" t="str">
        <f>IF(H540&gt;$L$5/10*9,"1",IF(H540&gt;$L$5/10*8,"2",IF(H540&gt;$L$5/10*7,"3",IF(H540&gt;$L$5/10*6,"4",IF(H540&gt;$L$5/10*5,"5",IF(H540&gt;$L$5/10*4,"6",IF(H540&gt;$L$5/10*3,"7",IF(H540&gt;$L$5/10*2,"8",IF(H540&gt;$L$5/10,"9","10")))))))))</f>
        <v>6</v>
      </c>
    </row>
    <row r="541" spans="1:9" x14ac:dyDescent="0.55000000000000004">
      <c r="A541">
        <v>1094</v>
      </c>
      <c r="B541">
        <f>estuary_data!U535*weights!$C$2</f>
        <v>4.454620175321649E-2</v>
      </c>
      <c r="C541">
        <f>estuary_data!R535*weights!$C$5</f>
        <v>5.91070075067077E-2</v>
      </c>
      <c r="D541">
        <f>estuary_data!V535*weights!$C$3</f>
        <v>3.0254360507647883E-2</v>
      </c>
      <c r="E541">
        <f>estuary_data!S535*weights!$C$6</f>
        <v>3.5446359279485036E-2</v>
      </c>
      <c r="F541">
        <f>estuary_data!W535*weights!$C$4</f>
        <v>7.4420446585618152E-2</v>
      </c>
      <c r="G541">
        <f>estuary_data!T535*weights!$C$7</f>
        <v>3.9049802558370032E-2</v>
      </c>
      <c r="H541">
        <f>SUM(B541:G541)</f>
        <v>0.28282417819104527</v>
      </c>
      <c r="I541" t="str">
        <f>IF(H541&gt;$L$5/10*9,"1",IF(H541&gt;$L$5/10*8,"2",IF(H541&gt;$L$5/10*7,"3",IF(H541&gt;$L$5/10*6,"4",IF(H541&gt;$L$5/10*5,"5",IF(H541&gt;$L$5/10*4,"6",IF(H541&gt;$L$5/10*3,"7",IF(H541&gt;$L$5/10*2,"8",IF(H541&gt;$L$5/10,"9","10")))))))))</f>
        <v>6</v>
      </c>
    </row>
    <row r="542" spans="1:9" x14ac:dyDescent="0.55000000000000004">
      <c r="A542">
        <v>1095</v>
      </c>
      <c r="B542">
        <f>estuary_data!U536*weights!$C$2</f>
        <v>4.6059454807927121E-2</v>
      </c>
      <c r="C542">
        <f>estuary_data!R536*weights!$C$5</f>
        <v>5.5461806805416833E-2</v>
      </c>
      <c r="D542">
        <f>estuary_data!V536*weights!$C$3</f>
        <v>2.9764486769484982E-2</v>
      </c>
      <c r="E542">
        <f>estuary_data!S536*weights!$C$6</f>
        <v>3.7568007618144869E-2</v>
      </c>
      <c r="F542">
        <f>estuary_data!W536*weights!$C$4</f>
        <v>7.5998110621412041E-2</v>
      </c>
      <c r="G542">
        <f>estuary_data!T536*weights!$C$7</f>
        <v>4.6596811684972435E-2</v>
      </c>
      <c r="H542">
        <f>SUM(B542:G542)</f>
        <v>0.29144867830735827</v>
      </c>
      <c r="I542" t="str">
        <f>IF(H542&gt;$L$5/10*9,"1",IF(H542&gt;$L$5/10*8,"2",IF(H542&gt;$L$5/10*7,"3",IF(H542&gt;$L$5/10*6,"4",IF(H542&gt;$L$5/10*5,"5",IF(H542&gt;$L$5/10*4,"6",IF(H542&gt;$L$5/10*3,"7",IF(H542&gt;$L$5/10*2,"8",IF(H542&gt;$L$5/10,"9","10")))))))))</f>
        <v>6</v>
      </c>
    </row>
    <row r="543" spans="1:9" x14ac:dyDescent="0.55000000000000004">
      <c r="A543">
        <v>1096</v>
      </c>
      <c r="B543">
        <f>estuary_data!U537*weights!$C$2</f>
        <v>4.3172465650166345E-2</v>
      </c>
      <c r="C543">
        <f>estuary_data!R537*weights!$C$5</f>
        <v>5.7268151534073414E-2</v>
      </c>
      <c r="D543">
        <f>estuary_data!V537*weights!$C$3</f>
        <v>3.2003035138565325E-2</v>
      </c>
      <c r="E543">
        <f>estuary_data!S537*weights!$C$6</f>
        <v>3.5986423243672162E-2</v>
      </c>
      <c r="F543">
        <f>estuary_data!W537*weights!$C$4</f>
        <v>7.7399361170379752E-2</v>
      </c>
      <c r="G543">
        <f>estuary_data!T537*weights!$C$7</f>
        <v>4.2542569935722863E-2</v>
      </c>
      <c r="H543">
        <f>SUM(B543:G543)</f>
        <v>0.28837200667257984</v>
      </c>
      <c r="I543" t="str">
        <f>IF(H543&gt;$L$5/10*9,"1",IF(H543&gt;$L$5/10*8,"2",IF(H543&gt;$L$5/10*7,"3",IF(H543&gt;$L$5/10*6,"4",IF(H543&gt;$L$5/10*5,"5",IF(H543&gt;$L$5/10*4,"6",IF(H543&gt;$L$5/10*3,"7",IF(H543&gt;$L$5/10*2,"8",IF(H543&gt;$L$5/10,"9","10")))))))))</f>
        <v>6</v>
      </c>
    </row>
    <row r="544" spans="1:9" x14ac:dyDescent="0.55000000000000004">
      <c r="A544">
        <v>1097</v>
      </c>
      <c r="B544">
        <f>estuary_data!U538*weights!$C$2</f>
        <v>4.4145767479154822E-2</v>
      </c>
      <c r="C544">
        <f>estuary_data!R538*weights!$C$5</f>
        <v>5.8241956763815196E-2</v>
      </c>
      <c r="D544">
        <f>estuary_data!V538*weights!$C$3</f>
        <v>3.0361940979792324E-2</v>
      </c>
      <c r="E544">
        <f>estuary_data!S538*weights!$C$6</f>
        <v>3.536074538867013E-2</v>
      </c>
      <c r="F544">
        <f>estuary_data!W538*weights!$C$4</f>
        <v>7.34666057065817E-2</v>
      </c>
      <c r="G544">
        <f>estuary_data!T538*weights!$C$7</f>
        <v>4.0686746753807214E-2</v>
      </c>
      <c r="H544">
        <f>SUM(B544:G544)</f>
        <v>0.28226376307182138</v>
      </c>
      <c r="I544" t="str">
        <f>IF(H544&gt;$L$5/10*9,"1",IF(H544&gt;$L$5/10*8,"2",IF(H544&gt;$L$5/10*7,"3",IF(H544&gt;$L$5/10*6,"4",IF(H544&gt;$L$5/10*5,"5",IF(H544&gt;$L$5/10*4,"6",IF(H544&gt;$L$5/10*3,"7",IF(H544&gt;$L$5/10*2,"8",IF(H544&gt;$L$5/10,"9","10")))))))))</f>
        <v>6</v>
      </c>
    </row>
    <row r="545" spans="1:9" x14ac:dyDescent="0.55000000000000004">
      <c r="A545">
        <v>1098</v>
      </c>
      <c r="B545">
        <f>estuary_data!U539*weights!$C$2</f>
        <v>4.3241484058836453E-2</v>
      </c>
      <c r="C545">
        <f>estuary_data!R539*weights!$C$5</f>
        <v>6.1550026294734377E-2</v>
      </c>
      <c r="D545">
        <f>estuary_data!V539*weights!$C$3</f>
        <v>3.0144794618539514E-2</v>
      </c>
      <c r="E545">
        <f>estuary_data!S539*weights!$C$6</f>
        <v>3.1759575272463481E-2</v>
      </c>
      <c r="F545">
        <f>estuary_data!W539*weights!$C$4</f>
        <v>7.17220983741306E-2</v>
      </c>
      <c r="G545">
        <f>estuary_data!T539*weights!$C$7</f>
        <v>3.1743695096728926E-2</v>
      </c>
      <c r="H545">
        <f>SUM(B545:G545)</f>
        <v>0.27016167371543337</v>
      </c>
      <c r="I545" t="str">
        <f>IF(H545&gt;$L$5/10*9,"1",IF(H545&gt;$L$5/10*8,"2",IF(H545&gt;$L$5/10*7,"3",IF(H545&gt;$L$5/10*6,"4",IF(H545&gt;$L$5/10*5,"5",IF(H545&gt;$L$5/10*4,"6",IF(H545&gt;$L$5/10*3,"7",IF(H545&gt;$L$5/10*2,"8",IF(H545&gt;$L$5/10,"9","10")))))))))</f>
        <v>6</v>
      </c>
    </row>
    <row r="546" spans="1:9" x14ac:dyDescent="0.55000000000000004">
      <c r="A546">
        <v>1099</v>
      </c>
      <c r="B546">
        <f>estuary_data!U540*weights!$C$2</f>
        <v>4.2381588768784013E-2</v>
      </c>
      <c r="C546">
        <f>estuary_data!R540*weights!$C$5</f>
        <v>5.779973628697474E-2</v>
      </c>
      <c r="D546">
        <f>estuary_data!V540*weights!$C$3</f>
        <v>3.0565239524160136E-2</v>
      </c>
      <c r="E546">
        <f>estuary_data!S540*weights!$C$6</f>
        <v>3.5190394963228296E-2</v>
      </c>
      <c r="F546">
        <f>estuary_data!W540*weights!$C$4</f>
        <v>7.235450101258635E-2</v>
      </c>
      <c r="G546">
        <f>estuary_data!T540*weights!$C$7</f>
        <v>4.0975561451875177E-2</v>
      </c>
      <c r="H546">
        <f>SUM(B546:G546)</f>
        <v>0.27926702200760872</v>
      </c>
      <c r="I546" t="str">
        <f>IF(H546&gt;$L$5/10*9,"1",IF(H546&gt;$L$5/10*8,"2",IF(H546&gt;$L$5/10*7,"3",IF(H546&gt;$L$5/10*6,"4",IF(H546&gt;$L$5/10*5,"5",IF(H546&gt;$L$5/10*4,"6",IF(H546&gt;$L$5/10*3,"7",IF(H546&gt;$L$5/10*2,"8",IF(H546&gt;$L$5/10,"9","10")))))))))</f>
        <v>6</v>
      </c>
    </row>
    <row r="547" spans="1:9" x14ac:dyDescent="0.55000000000000004">
      <c r="A547">
        <v>1100</v>
      </c>
      <c r="B547">
        <f>estuary_data!U541*weights!$C$2</f>
        <v>4.4752334518169908E-2</v>
      </c>
      <c r="C547">
        <f>estuary_data!R541*weights!$C$5</f>
        <v>5.4521081593564558E-2</v>
      </c>
      <c r="D547">
        <f>estuary_data!V541*weights!$C$3</f>
        <v>2.9574583960766693E-2</v>
      </c>
      <c r="E547">
        <f>estuary_data!S541*weights!$C$6</f>
        <v>3.7769932768813068E-2</v>
      </c>
      <c r="F547">
        <f>estuary_data!W541*weights!$C$4</f>
        <v>7.3014576854675717E-2</v>
      </c>
      <c r="G547">
        <f>estuary_data!T541*weights!$C$7</f>
        <v>4.8795919555448632E-2</v>
      </c>
      <c r="H547">
        <f>SUM(B547:G547)</f>
        <v>0.28842842925143858</v>
      </c>
      <c r="I547" t="str">
        <f>IF(H547&gt;$L$5/10*9,"1",IF(H547&gt;$L$5/10*8,"2",IF(H547&gt;$L$5/10*7,"3",IF(H547&gt;$L$5/10*6,"4",IF(H547&gt;$L$5/10*5,"5",IF(H547&gt;$L$5/10*4,"6",IF(H547&gt;$L$5/10*3,"7",IF(H547&gt;$L$5/10*2,"8",IF(H547&gt;$L$5/10,"9","10")))))))))</f>
        <v>6</v>
      </c>
    </row>
    <row r="548" spans="1:9" x14ac:dyDescent="0.55000000000000004">
      <c r="A548">
        <v>1101</v>
      </c>
      <c r="B548">
        <f>estuary_data!U542*weights!$C$2</f>
        <v>4.4538406438938666E-2</v>
      </c>
      <c r="C548">
        <f>estuary_data!R542*weights!$C$5</f>
        <v>5.6774080422421616E-2</v>
      </c>
      <c r="D548">
        <f>estuary_data!V542*weights!$C$3</f>
        <v>3.0229178327308422E-2</v>
      </c>
      <c r="E548">
        <f>estuary_data!S542*weights!$C$6</f>
        <v>3.4491342264239271E-2</v>
      </c>
      <c r="F548">
        <f>estuary_data!W542*weights!$C$4</f>
        <v>7.3307530363347376E-2</v>
      </c>
      <c r="G548">
        <f>estuary_data!T542*weights!$C$7</f>
        <v>4.2768997337033363E-2</v>
      </c>
      <c r="H548">
        <f>SUM(B548:G548)</f>
        <v>0.28210953515328874</v>
      </c>
      <c r="I548" t="str">
        <f>IF(H548&gt;$L$5/10*9,"1",IF(H548&gt;$L$5/10*8,"2",IF(H548&gt;$L$5/10*7,"3",IF(H548&gt;$L$5/10*6,"4",IF(H548&gt;$L$5/10*5,"5",IF(H548&gt;$L$5/10*4,"6",IF(H548&gt;$L$5/10*3,"7",IF(H548&gt;$L$5/10*2,"8",IF(H548&gt;$L$5/10,"9","10")))))))))</f>
        <v>6</v>
      </c>
    </row>
    <row r="549" spans="1:9" x14ac:dyDescent="0.55000000000000004">
      <c r="A549">
        <v>1102</v>
      </c>
      <c r="B549">
        <f>estuary_data!U543*weights!$C$2</f>
        <v>3.9708963800814595E-2</v>
      </c>
      <c r="C549">
        <f>estuary_data!R543*weights!$C$5</f>
        <v>6.3869109495302431E-2</v>
      </c>
      <c r="D549">
        <f>estuary_data!V543*weights!$C$3</f>
        <v>3.02530141805578E-2</v>
      </c>
      <c r="E549">
        <f>estuary_data!S543*weights!$C$6</f>
        <v>3.0050346941480288E-2</v>
      </c>
      <c r="F549">
        <f>estuary_data!W543*weights!$C$4</f>
        <v>7.1259122089267338E-2</v>
      </c>
      <c r="G549">
        <f>estuary_data!T543*weights!$C$7</f>
        <v>2.7021801018394145E-2</v>
      </c>
      <c r="H549">
        <f>SUM(B549:G549)</f>
        <v>0.26216235752581657</v>
      </c>
      <c r="I549" t="str">
        <f>IF(H549&gt;$L$5/10*9,"1",IF(H549&gt;$L$5/10*8,"2",IF(H549&gt;$L$5/10*7,"3",IF(H549&gt;$L$5/10*6,"4",IF(H549&gt;$L$5/10*5,"5",IF(H549&gt;$L$5/10*4,"6",IF(H549&gt;$L$5/10*3,"7",IF(H549&gt;$L$5/10*2,"8",IF(H549&gt;$L$5/10,"9","10")))))))))</f>
        <v>7</v>
      </c>
    </row>
    <row r="550" spans="1:9" x14ac:dyDescent="0.55000000000000004">
      <c r="A550">
        <v>1103</v>
      </c>
      <c r="B550">
        <f>estuary_data!U544*weights!$C$2</f>
        <v>4.2370678279394405E-2</v>
      </c>
      <c r="C550">
        <f>estuary_data!R544*weights!$C$5</f>
        <v>6.3722636686199763E-2</v>
      </c>
      <c r="D550">
        <f>estuary_data!V544*weights!$C$3</f>
        <v>3.0549260769478944E-2</v>
      </c>
      <c r="E550">
        <f>estuary_data!S544*weights!$C$6</f>
        <v>2.7952939221950805E-2</v>
      </c>
      <c r="F550">
        <f>estuary_data!W544*weights!$C$4</f>
        <v>7.1304553362127002E-2</v>
      </c>
      <c r="G550">
        <f>estuary_data!T544*weights!$C$7</f>
        <v>2.4638669579180678E-2</v>
      </c>
      <c r="H550">
        <f>SUM(B550:G550)</f>
        <v>0.2605387378983316</v>
      </c>
      <c r="I550" t="str">
        <f>IF(H550&gt;$L$5/10*9,"1",IF(H550&gt;$L$5/10*8,"2",IF(H550&gt;$L$5/10*7,"3",IF(H550&gt;$L$5/10*6,"4",IF(H550&gt;$L$5/10*5,"5",IF(H550&gt;$L$5/10*4,"6",IF(H550&gt;$L$5/10*3,"7",IF(H550&gt;$L$5/10*2,"8",IF(H550&gt;$L$5/10,"9","10")))))))))</f>
        <v>7</v>
      </c>
    </row>
    <row r="551" spans="1:9" x14ac:dyDescent="0.55000000000000004">
      <c r="A551">
        <v>1104</v>
      </c>
      <c r="B551">
        <f>estuary_data!U545*weights!$C$2</f>
        <v>4.3625880279828402E-2</v>
      </c>
      <c r="C551">
        <f>estuary_data!R545*weights!$C$5</f>
        <v>6.3691048716303364E-2</v>
      </c>
      <c r="D551">
        <f>estuary_data!V545*weights!$C$3</f>
        <v>3.0151938930020331E-2</v>
      </c>
      <c r="E551">
        <f>estuary_data!S545*weights!$C$6</f>
        <v>2.2785484231278654E-2</v>
      </c>
      <c r="F551">
        <f>estuary_data!W545*weights!$C$4</f>
        <v>7.2520645178528576E-2</v>
      </c>
      <c r="G551">
        <f>estuary_data!T545*weights!$C$7</f>
        <v>1.5136847598130561E-2</v>
      </c>
      <c r="H551">
        <f>SUM(B551:G551)</f>
        <v>0.24791184493408988</v>
      </c>
      <c r="I551" t="str">
        <f>IF(H551&gt;$L$5/10*9,"1",IF(H551&gt;$L$5/10*8,"2",IF(H551&gt;$L$5/10*7,"3",IF(H551&gt;$L$5/10*6,"4",IF(H551&gt;$L$5/10*5,"5",IF(H551&gt;$L$5/10*4,"6",IF(H551&gt;$L$5/10*3,"7",IF(H551&gt;$L$5/10*2,"8",IF(H551&gt;$L$5/10,"9","10")))))))))</f>
        <v>7</v>
      </c>
    </row>
    <row r="552" spans="1:9" x14ac:dyDescent="0.55000000000000004">
      <c r="A552">
        <v>1105</v>
      </c>
      <c r="B552">
        <f>estuary_data!U546*weights!$C$2</f>
        <v>4.2957547475360743E-2</v>
      </c>
      <c r="C552">
        <f>estuary_data!R546*weights!$C$5</f>
        <v>6.6851093678027662E-2</v>
      </c>
      <c r="D552">
        <f>estuary_data!V546*weights!$C$3</f>
        <v>2.983518552228287E-2</v>
      </c>
      <c r="E552">
        <f>estuary_data!S546*weights!$C$6</f>
        <v>2.1178737331091678E-2</v>
      </c>
      <c r="F552">
        <f>estuary_data!W546*weights!$C$4</f>
        <v>7.1617431648967805E-2</v>
      </c>
      <c r="G552">
        <f>estuary_data!T546*weights!$C$7</f>
        <v>1.1158349240862371E-2</v>
      </c>
      <c r="H552">
        <f>SUM(B552:G552)</f>
        <v>0.24359834489659313</v>
      </c>
      <c r="I552" t="str">
        <f>IF(H552&gt;$L$5/10*9,"1",IF(H552&gt;$L$5/10*8,"2",IF(H552&gt;$L$5/10*7,"3",IF(H552&gt;$L$5/10*6,"4",IF(H552&gt;$L$5/10*5,"5",IF(H552&gt;$L$5/10*4,"6",IF(H552&gt;$L$5/10*3,"7",IF(H552&gt;$L$5/10*2,"8",IF(H552&gt;$L$5/10,"9","10")))))))))</f>
        <v>7</v>
      </c>
    </row>
    <row r="553" spans="1:9" x14ac:dyDescent="0.55000000000000004">
      <c r="A553">
        <v>1106</v>
      </c>
      <c r="B553">
        <f>estuary_data!U547*weights!$C$2</f>
        <v>4.2868915953693666E-2</v>
      </c>
      <c r="C553">
        <f>estuary_data!R547*weights!$C$5</f>
        <v>6.9482040130515912E-2</v>
      </c>
      <c r="D553">
        <f>estuary_data!V547*weights!$C$3</f>
        <v>2.9937096944703624E-2</v>
      </c>
      <c r="E553">
        <f>estuary_data!S547*weights!$C$6</f>
        <v>1.8120585193394736E-2</v>
      </c>
      <c r="F553">
        <f>estuary_data!W547*weights!$C$4</f>
        <v>7.0210382787118025E-2</v>
      </c>
      <c r="G553">
        <f>estuary_data!T547*weights!$C$7</f>
        <v>3.7664069915355649E-3</v>
      </c>
      <c r="H553">
        <f>SUM(B553:G553)</f>
        <v>0.23438542800096154</v>
      </c>
      <c r="I553" t="str">
        <f>IF(H553&gt;$L$5/10*9,"1",IF(H553&gt;$L$5/10*8,"2",IF(H553&gt;$L$5/10*7,"3",IF(H553&gt;$L$5/10*6,"4",IF(H553&gt;$L$5/10*5,"5",IF(H553&gt;$L$5/10*4,"6",IF(H553&gt;$L$5/10*3,"7",IF(H553&gt;$L$5/10*2,"8",IF(H553&gt;$L$5/10,"9","10")))))))))</f>
        <v>7</v>
      </c>
    </row>
    <row r="554" spans="1:9" x14ac:dyDescent="0.55000000000000004">
      <c r="A554">
        <v>1107</v>
      </c>
      <c r="B554">
        <f>estuary_data!U548*weights!$C$2</f>
        <v>3.9811501368086429E-2</v>
      </c>
      <c r="C554">
        <f>estuary_data!R548*weights!$C$5</f>
        <v>6.6945759127423177E-2</v>
      </c>
      <c r="D554">
        <f>estuary_data!V548*weights!$C$3</f>
        <v>2.7925696849784583E-2</v>
      </c>
      <c r="E554">
        <f>estuary_data!S548*weights!$C$6</f>
        <v>2.5227237905342554E-2</v>
      </c>
      <c r="F554">
        <f>estuary_data!W548*weights!$C$4</f>
        <v>6.747456459788613E-2</v>
      </c>
      <c r="G554">
        <f>estuary_data!T548*weights!$C$7</f>
        <v>1.62117341377843E-2</v>
      </c>
      <c r="H554">
        <f>SUM(B554:G554)</f>
        <v>0.24359649398630714</v>
      </c>
      <c r="I554" t="str">
        <f>IF(H554&gt;$L$5/10*9,"1",IF(H554&gt;$L$5/10*8,"2",IF(H554&gt;$L$5/10*7,"3",IF(H554&gt;$L$5/10*6,"4",IF(H554&gt;$L$5/10*5,"5",IF(H554&gt;$L$5/10*4,"6",IF(H554&gt;$L$5/10*3,"7",IF(H554&gt;$L$5/10*2,"8",IF(H554&gt;$L$5/10,"9","10")))))))))</f>
        <v>7</v>
      </c>
    </row>
    <row r="555" spans="1:9" x14ac:dyDescent="0.55000000000000004">
      <c r="A555">
        <v>1108</v>
      </c>
      <c r="B555">
        <f>estuary_data!U549*weights!$C$2</f>
        <v>3.7554619998962695E-2</v>
      </c>
      <c r="C555">
        <f>estuary_data!R549*weights!$C$5</f>
        <v>6.6922295020947972E-2</v>
      </c>
      <c r="D555">
        <f>estuary_data!V549*weights!$C$3</f>
        <v>2.7742441357290426E-2</v>
      </c>
      <c r="E555">
        <f>estuary_data!S549*weights!$C$6</f>
        <v>2.8295587691113684E-2</v>
      </c>
      <c r="F555">
        <f>estuary_data!W549*weights!$C$4</f>
        <v>6.6436970244301258E-2</v>
      </c>
      <c r="G555">
        <f>estuary_data!T549*weights!$C$7</f>
        <v>2.0578028035499043E-2</v>
      </c>
      <c r="H555">
        <f>SUM(B555:G555)</f>
        <v>0.24752994234811507</v>
      </c>
      <c r="I555" t="str">
        <f>IF(H555&gt;$L$5/10*9,"1",IF(H555&gt;$L$5/10*8,"2",IF(H555&gt;$L$5/10*7,"3",IF(H555&gt;$L$5/10*6,"4",IF(H555&gt;$L$5/10*5,"5",IF(H555&gt;$L$5/10*4,"6",IF(H555&gt;$L$5/10*3,"7",IF(H555&gt;$L$5/10*2,"8",IF(H555&gt;$L$5/10,"9","10")))))))))</f>
        <v>7</v>
      </c>
    </row>
    <row r="556" spans="1:9" x14ac:dyDescent="0.55000000000000004">
      <c r="A556">
        <v>1109</v>
      </c>
      <c r="B556">
        <f>estuary_data!U550*weights!$C$2</f>
        <v>3.6584044932560872E-2</v>
      </c>
      <c r="C556">
        <f>estuary_data!R550*weights!$C$5</f>
        <v>6.9852779296606604E-2</v>
      </c>
      <c r="D556">
        <f>estuary_data!V550*weights!$C$3</f>
        <v>2.9577008343803047E-2</v>
      </c>
      <c r="E556">
        <f>estuary_data!S550*weights!$C$6</f>
        <v>2.4366106017369622E-2</v>
      </c>
      <c r="F556">
        <f>estuary_data!W550*weights!$C$4</f>
        <v>7.1775864060267369E-2</v>
      </c>
      <c r="G556">
        <f>estuary_data!T550*weights!$C$7</f>
        <v>1.1607133388637322E-2</v>
      </c>
      <c r="H556">
        <f>SUM(B556:G556)</f>
        <v>0.24376293603924487</v>
      </c>
      <c r="I556" t="str">
        <f>IF(H556&gt;$L$5/10*9,"1",IF(H556&gt;$L$5/10*8,"2",IF(H556&gt;$L$5/10*7,"3",IF(H556&gt;$L$5/10*6,"4",IF(H556&gt;$L$5/10*5,"5",IF(H556&gt;$L$5/10*4,"6",IF(H556&gt;$L$5/10*3,"7",IF(H556&gt;$L$5/10*2,"8",IF(H556&gt;$L$5/10,"9","10")))))))))</f>
        <v>7</v>
      </c>
    </row>
    <row r="557" spans="1:9" x14ac:dyDescent="0.55000000000000004">
      <c r="A557">
        <v>1110</v>
      </c>
      <c r="B557">
        <f>estuary_data!U551*weights!$C$2</f>
        <v>3.7523972491335829E-2</v>
      </c>
      <c r="C557">
        <f>estuary_data!R551*weights!$C$5</f>
        <v>7.1454046054323872E-2</v>
      </c>
      <c r="D557">
        <f>estuary_data!V551*weights!$C$3</f>
        <v>2.9590482206859229E-2</v>
      </c>
      <c r="E557">
        <f>estuary_data!S551*weights!$C$6</f>
        <v>1.9998689868029693E-2</v>
      </c>
      <c r="F557">
        <f>estuary_data!W551*weights!$C$4</f>
        <v>7.0860372513365313E-2</v>
      </c>
      <c r="G557">
        <f>estuary_data!T551*weights!$C$7</f>
        <v>3.0783689841984503E-3</v>
      </c>
      <c r="H557">
        <f>SUM(B557:G557)</f>
        <v>0.23250593211811238</v>
      </c>
      <c r="I557" t="str">
        <f>IF(H557&gt;$L$5/10*9,"1",IF(H557&gt;$L$5/10*8,"2",IF(H557&gt;$L$5/10*7,"3",IF(H557&gt;$L$5/10*6,"4",IF(H557&gt;$L$5/10*5,"5",IF(H557&gt;$L$5/10*4,"6",IF(H557&gt;$L$5/10*3,"7",IF(H557&gt;$L$5/10*2,"8",IF(H557&gt;$L$5/10,"9","10")))))))))</f>
        <v>7</v>
      </c>
    </row>
    <row r="558" spans="1:9" x14ac:dyDescent="0.55000000000000004">
      <c r="A558">
        <v>1111</v>
      </c>
      <c r="B558">
        <f>estuary_data!U552*weights!$C$2</f>
        <v>3.6779940064417448E-2</v>
      </c>
      <c r="C558">
        <f>estuary_data!R552*weights!$C$5</f>
        <v>7.1121497895343694E-2</v>
      </c>
      <c r="D558">
        <f>estuary_data!V552*weights!$C$3</f>
        <v>2.9289924297360017E-2</v>
      </c>
      <c r="E558">
        <f>estuary_data!S552*weights!$C$6</f>
        <v>2.3614222258192145E-2</v>
      </c>
      <c r="F558">
        <f>estuary_data!W552*weights!$C$4</f>
        <v>7.0732802027473479E-2</v>
      </c>
      <c r="G558">
        <f>estuary_data!T552*weights!$C$7</f>
        <v>9.0417994362237651E-3</v>
      </c>
      <c r="H558">
        <f>SUM(B558:G558)</f>
        <v>0.24058018597901057</v>
      </c>
      <c r="I558" t="str">
        <f>IF(H558&gt;$L$5/10*9,"1",IF(H558&gt;$L$5/10*8,"2",IF(H558&gt;$L$5/10*7,"3",IF(H558&gt;$L$5/10*6,"4",IF(H558&gt;$L$5/10*5,"5",IF(H558&gt;$L$5/10*4,"6",IF(H558&gt;$L$5/10*3,"7",IF(H558&gt;$L$5/10*2,"8",IF(H558&gt;$L$5/10,"9","10")))))))))</f>
        <v>7</v>
      </c>
    </row>
    <row r="559" spans="1:9" x14ac:dyDescent="0.55000000000000004">
      <c r="A559">
        <v>1112</v>
      </c>
      <c r="B559">
        <f>estuary_data!U553*weights!$C$2</f>
        <v>3.7106290617796217E-2</v>
      </c>
      <c r="C559">
        <f>estuary_data!R553*weights!$C$5</f>
        <v>7.3182214495629352E-2</v>
      </c>
      <c r="D559">
        <f>estuary_data!V553*weights!$C$3</f>
        <v>2.967888176061638E-2</v>
      </c>
      <c r="E559">
        <f>estuary_data!S553*weights!$C$6</f>
        <v>1.9064220336584552E-2</v>
      </c>
      <c r="F559">
        <f>estuary_data!W553*weights!$C$4</f>
        <v>7.1946622041722544E-2</v>
      </c>
      <c r="G559">
        <f>estuary_data!T553*weights!$C$7</f>
        <v>0</v>
      </c>
      <c r="H559">
        <f>SUM(B559:G559)</f>
        <v>0.23097822925234907</v>
      </c>
      <c r="I559" t="str">
        <f>IF(H559&gt;$L$5/10*9,"1",IF(H559&gt;$L$5/10*8,"2",IF(H559&gt;$L$5/10*7,"3",IF(H559&gt;$L$5/10*6,"4",IF(H559&gt;$L$5/10*5,"5",IF(H559&gt;$L$5/10*4,"6",IF(H559&gt;$L$5/10*3,"7",IF(H559&gt;$L$5/10*2,"8",IF(H559&gt;$L$5/10,"9","10")))))))))</f>
        <v>7</v>
      </c>
    </row>
    <row r="560" spans="1:9" x14ac:dyDescent="0.55000000000000004">
      <c r="A560">
        <v>1113</v>
      </c>
      <c r="B560">
        <f>estuary_data!U554*weights!$C$2</f>
        <v>3.9173410961916275E-2</v>
      </c>
      <c r="C560">
        <f>estuary_data!R554*weights!$C$5</f>
        <v>7.3280318995470412E-2</v>
      </c>
      <c r="D560">
        <f>estuary_data!V554*weights!$C$3</f>
        <v>2.8204542368113133E-2</v>
      </c>
      <c r="E560">
        <f>estuary_data!S554*weights!$C$6</f>
        <v>1.9382415267894169E-2</v>
      </c>
      <c r="F560">
        <f>estuary_data!W554*weights!$C$4</f>
        <v>6.733960792269969E-2</v>
      </c>
      <c r="G560">
        <f>estuary_data!T554*weights!$C$7</f>
        <v>2.509073886558211E-4</v>
      </c>
      <c r="H560">
        <f>SUM(B560:G560)</f>
        <v>0.2276312029047495</v>
      </c>
      <c r="I560" t="str">
        <f>IF(H560&gt;$L$5/10*9,"1",IF(H560&gt;$L$5/10*8,"2",IF(H560&gt;$L$5/10*7,"3",IF(H560&gt;$L$5/10*6,"4",IF(H560&gt;$L$5/10*5,"5",IF(H560&gt;$L$5/10*4,"6",IF(H560&gt;$L$5/10*3,"7",IF(H560&gt;$L$5/10*2,"8",IF(H560&gt;$L$5/10,"9","10")))))))))</f>
        <v>7</v>
      </c>
    </row>
    <row r="561" spans="1:9" x14ac:dyDescent="0.55000000000000004">
      <c r="A561">
        <v>1114</v>
      </c>
      <c r="B561">
        <f>estuary_data!U555*weights!$C$2</f>
        <v>3.7009188632863059E-2</v>
      </c>
      <c r="C561">
        <f>estuary_data!R555*weights!$C$5</f>
        <v>7.1966381631241652E-2</v>
      </c>
      <c r="D561">
        <f>estuary_data!V555*weights!$C$3</f>
        <v>2.8731767870227107E-2</v>
      </c>
      <c r="E561">
        <f>estuary_data!S555*weights!$C$6</f>
        <v>2.2946734360039352E-2</v>
      </c>
      <c r="F561">
        <f>estuary_data!W555*weights!$C$4</f>
        <v>6.8887528045956076E-2</v>
      </c>
      <c r="G561">
        <f>estuary_data!T555*weights!$C$7</f>
        <v>7.1487486485472714E-3</v>
      </c>
      <c r="H561">
        <f>SUM(B561:G561)</f>
        <v>0.23669034918887452</v>
      </c>
      <c r="I561" t="str">
        <f>IF(H561&gt;$L$5/10*9,"1",IF(H561&gt;$L$5/10*8,"2",IF(H561&gt;$L$5/10*7,"3",IF(H561&gt;$L$5/10*6,"4",IF(H561&gt;$L$5/10*5,"5",IF(H561&gt;$L$5/10*4,"6",IF(H561&gt;$L$5/10*3,"7",IF(H561&gt;$L$5/10*2,"8",IF(H561&gt;$L$5/10,"9","10")))))))))</f>
        <v>7</v>
      </c>
    </row>
    <row r="562" spans="1:9" x14ac:dyDescent="0.55000000000000004">
      <c r="A562">
        <v>1115</v>
      </c>
      <c r="B562">
        <f>estuary_data!U556*weights!$C$2</f>
        <v>3.6755135042742158E-2</v>
      </c>
      <c r="C562">
        <f>estuary_data!R556*weights!$C$5</f>
        <v>7.3551951867306134E-2</v>
      </c>
      <c r="D562">
        <f>estuary_data!V556*weights!$C$3</f>
        <v>2.9218600379751616E-2</v>
      </c>
      <c r="E562">
        <f>estuary_data!S556*weights!$C$6</f>
        <v>2.0656511182341089E-2</v>
      </c>
      <c r="F562">
        <f>estuary_data!W556*weights!$C$4</f>
        <v>7.004724875902793E-2</v>
      </c>
      <c r="G562">
        <f>estuary_data!T556*weights!$C$7</f>
        <v>1.7072682845075907E-3</v>
      </c>
      <c r="H562">
        <f>SUM(B562:G562)</f>
        <v>0.23193671551567652</v>
      </c>
      <c r="I562" t="str">
        <f>IF(H562&gt;$L$5/10*9,"1",IF(H562&gt;$L$5/10*8,"2",IF(H562&gt;$L$5/10*7,"3",IF(H562&gt;$L$5/10*6,"4",IF(H562&gt;$L$5/10*5,"5",IF(H562&gt;$L$5/10*4,"6",IF(H562&gt;$L$5/10*3,"7",IF(H562&gt;$L$5/10*2,"8",IF(H562&gt;$L$5/10,"9","10")))))))))</f>
        <v>7</v>
      </c>
    </row>
    <row r="563" spans="1:9" x14ac:dyDescent="0.55000000000000004">
      <c r="A563">
        <v>1116</v>
      </c>
      <c r="B563">
        <f>estuary_data!U557*weights!$C$2</f>
        <v>3.6500366679873365E-2</v>
      </c>
      <c r="C563">
        <f>estuary_data!R557*weights!$C$5</f>
        <v>7.5169366544277513E-2</v>
      </c>
      <c r="D563">
        <f>estuary_data!V557*weights!$C$3</f>
        <v>2.9234158616923508E-2</v>
      </c>
      <c r="E563">
        <f>estuary_data!S557*weights!$C$6</f>
        <v>1.8014639954499225E-2</v>
      </c>
      <c r="F563">
        <f>estuary_data!W557*weights!$C$4</f>
        <v>6.9551524833715739E-2</v>
      </c>
      <c r="G563">
        <f>estuary_data!T557*weights!$C$7</f>
        <v>3.9454837337303478E-3</v>
      </c>
      <c r="H563">
        <f>SUM(B563:G563)</f>
        <v>0.2324155403630197</v>
      </c>
      <c r="I563" t="str">
        <f>IF(H563&gt;$L$5/10*9,"1",IF(H563&gt;$L$5/10*8,"2",IF(H563&gt;$L$5/10*7,"3",IF(H563&gt;$L$5/10*6,"4",IF(H563&gt;$L$5/10*5,"5",IF(H563&gt;$L$5/10*4,"6",IF(H563&gt;$L$5/10*3,"7",IF(H563&gt;$L$5/10*2,"8",IF(H563&gt;$L$5/10,"9","10")))))))))</f>
        <v>7</v>
      </c>
    </row>
    <row r="564" spans="1:9" x14ac:dyDescent="0.55000000000000004">
      <c r="A564">
        <v>1117</v>
      </c>
      <c r="B564">
        <f>estuary_data!U558*weights!$C$2</f>
        <v>3.6231829135354193E-2</v>
      </c>
      <c r="C564">
        <f>estuary_data!R558*weights!$C$5</f>
        <v>7.6697285233662482E-2</v>
      </c>
      <c r="D564">
        <f>estuary_data!V558*weights!$C$3</f>
        <v>2.9415229460662294E-2</v>
      </c>
      <c r="E564">
        <f>estuary_data!S558*weights!$C$6</f>
        <v>1.5107956625200168E-2</v>
      </c>
      <c r="F564">
        <f>estuary_data!W558*weights!$C$4</f>
        <v>6.9704045491094144E-2</v>
      </c>
      <c r="G564">
        <f>estuary_data!T558*weights!$C$7</f>
        <v>1.0536613044130561E-2</v>
      </c>
      <c r="H564">
        <f>SUM(B564:G564)</f>
        <v>0.23769295899010384</v>
      </c>
      <c r="I564" t="str">
        <f>IF(H564&gt;$L$5/10*9,"1",IF(H564&gt;$L$5/10*8,"2",IF(H564&gt;$L$5/10*7,"3",IF(H564&gt;$L$5/10*6,"4",IF(H564&gt;$L$5/10*5,"5",IF(H564&gt;$L$5/10*4,"6",IF(H564&gt;$L$5/10*3,"7",IF(H564&gt;$L$5/10*2,"8",IF(H564&gt;$L$5/10,"9","10")))))))))</f>
        <v>7</v>
      </c>
    </row>
    <row r="565" spans="1:9" x14ac:dyDescent="0.55000000000000004">
      <c r="A565">
        <v>1118</v>
      </c>
      <c r="B565">
        <f>estuary_data!U559*weights!$C$2</f>
        <v>4.1142391278287477E-2</v>
      </c>
      <c r="C565">
        <f>estuary_data!R559*weights!$C$5</f>
        <v>7.7875924035092983E-2</v>
      </c>
      <c r="D565">
        <f>estuary_data!V559*weights!$C$3</f>
        <v>2.9791303635083793E-2</v>
      </c>
      <c r="E565">
        <f>estuary_data!S559*weights!$C$6</f>
        <v>5.0343730880627931E-3</v>
      </c>
      <c r="F565">
        <f>estuary_data!W559*weights!$C$4</f>
        <v>6.976588501897478E-2</v>
      </c>
      <c r="G565">
        <f>estuary_data!T559*weights!$C$7</f>
        <v>2.8107248444633078E-2</v>
      </c>
      <c r="H565">
        <f>SUM(B565:G565)</f>
        <v>0.25171712550013492</v>
      </c>
      <c r="I565" t="str">
        <f>IF(H565&gt;$L$5/10*9,"1",IF(H565&gt;$L$5/10*8,"2",IF(H565&gt;$L$5/10*7,"3",IF(H565&gt;$L$5/10*6,"4",IF(H565&gt;$L$5/10*5,"5",IF(H565&gt;$L$5/10*4,"6",IF(H565&gt;$L$5/10*3,"7",IF(H565&gt;$L$5/10*2,"8",IF(H565&gt;$L$5/10,"9","10")))))))))</f>
        <v>7</v>
      </c>
    </row>
    <row r="566" spans="1:9" x14ac:dyDescent="0.55000000000000004">
      <c r="A566">
        <v>1119</v>
      </c>
      <c r="B566">
        <f>estuary_data!U560*weights!$C$2</f>
        <v>4.3519736152986432E-2</v>
      </c>
      <c r="C566">
        <f>estuary_data!R560*weights!$C$5</f>
        <v>7.6379369826366908E-2</v>
      </c>
      <c r="D566">
        <f>estuary_data!V560*weights!$C$3</f>
        <v>2.9159328083933109E-2</v>
      </c>
      <c r="E566">
        <f>estuary_data!S560*weights!$C$6</f>
        <v>3.9464788231622326E-3</v>
      </c>
      <c r="F566">
        <f>estuary_data!W560*weights!$C$4</f>
        <v>6.9014560991259868E-2</v>
      </c>
      <c r="G566">
        <f>estuary_data!T560*weights!$C$7</f>
        <v>2.9700306995205098E-2</v>
      </c>
      <c r="H566">
        <f>SUM(B566:G566)</f>
        <v>0.25171978087291363</v>
      </c>
      <c r="I566" t="str">
        <f>IF(H566&gt;$L$5/10*9,"1",IF(H566&gt;$L$5/10*8,"2",IF(H566&gt;$L$5/10*7,"3",IF(H566&gt;$L$5/10*6,"4",IF(H566&gt;$L$5/10*5,"5",IF(H566&gt;$L$5/10*4,"6",IF(H566&gt;$L$5/10*3,"7",IF(H566&gt;$L$5/10*2,"8",IF(H566&gt;$L$5/10,"9","10")))))))))</f>
        <v>7</v>
      </c>
    </row>
    <row r="567" spans="1:9" x14ac:dyDescent="0.55000000000000004">
      <c r="A567">
        <v>1120</v>
      </c>
      <c r="B567">
        <f>estuary_data!U561*weights!$C$2</f>
        <v>3.8696354953235521E-2</v>
      </c>
      <c r="C567">
        <f>estuary_data!R561*weights!$C$5</f>
        <v>7.599962307934488E-2</v>
      </c>
      <c r="D567">
        <f>estuary_data!V561*weights!$C$3</f>
        <v>2.9184698668776616E-2</v>
      </c>
      <c r="E567">
        <f>estuary_data!S561*weights!$C$6</f>
        <v>5.3790235728280039E-3</v>
      </c>
      <c r="F567">
        <f>estuary_data!W561*weights!$C$4</f>
        <v>6.1701253017814893E-2</v>
      </c>
      <c r="G567">
        <f>estuary_data!T561*weights!$C$7</f>
        <v>2.778696690311095E-2</v>
      </c>
      <c r="H567">
        <f>SUM(B567:G567)</f>
        <v>0.23874792019511085</v>
      </c>
      <c r="I567" t="str">
        <f>IF(H567&gt;$L$5/10*9,"1",IF(H567&gt;$L$5/10*8,"2",IF(H567&gt;$L$5/10*7,"3",IF(H567&gt;$L$5/10*6,"4",IF(H567&gt;$L$5/10*5,"5",IF(H567&gt;$L$5/10*4,"6",IF(H567&gt;$L$5/10*3,"7",IF(H567&gt;$L$5/10*2,"8",IF(H567&gt;$L$5/10,"9","10")))))))))</f>
        <v>7</v>
      </c>
    </row>
    <row r="568" spans="1:9" x14ac:dyDescent="0.55000000000000004">
      <c r="A568">
        <v>1121</v>
      </c>
      <c r="B568">
        <f>estuary_data!U562*weights!$C$2</f>
        <v>3.9148239956258768E-2</v>
      </c>
      <c r="C568">
        <f>estuary_data!R562*weights!$C$5</f>
        <v>7.7257603254652529E-2</v>
      </c>
      <c r="D568">
        <f>estuary_data!V562*weights!$C$3</f>
        <v>2.8076624476986629E-2</v>
      </c>
      <c r="E568">
        <f>estuary_data!S562*weights!$C$6</f>
        <v>3.6437806265831774E-3</v>
      </c>
      <c r="F568">
        <f>estuary_data!W562*weights!$C$4</f>
        <v>5.7456497727155505E-2</v>
      </c>
      <c r="G568">
        <f>estuary_data!T562*weights!$C$7</f>
        <v>3.1314586816061141E-2</v>
      </c>
      <c r="H568">
        <f>SUM(B568:G568)</f>
        <v>0.23689733285769776</v>
      </c>
      <c r="I568" t="str">
        <f>IF(H568&gt;$L$5/10*9,"1",IF(H568&gt;$L$5/10*8,"2",IF(H568&gt;$L$5/10*7,"3",IF(H568&gt;$L$5/10*6,"4",IF(H568&gt;$L$5/10*5,"5",IF(H568&gt;$L$5/10*4,"6",IF(H568&gt;$L$5/10*3,"7",IF(H568&gt;$L$5/10*2,"8",IF(H568&gt;$L$5/10,"9","10")))))))))</f>
        <v>7</v>
      </c>
    </row>
    <row r="569" spans="1:9" x14ac:dyDescent="0.55000000000000004">
      <c r="A569">
        <v>1122</v>
      </c>
      <c r="B569">
        <f>estuary_data!U563*weights!$C$2</f>
        <v>3.9434912423261942E-2</v>
      </c>
      <c r="C569">
        <f>estuary_data!R563*weights!$C$5</f>
        <v>6.8730726816809293E-2</v>
      </c>
      <c r="D569">
        <f>estuary_data!V563*weights!$C$3</f>
        <v>2.8110380876136057E-2</v>
      </c>
      <c r="E569">
        <f>estuary_data!S563*weights!$C$6</f>
        <v>1.5729072746571562E-2</v>
      </c>
      <c r="F569">
        <f>estuary_data!W563*weights!$C$4</f>
        <v>6.2359417206964252E-2</v>
      </c>
      <c r="G569">
        <f>estuary_data!T563*weights!$C$7</f>
        <v>4.70880418525559E-3</v>
      </c>
      <c r="H569">
        <f>SUM(B569:G569)</f>
        <v>0.21907331425499871</v>
      </c>
      <c r="I569" t="str">
        <f>IF(H569&gt;$L$5/10*9,"1",IF(H569&gt;$L$5/10*8,"2",IF(H569&gt;$L$5/10*7,"3",IF(H569&gt;$L$5/10*6,"4",IF(H569&gt;$L$5/10*5,"5",IF(H569&gt;$L$5/10*4,"6",IF(H569&gt;$L$5/10*3,"7",IF(H569&gt;$L$5/10*2,"8",IF(H569&gt;$L$5/10,"9","10")))))))))</f>
        <v>7</v>
      </c>
    </row>
    <row r="570" spans="1:9" x14ac:dyDescent="0.55000000000000004">
      <c r="A570">
        <v>1123</v>
      </c>
      <c r="B570">
        <f>estuary_data!U564*weights!$C$2</f>
        <v>3.5209727033102933E-2</v>
      </c>
      <c r="C570">
        <f>estuary_data!R564*weights!$C$5</f>
        <v>6.8179776319990795E-2</v>
      </c>
      <c r="D570">
        <f>estuary_data!V564*weights!$C$3</f>
        <v>2.8463411981664532E-2</v>
      </c>
      <c r="E570">
        <f>estuary_data!S564*weights!$C$6</f>
        <v>1.9792952580483043E-2</v>
      </c>
      <c r="F570">
        <f>estuary_data!W564*weights!$C$4</f>
        <v>6.0980131138846295E-2</v>
      </c>
      <c r="G570">
        <f>estuary_data!T564*weights!$C$7</f>
        <v>2.4575609985077245E-3</v>
      </c>
      <c r="H570">
        <f>SUM(B570:G570)</f>
        <v>0.21508356005259532</v>
      </c>
      <c r="I570" t="str">
        <f>IF(H570&gt;$L$5/10*9,"1",IF(H570&gt;$L$5/10*8,"2",IF(H570&gt;$L$5/10*7,"3",IF(H570&gt;$L$5/10*6,"4",IF(H570&gt;$L$5/10*5,"5",IF(H570&gt;$L$5/10*4,"6",IF(H570&gt;$L$5/10*3,"7",IF(H570&gt;$L$5/10*2,"8",IF(H570&gt;$L$5/10,"9","10")))))))))</f>
        <v>7</v>
      </c>
    </row>
    <row r="571" spans="1:9" x14ac:dyDescent="0.55000000000000004">
      <c r="A571">
        <v>1124</v>
      </c>
      <c r="B571">
        <f>estuary_data!U565*weights!$C$2</f>
        <v>3.8492564675163703E-2</v>
      </c>
      <c r="C571">
        <f>estuary_data!R565*weights!$C$5</f>
        <v>5.980514460933728E-2</v>
      </c>
      <c r="D571">
        <f>estuary_data!V565*weights!$C$3</f>
        <v>2.8315108036470884E-2</v>
      </c>
      <c r="E571">
        <f>estuary_data!S565*weights!$C$6</f>
        <v>2.9509499214756992E-2</v>
      </c>
      <c r="F571">
        <f>estuary_data!W565*weights!$C$4</f>
        <v>6.3351153206772898E-2</v>
      </c>
      <c r="G571">
        <f>estuary_data!T565*weights!$C$7</f>
        <v>2.4269321067687557E-2</v>
      </c>
      <c r="H571">
        <f>SUM(B571:G571)</f>
        <v>0.24374279081018932</v>
      </c>
      <c r="I571" t="str">
        <f>IF(H571&gt;$L$5/10*9,"1",IF(H571&gt;$L$5/10*8,"2",IF(H571&gt;$L$5/10*7,"3",IF(H571&gt;$L$5/10*6,"4",IF(H571&gt;$L$5/10*5,"5",IF(H571&gt;$L$5/10*4,"6",IF(H571&gt;$L$5/10*3,"7",IF(H571&gt;$L$5/10*2,"8",IF(H571&gt;$L$5/10,"9","10")))))))))</f>
        <v>7</v>
      </c>
    </row>
    <row r="572" spans="1:9" x14ac:dyDescent="0.55000000000000004">
      <c r="A572">
        <v>1125</v>
      </c>
      <c r="B572">
        <f>estuary_data!U566*weights!$C$2</f>
        <v>3.5741803547504773E-2</v>
      </c>
      <c r="C572">
        <f>estuary_data!R566*weights!$C$5</f>
        <v>6.6512821456866475E-2</v>
      </c>
      <c r="D572">
        <f>estuary_data!V566*weights!$C$3</f>
        <v>2.9904948310019504E-2</v>
      </c>
      <c r="E572">
        <f>estuary_data!S566*weights!$C$6</f>
        <v>2.7543866499643913E-2</v>
      </c>
      <c r="F572">
        <f>estuary_data!W566*weights!$C$4</f>
        <v>6.5066036626734422E-2</v>
      </c>
      <c r="G572">
        <f>estuary_data!T566*weights!$C$7</f>
        <v>1.6928439738045753E-2</v>
      </c>
      <c r="H572">
        <f>SUM(B572:G572)</f>
        <v>0.24169791617881481</v>
      </c>
      <c r="I572" t="str">
        <f>IF(H572&gt;$L$5/10*9,"1",IF(H572&gt;$L$5/10*8,"2",IF(H572&gt;$L$5/10*7,"3",IF(H572&gt;$L$5/10*6,"4",IF(H572&gt;$L$5/10*5,"5",IF(H572&gt;$L$5/10*4,"6",IF(H572&gt;$L$5/10*3,"7",IF(H572&gt;$L$5/10*2,"8",IF(H572&gt;$L$5/10,"9","10")))))))))</f>
        <v>7</v>
      </c>
    </row>
    <row r="573" spans="1:9" x14ac:dyDescent="0.55000000000000004">
      <c r="A573">
        <v>1126</v>
      </c>
      <c r="B573">
        <f>estuary_data!U567*weights!$C$2</f>
        <v>3.5995586499872431E-2</v>
      </c>
      <c r="C573">
        <f>estuary_data!R567*weights!$C$5</f>
        <v>6.7670345941484328E-2</v>
      </c>
      <c r="D573">
        <f>estuary_data!V567*weights!$C$3</f>
        <v>2.9788396103476677E-2</v>
      </c>
      <c r="E573">
        <f>estuary_data!S567*weights!$C$6</f>
        <v>2.8097517149886161E-2</v>
      </c>
      <c r="F573">
        <f>estuary_data!W567*weights!$C$4</f>
        <v>6.631695752541264E-2</v>
      </c>
      <c r="G573">
        <f>estuary_data!T567*weights!$C$7</f>
        <v>1.7267320935830291E-2</v>
      </c>
      <c r="H573">
        <f>SUM(B573:G573)</f>
        <v>0.24513612415596253</v>
      </c>
      <c r="I573" t="str">
        <f>IF(H573&gt;$L$5/10*9,"1",IF(H573&gt;$L$5/10*8,"2",IF(H573&gt;$L$5/10*7,"3",IF(H573&gt;$L$5/10*6,"4",IF(H573&gt;$L$5/10*5,"5",IF(H573&gt;$L$5/10*4,"6",IF(H573&gt;$L$5/10*3,"7",IF(H573&gt;$L$5/10*2,"8",IF(H573&gt;$L$5/10,"9","10")))))))))</f>
        <v>7</v>
      </c>
    </row>
    <row r="574" spans="1:9" x14ac:dyDescent="0.55000000000000004">
      <c r="A574">
        <v>1127</v>
      </c>
      <c r="B574">
        <f>estuary_data!U568*weights!$C$2</f>
        <v>3.7079334399791268E-2</v>
      </c>
      <c r="C574">
        <f>estuary_data!R568*weights!$C$5</f>
        <v>6.9044545693867546E-2</v>
      </c>
      <c r="D574">
        <f>estuary_data!V568*weights!$C$3</f>
        <v>3.1196108639256606E-2</v>
      </c>
      <c r="E574">
        <f>estuary_data!S568*weights!$C$6</f>
        <v>3.034075443245669E-2</v>
      </c>
      <c r="F574">
        <f>estuary_data!W568*weights!$C$4</f>
        <v>7.3982158111887616E-2</v>
      </c>
      <c r="G574">
        <f>estuary_data!T568*weights!$C$7</f>
        <v>2.094980289864553E-2</v>
      </c>
      <c r="H574">
        <f>SUM(B574:G574)</f>
        <v>0.26259270417590519</v>
      </c>
      <c r="I574" t="str">
        <f>IF(H574&gt;$L$5/10*9,"1",IF(H574&gt;$L$5/10*8,"2",IF(H574&gt;$L$5/10*7,"3",IF(H574&gt;$L$5/10*6,"4",IF(H574&gt;$L$5/10*5,"5",IF(H574&gt;$L$5/10*4,"6",IF(H574&gt;$L$5/10*3,"7",IF(H574&gt;$L$5/10*2,"8",IF(H574&gt;$L$5/10,"9","10")))))))))</f>
        <v>7</v>
      </c>
    </row>
    <row r="575" spans="1:9" x14ac:dyDescent="0.55000000000000004">
      <c r="A575">
        <v>1128</v>
      </c>
      <c r="B575">
        <f>estuary_data!U569*weights!$C$2</f>
        <v>3.7364588635252952E-2</v>
      </c>
      <c r="C575">
        <f>estuary_data!R569*weights!$C$5</f>
        <v>6.0488324046703165E-2</v>
      </c>
      <c r="D575">
        <f>estuary_data!V569*weights!$C$3</f>
        <v>2.9033519879112304E-2</v>
      </c>
      <c r="E575">
        <f>estuary_data!S569*weights!$C$6</f>
        <v>3.1105915444499817E-2</v>
      </c>
      <c r="F575">
        <f>estuary_data!W569*weights!$C$4</f>
        <v>6.5108285736828531E-2</v>
      </c>
      <c r="G575">
        <f>estuary_data!T569*weights!$C$7</f>
        <v>2.6297526839777336E-2</v>
      </c>
      <c r="H575">
        <f>SUM(B575:G575)</f>
        <v>0.24939816058217409</v>
      </c>
      <c r="I575" t="str">
        <f>IF(H575&gt;$L$5/10*9,"1",IF(H575&gt;$L$5/10*8,"2",IF(H575&gt;$L$5/10*7,"3",IF(H575&gt;$L$5/10*6,"4",IF(H575&gt;$L$5/10*5,"5",IF(H575&gt;$L$5/10*4,"6",IF(H575&gt;$L$5/10*3,"7",IF(H575&gt;$L$5/10*2,"8",IF(H575&gt;$L$5/10,"9","10")))))))))</f>
        <v>7</v>
      </c>
    </row>
    <row r="576" spans="1:9" x14ac:dyDescent="0.55000000000000004">
      <c r="A576">
        <v>1129</v>
      </c>
      <c r="B576">
        <f>estuary_data!U570*weights!$C$2</f>
        <v>3.6430631155919019E-2</v>
      </c>
      <c r="C576">
        <f>estuary_data!R570*weights!$C$5</f>
        <v>6.9441019804629259E-2</v>
      </c>
      <c r="D576">
        <f>estuary_data!V570*weights!$C$3</f>
        <v>3.0407525229328242E-2</v>
      </c>
      <c r="E576">
        <f>estuary_data!S570*weights!$C$6</f>
        <v>3.1733625753546039E-2</v>
      </c>
      <c r="F576">
        <f>estuary_data!W570*weights!$C$4</f>
        <v>7.5154467500810535E-2</v>
      </c>
      <c r="G576">
        <f>estuary_data!T570*weights!$C$7</f>
        <v>2.3536434676132843E-2</v>
      </c>
      <c r="H576">
        <f>SUM(B576:G576)</f>
        <v>0.26670370412036593</v>
      </c>
      <c r="I576" t="str">
        <f>IF(H576&gt;$L$5/10*9,"1",IF(H576&gt;$L$5/10*8,"2",IF(H576&gt;$L$5/10*7,"3",IF(H576&gt;$L$5/10*6,"4",IF(H576&gt;$L$5/10*5,"5",IF(H576&gt;$L$5/10*4,"6",IF(H576&gt;$L$5/10*3,"7",IF(H576&gt;$L$5/10*2,"8",IF(H576&gt;$L$5/10,"9","10")))))))))</f>
        <v>6</v>
      </c>
    </row>
    <row r="577" spans="1:9" x14ac:dyDescent="0.55000000000000004">
      <c r="A577">
        <v>1130</v>
      </c>
      <c r="B577">
        <f>estuary_data!U571*weights!$C$2</f>
        <v>3.7730099375026818E-2</v>
      </c>
      <c r="C577">
        <f>estuary_data!R571*weights!$C$5</f>
        <v>6.5219453024573937E-2</v>
      </c>
      <c r="D577">
        <f>estuary_data!V571*weights!$C$3</f>
        <v>3.1453585791247331E-2</v>
      </c>
      <c r="E577">
        <f>estuary_data!S571*weights!$C$6</f>
        <v>3.2381597297453678E-2</v>
      </c>
      <c r="F577">
        <f>estuary_data!W571*weights!$C$4</f>
        <v>7.794917798692895E-2</v>
      </c>
      <c r="G577">
        <f>estuary_data!T571*weights!$C$7</f>
        <v>2.6720045632728118E-2</v>
      </c>
      <c r="H577">
        <f>SUM(B577:G577)</f>
        <v>0.27145395910795883</v>
      </c>
      <c r="I577" t="str">
        <f>IF(H577&gt;$L$5/10*9,"1",IF(H577&gt;$L$5/10*8,"2",IF(H577&gt;$L$5/10*7,"3",IF(H577&gt;$L$5/10*6,"4",IF(H577&gt;$L$5/10*5,"5",IF(H577&gt;$L$5/10*4,"6",IF(H577&gt;$L$5/10*3,"7",IF(H577&gt;$L$5/10*2,"8",IF(H577&gt;$L$5/10,"9","10")))))))))</f>
        <v>6</v>
      </c>
    </row>
    <row r="578" spans="1:9" x14ac:dyDescent="0.55000000000000004">
      <c r="A578">
        <v>1131</v>
      </c>
      <c r="B578">
        <f>estuary_data!U572*weights!$C$2</f>
        <v>3.6333781168127716E-2</v>
      </c>
      <c r="C578">
        <f>estuary_data!R572*weights!$C$5</f>
        <v>5.8251773368241201E-2</v>
      </c>
      <c r="D578">
        <f>estuary_data!V572*weights!$C$3</f>
        <v>2.9493750001113022E-2</v>
      </c>
      <c r="E578">
        <f>estuary_data!S572*weights!$C$6</f>
        <v>3.5343496484175799E-2</v>
      </c>
      <c r="F578">
        <f>estuary_data!W572*weights!$C$4</f>
        <v>6.8908382712696378E-2</v>
      </c>
      <c r="G578">
        <f>estuary_data!T572*weights!$C$7</f>
        <v>3.541478987038698E-2</v>
      </c>
      <c r="H578">
        <f>SUM(B578:G578)</f>
        <v>0.26374597360474111</v>
      </c>
      <c r="I578" t="str">
        <f>IF(H578&gt;$L$5/10*9,"1",IF(H578&gt;$L$5/10*8,"2",IF(H578&gt;$L$5/10*7,"3",IF(H578&gt;$L$5/10*6,"4",IF(H578&gt;$L$5/10*5,"5",IF(H578&gt;$L$5/10*4,"6",IF(H578&gt;$L$5/10*3,"7",IF(H578&gt;$L$5/10*2,"8",IF(H578&gt;$L$5/10,"9","10")))))))))</f>
        <v>7</v>
      </c>
    </row>
    <row r="579" spans="1:9" x14ac:dyDescent="0.55000000000000004">
      <c r="A579">
        <v>1132</v>
      </c>
      <c r="B579">
        <f>estuary_data!U573*weights!$C$2</f>
        <v>3.6961385432943701E-2</v>
      </c>
      <c r="C579">
        <f>estuary_data!R573*weights!$C$5</f>
        <v>6.1777771204847128E-2</v>
      </c>
      <c r="D579">
        <f>estuary_data!V573*weights!$C$3</f>
        <v>3.0570435759942026E-2</v>
      </c>
      <c r="E579">
        <f>estuary_data!S573*weights!$C$6</f>
        <v>3.4780551865831608E-2</v>
      </c>
      <c r="F579">
        <f>estuary_data!W573*weights!$C$4</f>
        <v>7.719286866529125E-2</v>
      </c>
      <c r="G579">
        <f>estuary_data!T573*weights!$C$7</f>
        <v>3.2935141098285395E-2</v>
      </c>
      <c r="H579">
        <f>SUM(B579:G579)</f>
        <v>0.27421815402714106</v>
      </c>
      <c r="I579" t="str">
        <f>IF(H579&gt;$L$5/10*9,"1",IF(H579&gt;$L$5/10*8,"2",IF(H579&gt;$L$5/10*7,"3",IF(H579&gt;$L$5/10*6,"4",IF(H579&gt;$L$5/10*5,"5",IF(H579&gt;$L$5/10*4,"6",IF(H579&gt;$L$5/10*3,"7",IF(H579&gt;$L$5/10*2,"8",IF(H579&gt;$L$5/10,"9","10")))))))))</f>
        <v>6</v>
      </c>
    </row>
    <row r="580" spans="1:9" x14ac:dyDescent="0.55000000000000004">
      <c r="A580">
        <v>1133</v>
      </c>
      <c r="B580">
        <f>estuary_data!U574*weights!$C$2</f>
        <v>3.7022174609788967E-2</v>
      </c>
      <c r="C580">
        <f>estuary_data!R574*weights!$C$5</f>
        <v>5.5116937367354422E-2</v>
      </c>
      <c r="D580">
        <f>estuary_data!V574*weights!$C$3</f>
        <v>2.9619750271785275E-2</v>
      </c>
      <c r="E580">
        <f>estuary_data!S574*weights!$C$6</f>
        <v>4.0030762349802004E-2</v>
      </c>
      <c r="F580">
        <f>estuary_data!W574*weights!$C$4</f>
        <v>7.2760637224988406E-2</v>
      </c>
      <c r="G580">
        <f>estuary_data!T574*weights!$C$7</f>
        <v>4.6695608230908597E-2</v>
      </c>
      <c r="H580">
        <f>SUM(B580:G580)</f>
        <v>0.28124587005462764</v>
      </c>
      <c r="I580" t="str">
        <f>IF(H580&gt;$L$5/10*9,"1",IF(H580&gt;$L$5/10*8,"2",IF(H580&gt;$L$5/10*7,"3",IF(H580&gt;$L$5/10*6,"4",IF(H580&gt;$L$5/10*5,"5",IF(H580&gt;$L$5/10*4,"6",IF(H580&gt;$L$5/10*3,"7",IF(H580&gt;$L$5/10*2,"8",IF(H580&gt;$L$5/10,"9","10")))))))))</f>
        <v>6</v>
      </c>
    </row>
    <row r="581" spans="1:9" x14ac:dyDescent="0.55000000000000004">
      <c r="A581">
        <v>1134</v>
      </c>
      <c r="B581">
        <f>estuary_data!U575*weights!$C$2</f>
        <v>3.8227785855419305E-2</v>
      </c>
      <c r="C581">
        <f>estuary_data!R575*weights!$C$5</f>
        <v>5.3875074015740057E-2</v>
      </c>
      <c r="D581">
        <f>estuary_data!V575*weights!$C$3</f>
        <v>3.0235161655749597E-2</v>
      </c>
      <c r="E581">
        <f>estuary_data!S575*weights!$C$6</f>
        <v>4.3610594343682481E-2</v>
      </c>
      <c r="F581">
        <f>estuary_data!W575*weights!$C$4</f>
        <v>7.4657390481788322E-2</v>
      </c>
      <c r="G581">
        <f>estuary_data!T575*weights!$C$7</f>
        <v>5.4765053413972122E-2</v>
      </c>
      <c r="H581">
        <f>SUM(B581:G581)</f>
        <v>0.29537105976635186</v>
      </c>
      <c r="I581" t="str">
        <f>IF(H581&gt;$L$5/10*9,"1",IF(H581&gt;$L$5/10*8,"2",IF(H581&gt;$L$5/10*7,"3",IF(H581&gt;$L$5/10*6,"4",IF(H581&gt;$L$5/10*5,"5",IF(H581&gt;$L$5/10*4,"6",IF(H581&gt;$L$5/10*3,"7",IF(H581&gt;$L$5/10*2,"8",IF(H581&gt;$L$5/10,"9","10")))))))))</f>
        <v>6</v>
      </c>
    </row>
    <row r="582" spans="1:9" x14ac:dyDescent="0.55000000000000004">
      <c r="A582">
        <v>1135</v>
      </c>
      <c r="B582">
        <f>estuary_data!U576*weights!$C$2</f>
        <v>3.736265140722448E-2</v>
      </c>
      <c r="C582">
        <f>estuary_data!R576*weights!$C$5</f>
        <v>6.3996271045083722E-2</v>
      </c>
      <c r="D582">
        <f>estuary_data!V576*weights!$C$3</f>
        <v>2.9660851285365514E-2</v>
      </c>
      <c r="E582">
        <f>estuary_data!S576*weights!$C$6</f>
        <v>3.5762015138960913E-2</v>
      </c>
      <c r="F582">
        <f>estuary_data!W576*weights!$C$4</f>
        <v>7.8816335601423315E-2</v>
      </c>
      <c r="G582">
        <f>estuary_data!T576*weights!$C$7</f>
        <v>3.3154923826289762E-2</v>
      </c>
      <c r="H582">
        <f>SUM(B582:G582)</f>
        <v>0.27875304830434772</v>
      </c>
      <c r="I582" t="str">
        <f>IF(H582&gt;$L$5/10*9,"1",IF(H582&gt;$L$5/10*8,"2",IF(H582&gt;$L$5/10*7,"3",IF(H582&gt;$L$5/10*6,"4",IF(H582&gt;$L$5/10*5,"5",IF(H582&gt;$L$5/10*4,"6",IF(H582&gt;$L$5/10*3,"7",IF(H582&gt;$L$5/10*2,"8",IF(H582&gt;$L$5/10,"9","10")))))))))</f>
        <v>6</v>
      </c>
    </row>
    <row r="583" spans="1:9" x14ac:dyDescent="0.55000000000000004">
      <c r="A583">
        <v>1136</v>
      </c>
      <c r="B583">
        <f>estuary_data!U577*weights!$C$2</f>
        <v>4.2848010707408429E-2</v>
      </c>
      <c r="C583">
        <f>estuary_data!R577*weights!$C$5</f>
        <v>6.2719643557260785E-2</v>
      </c>
      <c r="D583">
        <f>estuary_data!V577*weights!$C$3</f>
        <v>3.0692634309136272E-2</v>
      </c>
      <c r="E583">
        <f>estuary_data!S577*weights!$C$6</f>
        <v>3.6946380563833349E-2</v>
      </c>
      <c r="F583">
        <f>estuary_data!W577*weights!$C$4</f>
        <v>8.749621247018971E-2</v>
      </c>
      <c r="G583">
        <f>estuary_data!T577*weights!$C$7</f>
        <v>3.5670436525305695E-2</v>
      </c>
      <c r="H583">
        <f>SUM(B583:G583)</f>
        <v>0.29637331813313422</v>
      </c>
      <c r="I583" t="str">
        <f>IF(H583&gt;$L$5/10*9,"1",IF(H583&gt;$L$5/10*8,"2",IF(H583&gt;$L$5/10*7,"3",IF(H583&gt;$L$5/10*6,"4",IF(H583&gt;$L$5/10*5,"5",IF(H583&gt;$L$5/10*4,"6",IF(H583&gt;$L$5/10*3,"7",IF(H583&gt;$L$5/10*2,"8",IF(H583&gt;$L$5/10,"9","10")))))))))</f>
        <v>6</v>
      </c>
    </row>
    <row r="584" spans="1:9" x14ac:dyDescent="0.55000000000000004">
      <c r="A584">
        <v>1137</v>
      </c>
      <c r="B584">
        <f>estuary_data!U578*weights!$C$2</f>
        <v>4.0409634278075292E-2</v>
      </c>
      <c r="C584">
        <f>estuary_data!R578*weights!$C$5</f>
        <v>4.7299118615196638E-2</v>
      </c>
      <c r="D584">
        <f>estuary_data!V578*weights!$C$3</f>
        <v>3.3223501570675287E-2</v>
      </c>
      <c r="E584">
        <f>estuary_data!S578*weights!$C$6</f>
        <v>5.5505103482329357E-2</v>
      </c>
      <c r="F584">
        <f>estuary_data!W578*weights!$C$4</f>
        <v>8.3967320224093853E-2</v>
      </c>
      <c r="G584">
        <f>estuary_data!T578*weights!$C$7</f>
        <v>8.2702779204736065E-2</v>
      </c>
      <c r="H584">
        <f>SUM(B584:G584)</f>
        <v>0.34310745737510651</v>
      </c>
      <c r="I584" t="str">
        <f>IF(H584&gt;$L$5/10*9,"1",IF(H584&gt;$L$5/10*8,"2",IF(H584&gt;$L$5/10*7,"3",IF(H584&gt;$L$5/10*6,"4",IF(H584&gt;$L$5/10*5,"5",IF(H584&gt;$L$5/10*4,"6",IF(H584&gt;$L$5/10*3,"7",IF(H584&gt;$L$5/10*2,"8",IF(H584&gt;$L$5/10,"9","10")))))))))</f>
        <v>5</v>
      </c>
    </row>
    <row r="585" spans="1:9" x14ac:dyDescent="0.55000000000000004">
      <c r="A585">
        <v>1138</v>
      </c>
      <c r="B585">
        <f>estuary_data!U579*weights!$C$2</f>
        <v>4.3361210612326846E-2</v>
      </c>
      <c r="C585">
        <f>estuary_data!R579*weights!$C$5</f>
        <v>5.1445905476051518E-2</v>
      </c>
      <c r="D585">
        <f>estuary_data!V579*weights!$C$3</f>
        <v>3.2583131161951773E-2</v>
      </c>
      <c r="E585">
        <f>estuary_data!S579*weights!$C$6</f>
        <v>4.7430456799370427E-2</v>
      </c>
      <c r="F585">
        <f>estuary_data!W579*weights!$C$4</f>
        <v>8.5534602243306307E-2</v>
      </c>
      <c r="G585">
        <f>estuary_data!T579*weights!$C$7</f>
        <v>6.2831217936640357E-2</v>
      </c>
      <c r="H585">
        <f>SUM(B585:G585)</f>
        <v>0.32318652422964722</v>
      </c>
      <c r="I585" t="str">
        <f>IF(H585&gt;$L$5/10*9,"1",IF(H585&gt;$L$5/10*8,"2",IF(H585&gt;$L$5/10*7,"3",IF(H585&gt;$L$5/10*6,"4",IF(H585&gt;$L$5/10*5,"5",IF(H585&gt;$L$5/10*4,"6",IF(H585&gt;$L$5/10*3,"7",IF(H585&gt;$L$5/10*2,"8",IF(H585&gt;$L$5/10,"9","10")))))))))</f>
        <v>6</v>
      </c>
    </row>
    <row r="586" spans="1:9" x14ac:dyDescent="0.55000000000000004">
      <c r="A586">
        <v>1139</v>
      </c>
      <c r="B586">
        <f>estuary_data!U580*weights!$C$2</f>
        <v>3.9619314272497215E-2</v>
      </c>
      <c r="C586">
        <f>estuary_data!R580*weights!$C$5</f>
        <v>5.5162600632298824E-2</v>
      </c>
      <c r="D586">
        <f>estuary_data!V580*weights!$C$3</f>
        <v>3.4155592056805156E-2</v>
      </c>
      <c r="E586">
        <f>estuary_data!S580*weights!$C$6</f>
        <v>4.3683617400390645E-2</v>
      </c>
      <c r="F586">
        <f>estuary_data!W580*weights!$C$4</f>
        <v>9.0258562148311919E-2</v>
      </c>
      <c r="G586">
        <f>estuary_data!T580*weights!$C$7</f>
        <v>5.2120680137264848E-2</v>
      </c>
      <c r="H586">
        <f>SUM(B586:G586)</f>
        <v>0.31500036664756859</v>
      </c>
      <c r="I586" t="str">
        <f>IF(H586&gt;$L$5/10*9,"1",IF(H586&gt;$L$5/10*8,"2",IF(H586&gt;$L$5/10*7,"3",IF(H586&gt;$L$5/10*6,"4",IF(H586&gt;$L$5/10*5,"5",IF(H586&gt;$L$5/10*4,"6",IF(H586&gt;$L$5/10*3,"7",IF(H586&gt;$L$5/10*2,"8",IF(H586&gt;$L$5/10,"9","10")))))))))</f>
        <v>6</v>
      </c>
    </row>
    <row r="587" spans="1:9" x14ac:dyDescent="0.55000000000000004">
      <c r="A587">
        <v>1140</v>
      </c>
      <c r="B587">
        <f>estuary_data!U581*weights!$C$2</f>
        <v>4.2050212626834289E-2</v>
      </c>
      <c r="C587">
        <f>estuary_data!R581*weights!$C$5</f>
        <v>4.702756477027617E-2</v>
      </c>
      <c r="D587">
        <f>estuary_data!V581*weights!$C$3</f>
        <v>3.5077903371325915E-2</v>
      </c>
      <c r="E587">
        <f>estuary_data!S581*weights!$C$6</f>
        <v>5.0013376666700381E-2</v>
      </c>
      <c r="F587">
        <f>estuary_data!W581*weights!$C$4</f>
        <v>9.3892753467650164E-2</v>
      </c>
      <c r="G587">
        <f>estuary_data!T581*weights!$C$7</f>
        <v>6.9925673048491524E-2</v>
      </c>
      <c r="H587">
        <f>SUM(B587:G587)</f>
        <v>0.33798748395127842</v>
      </c>
      <c r="I587" t="str">
        <f>IF(H587&gt;$L$5/10*9,"1",IF(H587&gt;$L$5/10*8,"2",IF(H587&gt;$L$5/10*7,"3",IF(H587&gt;$L$5/10*6,"4",IF(H587&gt;$L$5/10*5,"5",IF(H587&gt;$L$5/10*4,"6",IF(H587&gt;$L$5/10*3,"7",IF(H587&gt;$L$5/10*2,"8",IF(H587&gt;$L$5/10,"9","10")))))))))</f>
        <v>5</v>
      </c>
    </row>
    <row r="588" spans="1:9" x14ac:dyDescent="0.55000000000000004">
      <c r="A588">
        <v>1141</v>
      </c>
      <c r="B588">
        <f>estuary_data!U582*weights!$C$2</f>
        <v>4.3946178814822018E-2</v>
      </c>
      <c r="C588">
        <f>estuary_data!R582*weights!$C$5</f>
        <v>6.0213187777629198E-2</v>
      </c>
      <c r="D588">
        <f>estuary_data!V582*weights!$C$3</f>
        <v>3.3350182654160239E-2</v>
      </c>
      <c r="E588">
        <f>estuary_data!S582*weights!$C$6</f>
        <v>3.5662706200326827E-2</v>
      </c>
      <c r="F588">
        <f>estuary_data!W582*weights!$C$4</f>
        <v>9.0061932603696812E-2</v>
      </c>
      <c r="G588">
        <f>estuary_data!T582*weights!$C$7</f>
        <v>3.1919641578204587E-2</v>
      </c>
      <c r="H588">
        <f>SUM(B588:G588)</f>
        <v>0.29515382962883968</v>
      </c>
      <c r="I588" t="str">
        <f>IF(H588&gt;$L$5/10*9,"1",IF(H588&gt;$L$5/10*8,"2",IF(H588&gt;$L$5/10*7,"3",IF(H588&gt;$L$5/10*6,"4",IF(H588&gt;$L$5/10*5,"5",IF(H588&gt;$L$5/10*4,"6",IF(H588&gt;$L$5/10*3,"7",IF(H588&gt;$L$5/10*2,"8",IF(H588&gt;$L$5/10,"9","10")))))))))</f>
        <v>6</v>
      </c>
    </row>
    <row r="589" spans="1:9" x14ac:dyDescent="0.55000000000000004">
      <c r="A589">
        <v>1142</v>
      </c>
      <c r="B589">
        <f>estuary_data!U583*weights!$C$2</f>
        <v>4.4119163090229153E-2</v>
      </c>
      <c r="C589">
        <f>estuary_data!R583*weights!$C$5</f>
        <v>5.4204427685200715E-2</v>
      </c>
      <c r="D589">
        <f>estuary_data!V583*weights!$C$3</f>
        <v>3.694817004046453E-2</v>
      </c>
      <c r="E589">
        <f>estuary_data!S583*weights!$C$6</f>
        <v>4.2725228944957803E-2</v>
      </c>
      <c r="F589">
        <f>estuary_data!W583*weights!$C$4</f>
        <v>0.10124917783103973</v>
      </c>
      <c r="G589">
        <f>estuary_data!T583*weights!$C$7</f>
        <v>4.9653078037035218E-2</v>
      </c>
      <c r="H589">
        <f>SUM(B589:G589)</f>
        <v>0.32889924562892714</v>
      </c>
      <c r="I589" t="str">
        <f>IF(H589&gt;$L$5/10*9,"1",IF(H589&gt;$L$5/10*8,"2",IF(H589&gt;$L$5/10*7,"3",IF(H589&gt;$L$5/10*6,"4",IF(H589&gt;$L$5/10*5,"5",IF(H589&gt;$L$5/10*4,"6",IF(H589&gt;$L$5/10*3,"7",IF(H589&gt;$L$5/10*2,"8",IF(H589&gt;$L$5/10,"9","10")))))))))</f>
        <v>6</v>
      </c>
    </row>
    <row r="590" spans="1:9" x14ac:dyDescent="0.55000000000000004">
      <c r="A590">
        <v>1143</v>
      </c>
      <c r="B590">
        <f>estuary_data!U584*weights!$C$2</f>
        <v>4.4389767499756115E-2</v>
      </c>
      <c r="C590">
        <f>estuary_data!R584*weights!$C$5</f>
        <v>5.0303411971083428E-2</v>
      </c>
      <c r="D590">
        <f>estuary_data!V584*weights!$C$3</f>
        <v>3.7171985152312778E-2</v>
      </c>
      <c r="E590">
        <f>estuary_data!S584*weights!$C$6</f>
        <v>4.5391749181951629E-2</v>
      </c>
      <c r="F590">
        <f>estuary_data!W584*weights!$C$4</f>
        <v>0.10879690507852556</v>
      </c>
      <c r="G590">
        <f>estuary_data!T584*weights!$C$7</f>
        <v>5.649399750924107E-2</v>
      </c>
      <c r="H590">
        <f>SUM(B590:G590)</f>
        <v>0.34254781639287057</v>
      </c>
      <c r="I590" t="str">
        <f>IF(H590&gt;$L$5/10*9,"1",IF(H590&gt;$L$5/10*8,"2",IF(H590&gt;$L$5/10*7,"3",IF(H590&gt;$L$5/10*6,"4",IF(H590&gt;$L$5/10*5,"5",IF(H590&gt;$L$5/10*4,"6",IF(H590&gt;$L$5/10*3,"7",IF(H590&gt;$L$5/10*2,"8",IF(H590&gt;$L$5/10,"9","10")))))))))</f>
        <v>5</v>
      </c>
    </row>
    <row r="591" spans="1:9" x14ac:dyDescent="0.55000000000000004">
      <c r="A591">
        <v>1144</v>
      </c>
      <c r="B591">
        <f>estuary_data!U585*weights!$C$2</f>
        <v>4.8747978722157741E-2</v>
      </c>
      <c r="C591">
        <f>estuary_data!R585*weights!$C$5</f>
        <v>5.1405103929260149E-2</v>
      </c>
      <c r="D591">
        <f>estuary_data!V585*weights!$C$3</f>
        <v>3.6291096818546136E-2</v>
      </c>
      <c r="E591">
        <f>estuary_data!S585*weights!$C$6</f>
        <v>3.9913257734434271E-2</v>
      </c>
      <c r="F591">
        <f>estuary_data!W585*weights!$C$4</f>
        <v>0.10849366406262673</v>
      </c>
      <c r="G591">
        <f>estuary_data!T585*weights!$C$7</f>
        <v>4.2862021247608247E-2</v>
      </c>
      <c r="H591">
        <f>SUM(B591:G591)</f>
        <v>0.3277131225146333</v>
      </c>
      <c r="I591" t="str">
        <f>IF(H591&gt;$L$5/10*9,"1",IF(H591&gt;$L$5/10*8,"2",IF(H591&gt;$L$5/10*7,"3",IF(H591&gt;$L$5/10*6,"4",IF(H591&gt;$L$5/10*5,"5",IF(H591&gt;$L$5/10*4,"6",IF(H591&gt;$L$5/10*3,"7",IF(H591&gt;$L$5/10*2,"8",IF(H591&gt;$L$5/10,"9","10")))))))))</f>
        <v>6</v>
      </c>
    </row>
    <row r="592" spans="1:9" x14ac:dyDescent="0.55000000000000004">
      <c r="A592">
        <v>1145</v>
      </c>
      <c r="B592">
        <f>estuary_data!U586*weights!$C$2</f>
        <v>4.8669993282277647E-2</v>
      </c>
      <c r="C592">
        <f>estuary_data!R586*weights!$C$5</f>
        <v>4.8653607322820827E-2</v>
      </c>
      <c r="D592">
        <f>estuary_data!V586*weights!$C$3</f>
        <v>3.7963510766547234E-2</v>
      </c>
      <c r="E592">
        <f>estuary_data!S586*weights!$C$6</f>
        <v>4.1582316740855704E-2</v>
      </c>
      <c r="F592">
        <f>estuary_data!W586*weights!$C$4</f>
        <v>0.11540235035843827</v>
      </c>
      <c r="G592">
        <f>estuary_data!T586*weights!$C$7</f>
        <v>4.7352083422850084E-2</v>
      </c>
      <c r="H592">
        <f>SUM(B592:G592)</f>
        <v>0.33962386189378979</v>
      </c>
      <c r="I592" t="str">
        <f>IF(H592&gt;$L$5/10*9,"1",IF(H592&gt;$L$5/10*8,"2",IF(H592&gt;$L$5/10*7,"3",IF(H592&gt;$L$5/10*6,"4",IF(H592&gt;$L$5/10*5,"5",IF(H592&gt;$L$5/10*4,"6",IF(H592&gt;$L$5/10*3,"7",IF(H592&gt;$L$5/10*2,"8",IF(H592&gt;$L$5/10,"9","10")))))))))</f>
        <v>5</v>
      </c>
    </row>
    <row r="593" spans="1:9" x14ac:dyDescent="0.55000000000000004">
      <c r="A593">
        <v>1146</v>
      </c>
      <c r="B593">
        <f>estuary_data!U587*weights!$C$2</f>
        <v>4.8449192748555039E-2</v>
      </c>
      <c r="C593">
        <f>estuary_data!R587*weights!$C$5</f>
        <v>4.6561170938718872E-2</v>
      </c>
      <c r="D593">
        <f>estuary_data!V587*weights!$C$3</f>
        <v>3.7316499841778067E-2</v>
      </c>
      <c r="E593">
        <f>estuary_data!S587*weights!$C$6</f>
        <v>4.3605860446032839E-2</v>
      </c>
      <c r="F593">
        <f>estuary_data!W587*weights!$C$4</f>
        <v>0.11628035254870596</v>
      </c>
      <c r="G593">
        <f>estuary_data!T587*weights!$C$7</f>
        <v>5.2381894542721179E-2</v>
      </c>
      <c r="H593">
        <f>SUM(B593:G593)</f>
        <v>0.34459497106651199</v>
      </c>
      <c r="I593" t="str">
        <f>IF(H593&gt;$L$5/10*9,"1",IF(H593&gt;$L$5/10*8,"2",IF(H593&gt;$L$5/10*7,"3",IF(H593&gt;$L$5/10*6,"4",IF(H593&gt;$L$5/10*5,"5",IF(H593&gt;$L$5/10*4,"6",IF(H593&gt;$L$5/10*3,"7",IF(H593&gt;$L$5/10*2,"8",IF(H593&gt;$L$5/10,"9","10")))))))))</f>
        <v>5</v>
      </c>
    </row>
    <row r="594" spans="1:9" x14ac:dyDescent="0.55000000000000004">
      <c r="A594">
        <v>1147</v>
      </c>
      <c r="B594">
        <f>estuary_data!U588*weights!$C$2</f>
        <v>4.6424853654191529E-2</v>
      </c>
      <c r="C594">
        <f>estuary_data!R588*weights!$C$5</f>
        <v>4.4340972165311097E-2</v>
      </c>
      <c r="D594">
        <f>estuary_data!V588*weights!$C$3</f>
        <v>3.8548605805612549E-2</v>
      </c>
      <c r="E594">
        <f>estuary_data!S588*weights!$C$6</f>
        <v>4.8367127576955278E-2</v>
      </c>
      <c r="F594">
        <f>estuary_data!W588*weights!$C$4</f>
        <v>0.11861984441766503</v>
      </c>
      <c r="G594">
        <f>estuary_data!T588*weights!$C$7</f>
        <v>6.4922978388528743E-2</v>
      </c>
      <c r="H594">
        <f>SUM(B594:G594)</f>
        <v>0.36122438200826423</v>
      </c>
      <c r="I594" t="str">
        <f>IF(H594&gt;$L$5/10*9,"1",IF(H594&gt;$L$5/10*8,"2",IF(H594&gt;$L$5/10*7,"3",IF(H594&gt;$L$5/10*6,"4",IF(H594&gt;$L$5/10*5,"5",IF(H594&gt;$L$5/10*4,"6",IF(H594&gt;$L$5/10*3,"7",IF(H594&gt;$L$5/10*2,"8",IF(H594&gt;$L$5/10,"9","10")))))))))</f>
        <v>5</v>
      </c>
    </row>
    <row r="595" spans="1:9" x14ac:dyDescent="0.55000000000000004">
      <c r="A595">
        <v>1148</v>
      </c>
      <c r="B595">
        <f>estuary_data!U589*weights!$C$2</f>
        <v>5.0149448815246148E-2</v>
      </c>
      <c r="C595">
        <f>estuary_data!R589*weights!$C$5</f>
        <v>3.8036654352134699E-2</v>
      </c>
      <c r="D595">
        <f>estuary_data!V589*weights!$C$3</f>
        <v>4.1652786442552485E-2</v>
      </c>
      <c r="E595">
        <f>estuary_data!S589*weights!$C$6</f>
        <v>5.1433242898586515E-2</v>
      </c>
      <c r="F595">
        <f>estuary_data!W589*weights!$C$4</f>
        <v>0.13401151031081251</v>
      </c>
      <c r="G595">
        <f>estuary_data!T589*weights!$C$7</f>
        <v>7.2192446259145046E-2</v>
      </c>
      <c r="H595">
        <f>SUM(B595:G595)</f>
        <v>0.38747608907847747</v>
      </c>
      <c r="I595" t="str">
        <f>IF(H595&gt;$L$5/10*9,"1",IF(H595&gt;$L$5/10*8,"2",IF(H595&gt;$L$5/10*7,"3",IF(H595&gt;$L$5/10*6,"4",IF(H595&gt;$L$5/10*5,"5",IF(H595&gt;$L$5/10*4,"6",IF(H595&gt;$L$5/10*3,"7",IF(H595&gt;$L$5/10*2,"8",IF(H595&gt;$L$5/10,"9","10")))))))))</f>
        <v>5</v>
      </c>
    </row>
    <row r="596" spans="1:9" x14ac:dyDescent="0.55000000000000004">
      <c r="A596">
        <v>1149</v>
      </c>
      <c r="B596">
        <f>estuary_data!U590*weights!$C$2</f>
        <v>5.4622769550940108E-2</v>
      </c>
      <c r="C596">
        <f>estuary_data!R590*weights!$C$5</f>
        <v>2.7698443619997345E-2</v>
      </c>
      <c r="D596">
        <f>estuary_data!V590*weights!$C$3</f>
        <v>4.398671437903668E-2</v>
      </c>
      <c r="E596">
        <f>estuary_data!S590*weights!$C$6</f>
        <v>5.9059869300922489E-2</v>
      </c>
      <c r="F596">
        <f>estuary_data!W590*weights!$C$4</f>
        <v>0.15673339017175555</v>
      </c>
      <c r="G596">
        <f>estuary_data!T590*weights!$C$7</f>
        <v>8.8451566571863982E-2</v>
      </c>
      <c r="H596">
        <f>SUM(B596:G596)</f>
        <v>0.43055275359451617</v>
      </c>
      <c r="I596" t="str">
        <f>IF(H596&gt;$L$5/10*9,"1",IF(H596&gt;$L$5/10*8,"2",IF(H596&gt;$L$5/10*7,"3",IF(H596&gt;$L$5/10*6,"4",IF(H596&gt;$L$5/10*5,"5",IF(H596&gt;$L$5/10*4,"6",IF(H596&gt;$L$5/10*3,"7",IF(H596&gt;$L$5/10*2,"8",IF(H596&gt;$L$5/10,"9","10")))))))))</f>
        <v>4</v>
      </c>
    </row>
    <row r="597" spans="1:9" x14ac:dyDescent="0.55000000000000004">
      <c r="A597">
        <v>1150</v>
      </c>
      <c r="B597">
        <f>estuary_data!U591*weights!$C$2</f>
        <v>5.42542287648358E-2</v>
      </c>
      <c r="C597">
        <f>estuary_data!R591*weights!$C$5</f>
        <v>2.5172862572376907E-2</v>
      </c>
      <c r="D597">
        <f>estuary_data!V591*weights!$C$3</f>
        <v>4.4229581780650361E-2</v>
      </c>
      <c r="E597">
        <f>estuary_data!S591*weights!$C$6</f>
        <v>6.098452469210059E-2</v>
      </c>
      <c r="F597">
        <f>estuary_data!W591*weights!$C$4</f>
        <v>0.155994002049444</v>
      </c>
      <c r="G597">
        <f>estuary_data!T591*weights!$C$7</f>
        <v>9.3694484088783003E-2</v>
      </c>
      <c r="H597">
        <f>SUM(B597:G597)</f>
        <v>0.43432968394819066</v>
      </c>
      <c r="I597" t="str">
        <f>IF(H597&gt;$L$5/10*9,"1",IF(H597&gt;$L$5/10*8,"2",IF(H597&gt;$L$5/10*7,"3",IF(H597&gt;$L$5/10*6,"4",IF(H597&gt;$L$5/10*5,"5",IF(H597&gt;$L$5/10*4,"6",IF(H597&gt;$L$5/10*3,"7",IF(H597&gt;$L$5/10*2,"8",IF(H597&gt;$L$5/10,"9","10")))))))))</f>
        <v>4</v>
      </c>
    </row>
    <row r="598" spans="1:9" x14ac:dyDescent="0.55000000000000004">
      <c r="A598">
        <v>1151</v>
      </c>
      <c r="B598">
        <f>estuary_data!U592*weights!$C$2</f>
        <v>5.3056235299104373E-2</v>
      </c>
      <c r="C598">
        <f>estuary_data!R592*weights!$C$5</f>
        <v>2.1784322478373086E-2</v>
      </c>
      <c r="D598">
        <f>estuary_data!V592*weights!$C$3</f>
        <v>4.4996417596728254E-2</v>
      </c>
      <c r="E598">
        <f>estuary_data!S592*weights!$C$6</f>
        <v>6.3843097366611243E-2</v>
      </c>
      <c r="F598">
        <f>estuary_data!W592*weights!$C$4</f>
        <v>0.15396829718818628</v>
      </c>
      <c r="G598">
        <f>estuary_data!T592*weights!$C$7</f>
        <v>0.10138607299354881</v>
      </c>
      <c r="H598">
        <f>SUM(B598:G598)</f>
        <v>0.439034442922552</v>
      </c>
      <c r="I598" t="str">
        <f>IF(H598&gt;$L$5/10*9,"1",IF(H598&gt;$L$5/10*8,"2",IF(H598&gt;$L$5/10*7,"3",IF(H598&gt;$L$5/10*6,"4",IF(H598&gt;$L$5/10*5,"5",IF(H598&gt;$L$5/10*4,"6",IF(H598&gt;$L$5/10*3,"7",IF(H598&gt;$L$5/10*2,"8",IF(H598&gt;$L$5/10,"9","10")))))))))</f>
        <v>4</v>
      </c>
    </row>
    <row r="599" spans="1:9" x14ac:dyDescent="0.55000000000000004">
      <c r="A599">
        <v>1152</v>
      </c>
      <c r="B599">
        <f>estuary_data!U593*weights!$C$2</f>
        <v>5.5196897839194514E-2</v>
      </c>
      <c r="C599">
        <f>estuary_data!R593*weights!$C$5</f>
        <v>1.6088074688981317E-2</v>
      </c>
      <c r="D599">
        <f>estuary_data!V593*weights!$C$3</f>
        <v>4.6783285735744647E-2</v>
      </c>
      <c r="E599">
        <f>estuary_data!S593*weights!$C$6</f>
        <v>6.9028264327078412E-2</v>
      </c>
      <c r="F599">
        <f>estuary_data!W593*weights!$C$4</f>
        <v>0.15962850790306943</v>
      </c>
      <c r="G599">
        <f>estuary_data!T593*weights!$C$7</f>
        <v>0.11425734102487432</v>
      </c>
      <c r="H599">
        <f>SUM(B599:G599)</f>
        <v>0.46098237151894267</v>
      </c>
      <c r="I599" t="str">
        <f>IF(H599&gt;$L$5/10*9,"1",IF(H599&gt;$L$5/10*8,"2",IF(H599&gt;$L$5/10*7,"3",IF(H599&gt;$L$5/10*6,"4",IF(H599&gt;$L$5/10*5,"5",IF(H599&gt;$L$5/10*4,"6",IF(H599&gt;$L$5/10*3,"7",IF(H599&gt;$L$5/10*2,"8",IF(H599&gt;$L$5/10,"9","10")))))))))</f>
        <v>4</v>
      </c>
    </row>
    <row r="600" spans="1:9" x14ac:dyDescent="0.55000000000000004">
      <c r="A600">
        <v>1153</v>
      </c>
      <c r="B600">
        <f>estuary_data!U594*weights!$C$2</f>
        <v>5.5901998551810113E-2</v>
      </c>
      <c r="C600">
        <f>estuary_data!R594*weights!$C$5</f>
        <v>1.705436671390978E-2</v>
      </c>
      <c r="D600">
        <f>estuary_data!V594*weights!$C$3</f>
        <v>4.6823890974517279E-2</v>
      </c>
      <c r="E600">
        <f>estuary_data!S594*weights!$C$6</f>
        <v>6.888449495442811E-2</v>
      </c>
      <c r="F600">
        <f>estuary_data!W594*weights!$C$4</f>
        <v>0.16770488693999142</v>
      </c>
      <c r="G600">
        <f>estuary_data!T594*weights!$C$7</f>
        <v>0.11180437259036481</v>
      </c>
      <c r="H600">
        <f>SUM(B600:G600)</f>
        <v>0.46817401072502152</v>
      </c>
      <c r="I600" t="str">
        <f>IF(H600&gt;$L$5/10*9,"1",IF(H600&gt;$L$5/10*8,"2",IF(H600&gt;$L$5/10*7,"3",IF(H600&gt;$L$5/10*6,"4",IF(H600&gt;$L$5/10*5,"5",IF(H600&gt;$L$5/10*4,"6",IF(H600&gt;$L$5/10*3,"7",IF(H600&gt;$L$5/10*2,"8",IF(H600&gt;$L$5/10,"9","10")))))))))</f>
        <v>3</v>
      </c>
    </row>
    <row r="601" spans="1:9" x14ac:dyDescent="0.55000000000000004">
      <c r="A601">
        <v>1154</v>
      </c>
      <c r="B601">
        <f>estuary_data!U595*weights!$C$2</f>
        <v>5.6993078890718703E-2</v>
      </c>
      <c r="C601">
        <f>estuary_data!R595*weights!$C$5</f>
        <v>7.8662923390238268E-3</v>
      </c>
      <c r="D601">
        <f>estuary_data!V595*weights!$C$3</f>
        <v>4.9491514190675663E-2</v>
      </c>
      <c r="E601">
        <f>estuary_data!S595*weights!$C$6</f>
        <v>7.7836691802142546E-2</v>
      </c>
      <c r="F601">
        <f>estuary_data!W595*weights!$C$4</f>
        <v>0.17535143936992731</v>
      </c>
      <c r="G601">
        <f>estuary_data!T595*weights!$C$7</f>
        <v>0.13512226375695721</v>
      </c>
      <c r="H601">
        <f>SUM(B601:G601)</f>
        <v>0.50266128034944524</v>
      </c>
      <c r="I601" t="str">
        <f>IF(H601&gt;$L$5/10*9,"1",IF(H601&gt;$L$5/10*8,"2",IF(H601&gt;$L$5/10*7,"3",IF(H601&gt;$L$5/10*6,"4",IF(H601&gt;$L$5/10*5,"5",IF(H601&gt;$L$5/10*4,"6",IF(H601&gt;$L$5/10*3,"7",IF(H601&gt;$L$5/10*2,"8",IF(H601&gt;$L$5/10,"9","10")))))))))</f>
        <v>3</v>
      </c>
    </row>
    <row r="602" spans="1:9" x14ac:dyDescent="0.55000000000000004">
      <c r="A602">
        <v>1155</v>
      </c>
      <c r="B602">
        <f>estuary_data!U596*weights!$C$2</f>
        <v>5.1796157632449748E-2</v>
      </c>
      <c r="C602">
        <f>estuary_data!R596*weights!$C$5</f>
        <v>1.4329745321500109E-2</v>
      </c>
      <c r="D602">
        <f>estuary_data!V596*weights!$C$3</f>
        <v>3.8856289208535719E-2</v>
      </c>
      <c r="E602">
        <f>estuary_data!S596*weights!$C$6</f>
        <v>6.8538441995674076E-2</v>
      </c>
      <c r="F602">
        <f>estuary_data!W596*weights!$C$4</f>
        <v>0.1293774516095261</v>
      </c>
      <c r="G602">
        <f>estuary_data!T596*weights!$C$7</f>
        <v>0.11900589044308429</v>
      </c>
      <c r="H602">
        <f>SUM(B602:G602)</f>
        <v>0.42190397621077003</v>
      </c>
      <c r="I602" t="str">
        <f>IF(H602&gt;$L$5/10*9,"1",IF(H602&gt;$L$5/10*8,"2",IF(H602&gt;$L$5/10*7,"3",IF(H602&gt;$L$5/10*6,"4",IF(H602&gt;$L$5/10*5,"5",IF(H602&gt;$L$5/10*4,"6",IF(H602&gt;$L$5/10*3,"7",IF(H602&gt;$L$5/10*2,"8",IF(H602&gt;$L$5/10,"9","10")))))))))</f>
        <v>4</v>
      </c>
    </row>
    <row r="603" spans="1:9" x14ac:dyDescent="0.55000000000000004">
      <c r="A603">
        <v>1156</v>
      </c>
      <c r="B603">
        <f>estuary_data!U597*weights!$C$2</f>
        <v>5.5230042839856434E-2</v>
      </c>
      <c r="C603">
        <f>estuary_data!R597*weights!$C$5</f>
        <v>0</v>
      </c>
      <c r="D603">
        <f>estuary_data!V597*weights!$C$3</f>
        <v>4.5029967183865448E-2</v>
      </c>
      <c r="E603">
        <f>estuary_data!S597*weights!$C$6</f>
        <v>8.4104530579199949E-2</v>
      </c>
      <c r="F603">
        <f>estuary_data!W597*weights!$C$4</f>
        <v>0.14768048592372779</v>
      </c>
      <c r="G603">
        <f>estuary_data!T597*weights!$C$7</f>
        <v>0.15519339161604975</v>
      </c>
      <c r="H603">
        <f>SUM(B603:G603)</f>
        <v>0.48723841814269941</v>
      </c>
      <c r="I603" t="str">
        <f>IF(H603&gt;$L$5/10*9,"1",IF(H603&gt;$L$5/10*8,"2",IF(H603&gt;$L$5/10*7,"3",IF(H603&gt;$L$5/10*6,"4",IF(H603&gt;$L$5/10*5,"5",IF(H603&gt;$L$5/10*4,"6",IF(H603&gt;$L$5/10*3,"7",IF(H603&gt;$L$5/10*2,"8",IF(H603&gt;$L$5/10,"9","10")))))))))</f>
        <v>3</v>
      </c>
    </row>
    <row r="604" spans="1:9" x14ac:dyDescent="0.55000000000000004">
      <c r="A604">
        <v>1157</v>
      </c>
      <c r="B604">
        <f>estuary_data!U598*weights!$C$2</f>
        <v>5.6444685561377175E-2</v>
      </c>
      <c r="C604">
        <f>estuary_data!R598*weights!$C$5</f>
        <v>9.0824816814098694E-3</v>
      </c>
      <c r="D604">
        <f>estuary_data!V598*weights!$C$3</f>
        <v>4.3059898058285397E-2</v>
      </c>
      <c r="E604">
        <f>estuary_data!S598*weights!$C$6</f>
        <v>9.5448657782607471E-2</v>
      </c>
      <c r="F604">
        <f>estuary_data!W598*weights!$C$4</f>
        <v>0.14395808801004481</v>
      </c>
      <c r="G604">
        <f>estuary_data!T598*weights!$C$7</f>
        <v>0.18441933041987743</v>
      </c>
      <c r="H604">
        <f>SUM(B604:G604)</f>
        <v>0.53241314151360219</v>
      </c>
      <c r="I604" t="str">
        <f>IF(H604&gt;$L$5/10*9,"1",IF(H604&gt;$L$5/10*8,"2",IF(H604&gt;$L$5/10*7,"3",IF(H604&gt;$L$5/10*6,"4",IF(H604&gt;$L$5/10*5,"5",IF(H604&gt;$L$5/10*4,"6",IF(H604&gt;$L$5/10*3,"7",IF(H604&gt;$L$5/10*2,"8",IF(H604&gt;$L$5/10,"9","10")))))))))</f>
        <v>2</v>
      </c>
    </row>
    <row r="605" spans="1:9" x14ac:dyDescent="0.55000000000000004">
      <c r="A605">
        <v>1158</v>
      </c>
      <c r="B605">
        <f>estuary_data!U599*weights!$C$2</f>
        <v>6.2202567758822977E-2</v>
      </c>
      <c r="C605">
        <f>estuary_data!R599*weights!$C$5</f>
        <v>1.848862533211702E-2</v>
      </c>
      <c r="D605">
        <f>estuary_data!V599*weights!$C$3</f>
        <v>4.9458058619177445E-2</v>
      </c>
      <c r="E605">
        <f>estuary_data!S599*weights!$C$6</f>
        <v>0.11210697999999999</v>
      </c>
      <c r="F605">
        <f>estuary_data!W599*weights!$C$4</f>
        <v>0.17786678393045716</v>
      </c>
      <c r="G605">
        <f>estuary_data!T599*weights!$C$7</f>
        <v>0.22391811</v>
      </c>
      <c r="H605">
        <f>SUM(B605:G605)</f>
        <v>0.64404112564057459</v>
      </c>
      <c r="I605" t="str">
        <f>IF(H605&gt;$L$5/10*9,"1",IF(H605&gt;$L$5/10*8,"2",IF(H605&gt;$L$5/10*7,"3",IF(H605&gt;$L$5/10*6,"4",IF(H605&gt;$L$5/10*5,"5",IF(H605&gt;$L$5/10*4,"6",IF(H605&gt;$L$5/10*3,"7",IF(H605&gt;$L$5/10*2,"8",IF(H605&gt;$L$5/10,"9","10")))))))))</f>
        <v>1</v>
      </c>
    </row>
    <row r="606" spans="1:9" x14ac:dyDescent="0.55000000000000004">
      <c r="A606">
        <v>1159</v>
      </c>
      <c r="B606">
        <f>estuary_data!U600*weights!$C$2</f>
        <v>6.5746539283328784E-2</v>
      </c>
      <c r="C606">
        <f>estuary_data!R600*weights!$C$5</f>
        <v>1.4430389029853795E-2</v>
      </c>
      <c r="D606">
        <f>estuary_data!V600*weights!$C$3</f>
        <v>5.6458456304447457E-2</v>
      </c>
      <c r="E606">
        <f>estuary_data!S600*weights!$C$6</f>
        <v>0.10901736916313107</v>
      </c>
      <c r="F606">
        <f>estuary_data!W600*weights!$C$4</f>
        <v>0.20059340118460253</v>
      </c>
      <c r="G606">
        <f>estuary_data!T600*weights!$C$7</f>
        <v>0.21807434218303848</v>
      </c>
      <c r="H606">
        <f>SUM(B606:G606)</f>
        <v>0.66432049714840213</v>
      </c>
      <c r="I606" t="str">
        <f>IF(H606&gt;$L$5/10*9,"1",IF(H606&gt;$L$5/10*8,"2",IF(H606&gt;$L$5/10*7,"3",IF(H606&gt;$L$5/10*6,"4",IF(H606&gt;$L$5/10*5,"5",IF(H606&gt;$L$5/10*4,"6",IF(H606&gt;$L$5/10*3,"7",IF(H606&gt;$L$5/10*2,"8",IF(H606&gt;$L$5/10,"9","10")))))))))</f>
        <v>1</v>
      </c>
    </row>
    <row r="607" spans="1:9" x14ac:dyDescent="0.55000000000000004">
      <c r="A607">
        <v>1160</v>
      </c>
      <c r="B607">
        <f>estuary_data!U601*weights!$C$2</f>
        <v>6.2928922705854096E-2</v>
      </c>
      <c r="C607">
        <f>estuary_data!R601*weights!$C$5</f>
        <v>8.2021511081554772E-3</v>
      </c>
      <c r="D607">
        <f>estuary_data!V601*weights!$C$3</f>
        <v>5.0263612941760669E-2</v>
      </c>
      <c r="E607">
        <f>estuary_data!S601*weights!$C$6</f>
        <v>9.5492281811075927E-2</v>
      </c>
      <c r="F607">
        <f>estuary_data!W601*weights!$C$4</f>
        <v>0.17623864131543335</v>
      </c>
      <c r="G607">
        <f>estuary_data!T601*weights!$C$7</f>
        <v>0.1906799521016328</v>
      </c>
      <c r="H607">
        <f>SUM(B607:G607)</f>
        <v>0.58380556198391231</v>
      </c>
      <c r="I607" t="str">
        <f>IF(H607&gt;$L$5/10*9,"1",IF(H607&gt;$L$5/10*8,"2",IF(H607&gt;$L$5/10*7,"3",IF(H607&gt;$L$5/10*6,"4",IF(H607&gt;$L$5/10*5,"5",IF(H607&gt;$L$5/10*4,"6",IF(H607&gt;$L$5/10*3,"7",IF(H607&gt;$L$5/10*2,"8",IF(H607&gt;$L$5/10,"9","10")))))))))</f>
        <v>2</v>
      </c>
    </row>
    <row r="608" spans="1:9" x14ac:dyDescent="0.55000000000000004">
      <c r="A608">
        <v>1161</v>
      </c>
      <c r="B608">
        <f>estuary_data!U602*weights!$C$2</f>
        <v>6.289193928432775E-2</v>
      </c>
      <c r="C608">
        <f>estuary_data!R602*weights!$C$5</f>
        <v>8.6654149317152845E-3</v>
      </c>
      <c r="D608">
        <f>estuary_data!V602*weights!$C$3</f>
        <v>5.0001218092580242E-2</v>
      </c>
      <c r="E608">
        <f>estuary_data!S602*weights!$C$6</f>
        <v>6.7316519183511211E-2</v>
      </c>
      <c r="F608">
        <f>estuary_data!W602*weights!$C$4</f>
        <v>0.17187508806413582</v>
      </c>
      <c r="G608">
        <f>estuary_data!T602*weights!$C$7</f>
        <v>0.12471471996461457</v>
      </c>
      <c r="H608">
        <f>SUM(B608:G608)</f>
        <v>0.4854648995208849</v>
      </c>
      <c r="I608" t="str">
        <f>IF(H608&gt;$L$5/10*9,"1",IF(H608&gt;$L$5/10*8,"2",IF(H608&gt;$L$5/10*7,"3",IF(H608&gt;$L$5/10*6,"4",IF(H608&gt;$L$5/10*5,"5",IF(H608&gt;$L$5/10*4,"6",IF(H608&gt;$L$5/10*3,"7",IF(H608&gt;$L$5/10*2,"8",IF(H608&gt;$L$5/10,"9","10")))))))))</f>
        <v>3</v>
      </c>
    </row>
    <row r="609" spans="1:9" x14ac:dyDescent="0.55000000000000004">
      <c r="A609">
        <v>1162</v>
      </c>
      <c r="B609">
        <f>estuary_data!U603*weights!$C$2</f>
        <v>7.0202871145249604E-2</v>
      </c>
      <c r="C609">
        <f>estuary_data!R603*weights!$C$5</f>
        <v>1.7912113384454923E-2</v>
      </c>
      <c r="D609">
        <f>estuary_data!V603*weights!$C$3</f>
        <v>5.2561096288698587E-2</v>
      </c>
      <c r="E609">
        <f>estuary_data!S603*weights!$C$6</f>
        <v>5.2612292117457347E-2</v>
      </c>
      <c r="F609">
        <f>estuary_data!W603*weights!$C$4</f>
        <v>0.18925416807028098</v>
      </c>
      <c r="G609">
        <f>estuary_data!T603*weights!$C$7</f>
        <v>9.2990047797385358E-2</v>
      </c>
      <c r="H609">
        <f>SUM(B609:G609)</f>
        <v>0.47553258880352678</v>
      </c>
      <c r="I609" t="str">
        <f>IF(H609&gt;$L$5/10*9,"1",IF(H609&gt;$L$5/10*8,"2",IF(H609&gt;$L$5/10*7,"3",IF(H609&gt;$L$5/10*6,"4",IF(H609&gt;$L$5/10*5,"5",IF(H609&gt;$L$5/10*4,"6",IF(H609&gt;$L$5/10*3,"7",IF(H609&gt;$L$5/10*2,"8",IF(H609&gt;$L$5/10,"9","10")))))))))</f>
        <v>3</v>
      </c>
    </row>
    <row r="610" spans="1:9" x14ac:dyDescent="0.55000000000000004">
      <c r="A610">
        <v>1163</v>
      </c>
      <c r="B610">
        <f>estuary_data!U604*weights!$C$2</f>
        <v>7.0121160224679818E-2</v>
      </c>
      <c r="C610">
        <f>estuary_data!R604*weights!$C$5</f>
        <v>2.0811182919974809E-2</v>
      </c>
      <c r="D610">
        <f>estuary_data!V604*weights!$C$3</f>
        <v>5.5196614675712949E-2</v>
      </c>
      <c r="E610">
        <f>estuary_data!S604*weights!$C$6</f>
        <v>4.6368801086441355E-2</v>
      </c>
      <c r="F610">
        <f>estuary_data!W604*weights!$C$4</f>
        <v>0.19929301999281698</v>
      </c>
      <c r="G610">
        <f>estuary_data!T604*weights!$C$7</f>
        <v>7.9419988664153396E-2</v>
      </c>
      <c r="H610">
        <f>SUM(B610:G610)</f>
        <v>0.47121076756377928</v>
      </c>
      <c r="I610" t="str">
        <f>IF(H610&gt;$L$5/10*9,"1",IF(H610&gt;$L$5/10*8,"2",IF(H610&gt;$L$5/10*7,"3",IF(H610&gt;$L$5/10*6,"4",IF(H610&gt;$L$5/10*5,"5",IF(H610&gt;$L$5/10*4,"6",IF(H610&gt;$L$5/10*3,"7",IF(H610&gt;$L$5/10*2,"8",IF(H610&gt;$L$5/10,"9","10")))))))))</f>
        <v>3</v>
      </c>
    </row>
    <row r="611" spans="1:9" x14ac:dyDescent="0.55000000000000004">
      <c r="A611">
        <v>1164</v>
      </c>
      <c r="B611">
        <f>estuary_data!U605*weights!$C$2</f>
        <v>7.4503356132332929E-2</v>
      </c>
      <c r="C611">
        <f>estuary_data!R605*weights!$C$5</f>
        <v>2.4493445837967878E-2</v>
      </c>
      <c r="D611">
        <f>estuary_data!V605*weights!$C$3</f>
        <v>5.6071613077122114E-2</v>
      </c>
      <c r="E611">
        <f>estuary_data!S605*weights!$C$6</f>
        <v>3.6464602939441461E-2</v>
      </c>
      <c r="F611">
        <f>estuary_data!W605*weights!$C$4</f>
        <v>0.21017599548335203</v>
      </c>
      <c r="G611">
        <f>estuary_data!T605*weights!$C$7</f>
        <v>5.8244203500389294E-2</v>
      </c>
      <c r="H611">
        <f>SUM(B611:G611)</f>
        <v>0.45995321697060565</v>
      </c>
      <c r="I611" t="str">
        <f>IF(H611&gt;$L$5/10*9,"1",IF(H611&gt;$L$5/10*8,"2",IF(H611&gt;$L$5/10*7,"3",IF(H611&gt;$L$5/10*6,"4",IF(H611&gt;$L$5/10*5,"5",IF(H611&gt;$L$5/10*4,"6",IF(H611&gt;$L$5/10*3,"7",IF(H611&gt;$L$5/10*2,"8",IF(H611&gt;$L$5/10,"9","10")))))))))</f>
        <v>4</v>
      </c>
    </row>
    <row r="612" spans="1:9" x14ac:dyDescent="0.55000000000000004">
      <c r="A612">
        <v>1165</v>
      </c>
      <c r="B612">
        <f>estuary_data!U606*weights!$C$2</f>
        <v>6.9467205910616725E-2</v>
      </c>
      <c r="C612">
        <f>estuary_data!R606*weights!$C$5</f>
        <v>3.1995247860517884E-2</v>
      </c>
      <c r="D612">
        <f>estuary_data!V606*weights!$C$3</f>
        <v>5.3223730604709127E-2</v>
      </c>
      <c r="E612">
        <f>estuary_data!S606*weights!$C$6</f>
        <v>3.3410329998884568E-2</v>
      </c>
      <c r="F612">
        <f>estuary_data!W606*weights!$C$4</f>
        <v>0.18763666208063659</v>
      </c>
      <c r="G612">
        <f>estuary_data!T606*weights!$C$7</f>
        <v>4.8640951187778989E-2</v>
      </c>
      <c r="H612">
        <f>SUM(B612:G612)</f>
        <v>0.42437412764314392</v>
      </c>
      <c r="I612" t="str">
        <f>IF(H612&gt;$L$5/10*9,"1",IF(H612&gt;$L$5/10*8,"2",IF(H612&gt;$L$5/10*7,"3",IF(H612&gt;$L$5/10*6,"4",IF(H612&gt;$L$5/10*5,"5",IF(H612&gt;$L$5/10*4,"6",IF(H612&gt;$L$5/10*3,"7",IF(H612&gt;$L$5/10*2,"8",IF(H612&gt;$L$5/10,"9","10")))))))))</f>
        <v>4</v>
      </c>
    </row>
    <row r="613" spans="1:9" x14ac:dyDescent="0.55000000000000004">
      <c r="A613">
        <v>2000</v>
      </c>
      <c r="B613">
        <f>estuary_data!U607*weights!$C$2</f>
        <v>6.2176203903561489E-2</v>
      </c>
      <c r="C613">
        <f>estuary_data!R607*weights!$C$5</f>
        <v>3.9418320121683094E-2</v>
      </c>
      <c r="D613">
        <f>estuary_data!V607*weights!$C$3</f>
        <v>4.7924270391207488E-2</v>
      </c>
      <c r="E613">
        <f>estuary_data!S607*weights!$C$6</f>
        <v>3.2633607063200315E-2</v>
      </c>
      <c r="F613">
        <f>estuary_data!W607*weights!$C$4</f>
        <v>0.16709656719317173</v>
      </c>
      <c r="G613">
        <f>estuary_data!T607*weights!$C$7</f>
        <v>4.4734532638872289E-2</v>
      </c>
      <c r="H613">
        <f>SUM(B613:G613)</f>
        <v>0.39398350131169635</v>
      </c>
      <c r="I613" t="str">
        <f>IF(H613&gt;$L$5/10*9,"1",IF(H613&gt;$L$5/10*8,"2",IF(H613&gt;$L$5/10*7,"3",IF(H613&gt;$L$5/10*6,"4",IF(H613&gt;$L$5/10*5,"5",IF(H613&gt;$L$5/10*4,"6",IF(H613&gt;$L$5/10*3,"7",IF(H613&gt;$L$5/10*2,"8",IF(H613&gt;$L$5/10,"9","10")))))))))</f>
        <v>5</v>
      </c>
    </row>
    <row r="614" spans="1:9" x14ac:dyDescent="0.55000000000000004">
      <c r="A614">
        <v>2001</v>
      </c>
      <c r="B614">
        <f>estuary_data!U608*weights!$C$2</f>
        <v>5.6012070763847843E-2</v>
      </c>
      <c r="C614">
        <f>estuary_data!R608*weights!$C$5</f>
        <v>4.5723723191482782E-2</v>
      </c>
      <c r="D614">
        <f>estuary_data!V608*weights!$C$3</f>
        <v>4.6599674461797413E-2</v>
      </c>
      <c r="E614">
        <f>estuary_data!S608*weights!$C$6</f>
        <v>3.0947443994612356E-2</v>
      </c>
      <c r="F614">
        <f>estuary_data!W608*weights!$C$4</f>
        <v>0.15548518723689911</v>
      </c>
      <c r="G614">
        <f>estuary_data!T608*weights!$C$7</f>
        <v>3.832501803362371E-2</v>
      </c>
      <c r="H614">
        <f>SUM(B614:G614)</f>
        <v>0.37309311768226322</v>
      </c>
      <c r="I614" t="str">
        <f>IF(H614&gt;$L$5/10*9,"1",IF(H614&gt;$L$5/10*8,"2",IF(H614&gt;$L$5/10*7,"3",IF(H614&gt;$L$5/10*6,"4",IF(H614&gt;$L$5/10*5,"5",IF(H614&gt;$L$5/10*4,"6",IF(H614&gt;$L$5/10*3,"7",IF(H614&gt;$L$5/10*2,"8",IF(H614&gt;$L$5/10,"9","10")))))))))</f>
        <v>5</v>
      </c>
    </row>
    <row r="615" spans="1:9" x14ac:dyDescent="0.55000000000000004">
      <c r="A615">
        <v>2002</v>
      </c>
      <c r="B615">
        <f>estuary_data!U609*weights!$C$2</f>
        <v>5.6296980048316757E-2</v>
      </c>
      <c r="C615">
        <f>estuary_data!R609*weights!$C$5</f>
        <v>4.906934990282559E-2</v>
      </c>
      <c r="D615">
        <f>estuary_data!V609*weights!$C$3</f>
        <v>4.6079564831340222E-2</v>
      </c>
      <c r="E615">
        <f>estuary_data!S609*weights!$C$6</f>
        <v>3.0786083535613372E-2</v>
      </c>
      <c r="F615">
        <f>estuary_data!W609*weights!$C$4</f>
        <v>0.15158753141449258</v>
      </c>
      <c r="G615">
        <f>estuary_data!T609*weights!$C$7</f>
        <v>3.6523638696219156E-2</v>
      </c>
      <c r="H615">
        <f>SUM(B615:G615)</f>
        <v>0.37034314842880767</v>
      </c>
      <c r="I615" t="str">
        <f>IF(H615&gt;$L$5/10*9,"1",IF(H615&gt;$L$5/10*8,"2",IF(H615&gt;$L$5/10*7,"3",IF(H615&gt;$L$5/10*6,"4",IF(H615&gt;$L$5/10*5,"5",IF(H615&gt;$L$5/10*4,"6",IF(H615&gt;$L$5/10*3,"7",IF(H615&gt;$L$5/10*2,"8",IF(H615&gt;$L$5/10,"9","10")))))))))</f>
        <v>5</v>
      </c>
    </row>
    <row r="616" spans="1:9" x14ac:dyDescent="0.55000000000000004">
      <c r="A616">
        <v>2003</v>
      </c>
      <c r="B616">
        <f>estuary_data!U610*weights!$C$2</f>
        <v>5.7542238279409706E-2</v>
      </c>
      <c r="C616">
        <f>estuary_data!R610*weights!$C$5</f>
        <v>5.02271600731913E-2</v>
      </c>
      <c r="D616">
        <f>estuary_data!V610*weights!$C$3</f>
        <v>4.8052377354912593E-2</v>
      </c>
      <c r="E616">
        <f>estuary_data!S610*weights!$C$6</f>
        <v>3.0820154390776063E-2</v>
      </c>
      <c r="F616">
        <f>estuary_data!W610*weights!$C$4</f>
        <v>0.15693937733502669</v>
      </c>
      <c r="G616">
        <f>estuary_data!T610*weights!$C$7</f>
        <v>3.6022474559986015E-2</v>
      </c>
      <c r="H616">
        <f>SUM(B616:G616)</f>
        <v>0.37960378199330241</v>
      </c>
      <c r="I616" t="str">
        <f>IF(H616&gt;$L$5/10*9,"1",IF(H616&gt;$L$5/10*8,"2",IF(H616&gt;$L$5/10*7,"3",IF(H616&gt;$L$5/10*6,"4",IF(H616&gt;$L$5/10*5,"5",IF(H616&gt;$L$5/10*4,"6",IF(H616&gt;$L$5/10*3,"7",IF(H616&gt;$L$5/10*2,"8",IF(H616&gt;$L$5/10,"9","10")))))))))</f>
        <v>5</v>
      </c>
    </row>
    <row r="617" spans="1:9" x14ac:dyDescent="0.55000000000000004">
      <c r="A617">
        <v>2004</v>
      </c>
      <c r="B617">
        <f>estuary_data!U611*weights!$C$2</f>
        <v>5.8625018113567545E-2</v>
      </c>
      <c r="C617">
        <f>estuary_data!R611*weights!$C$5</f>
        <v>5.4409121515487845E-2</v>
      </c>
      <c r="D617">
        <f>estuary_data!V611*weights!$C$3</f>
        <v>5.346239637687733E-2</v>
      </c>
      <c r="E617">
        <f>estuary_data!S611*weights!$C$6</f>
        <v>3.0557586978587986E-2</v>
      </c>
      <c r="F617">
        <f>estuary_data!W611*weights!$C$4</f>
        <v>0.16930434730749927</v>
      </c>
      <c r="G617">
        <f>estuary_data!T611*weights!$C$7</f>
        <v>3.2179310362314126E-2</v>
      </c>
      <c r="H617">
        <f>SUM(B617:G617)</f>
        <v>0.3985377806543341</v>
      </c>
      <c r="I617" t="str">
        <f>IF(H617&gt;$L$5/10*9,"1",IF(H617&gt;$L$5/10*8,"2",IF(H617&gt;$L$5/10*7,"3",IF(H617&gt;$L$5/10*6,"4",IF(H617&gt;$L$5/10*5,"5",IF(H617&gt;$L$5/10*4,"6",IF(H617&gt;$L$5/10*3,"7",IF(H617&gt;$L$5/10*2,"8",IF(H617&gt;$L$5/10,"9","10")))))))))</f>
        <v>5</v>
      </c>
    </row>
    <row r="618" spans="1:9" x14ac:dyDescent="0.55000000000000004">
      <c r="A618">
        <v>2005</v>
      </c>
      <c r="B618">
        <f>estuary_data!U612*weights!$C$2</f>
        <v>5.9547294309247809E-2</v>
      </c>
      <c r="C618">
        <f>estuary_data!R612*weights!$C$5</f>
        <v>5.5591566370428017E-2</v>
      </c>
      <c r="D618">
        <f>estuary_data!V612*weights!$C$3</f>
        <v>5.5999373908497456E-2</v>
      </c>
      <c r="E618">
        <f>estuary_data!S612*weights!$C$6</f>
        <v>3.1188892846797298E-2</v>
      </c>
      <c r="F618">
        <f>estuary_data!W612*weights!$C$4</f>
        <v>0.17945874064278466</v>
      </c>
      <c r="G618">
        <f>estuary_data!T612*weights!$C$7</f>
        <v>3.2314273173191042E-2</v>
      </c>
      <c r="H618">
        <f>SUM(B618:G618)</f>
        <v>0.4141001412509463</v>
      </c>
      <c r="I618" t="str">
        <f>IF(H618&gt;$L$5/10*9,"1",IF(H618&gt;$L$5/10*8,"2",IF(H618&gt;$L$5/10*7,"3",IF(H618&gt;$L$5/10*6,"4",IF(H618&gt;$L$5/10*5,"5",IF(H618&gt;$L$5/10*4,"6",IF(H618&gt;$L$5/10*3,"7",IF(H618&gt;$L$5/10*2,"8",IF(H618&gt;$L$5/10,"9","10")))))))))</f>
        <v>4</v>
      </c>
    </row>
    <row r="619" spans="1:9" x14ac:dyDescent="0.55000000000000004">
      <c r="A619">
        <v>2006</v>
      </c>
      <c r="B619">
        <f>estuary_data!U613*weights!$C$2</f>
        <v>6.2936320536507162E-2</v>
      </c>
      <c r="C619">
        <f>estuary_data!R613*weights!$C$5</f>
        <v>5.6974148181780079E-2</v>
      </c>
      <c r="D619">
        <f>estuary_data!V613*weights!$C$3</f>
        <v>5.2916945818117608E-2</v>
      </c>
      <c r="E619">
        <f>estuary_data!S613*weights!$C$6</f>
        <v>3.2039293470737633E-2</v>
      </c>
      <c r="F619">
        <f>estuary_data!W613*weights!$C$4</f>
        <v>0.1750515695355031</v>
      </c>
      <c r="G619">
        <f>estuary_data!T613*weights!$C$7</f>
        <v>3.2607346037687758E-2</v>
      </c>
      <c r="H619">
        <f>SUM(B619:G619)</f>
        <v>0.4125256235803334</v>
      </c>
      <c r="I619" t="str">
        <f>IF(H619&gt;$L$5/10*9,"1",IF(H619&gt;$L$5/10*8,"2",IF(H619&gt;$L$5/10*7,"3",IF(H619&gt;$L$5/10*6,"4",IF(H619&gt;$L$5/10*5,"5",IF(H619&gt;$L$5/10*4,"6",IF(H619&gt;$L$5/10*3,"7",IF(H619&gt;$L$5/10*2,"8",IF(H619&gt;$L$5/10,"9","10")))))))))</f>
        <v>4</v>
      </c>
    </row>
    <row r="620" spans="1:9" x14ac:dyDescent="0.55000000000000004">
      <c r="A620">
        <v>2007</v>
      </c>
      <c r="B620">
        <f>estuary_data!U614*weights!$C$2</f>
        <v>5.8760912905360119E-2</v>
      </c>
      <c r="C620">
        <f>estuary_data!R614*weights!$C$5</f>
        <v>5.6010144035630087E-2</v>
      </c>
      <c r="D620">
        <f>estuary_data!V614*weights!$C$3</f>
        <v>5.1851339983356226E-2</v>
      </c>
      <c r="E620">
        <f>estuary_data!S614*weights!$C$6</f>
        <v>3.2313036921854089E-2</v>
      </c>
      <c r="F620">
        <f>estuary_data!W614*weights!$C$4</f>
        <v>0.1679535255489214</v>
      </c>
      <c r="G620">
        <f>estuary_data!T614*weights!$C$7</f>
        <v>3.3992514377626647E-2</v>
      </c>
      <c r="H620">
        <f>SUM(B620:G620)</f>
        <v>0.40088147377274852</v>
      </c>
      <c r="I620" t="str">
        <f>IF(H620&gt;$L$5/10*9,"1",IF(H620&gt;$L$5/10*8,"2",IF(H620&gt;$L$5/10*7,"3",IF(H620&gt;$L$5/10*6,"4",IF(H620&gt;$L$5/10*5,"5",IF(H620&gt;$L$5/10*4,"6",IF(H620&gt;$L$5/10*3,"7",IF(H620&gt;$L$5/10*2,"8",IF(H620&gt;$L$5/10,"9","10")))))))))</f>
        <v>4</v>
      </c>
    </row>
    <row r="621" spans="1:9" x14ac:dyDescent="0.55000000000000004">
      <c r="A621">
        <v>2008</v>
      </c>
      <c r="B621">
        <f>estuary_data!U615*weights!$C$2</f>
        <v>5.4540640362962106E-2</v>
      </c>
      <c r="C621">
        <f>estuary_data!R615*weights!$C$5</f>
        <v>5.2736222679359811E-2</v>
      </c>
      <c r="D621">
        <f>estuary_data!V615*weights!$C$3</f>
        <v>4.6678348868414571E-2</v>
      </c>
      <c r="E621">
        <f>estuary_data!S615*weights!$C$6</f>
        <v>3.6220010033165509E-2</v>
      </c>
      <c r="F621">
        <f>estuary_data!W615*weights!$C$4</f>
        <v>0.14635324156590021</v>
      </c>
      <c r="G621">
        <f>estuary_data!T615*weights!$C$7</f>
        <v>4.3864056953778451E-2</v>
      </c>
      <c r="H621">
        <f>SUM(B621:G621)</f>
        <v>0.38039252046358069</v>
      </c>
      <c r="I621" t="str">
        <f>IF(H621&gt;$L$5/10*9,"1",IF(H621&gt;$L$5/10*8,"2",IF(H621&gt;$L$5/10*7,"3",IF(H621&gt;$L$5/10*6,"4",IF(H621&gt;$L$5/10*5,"5",IF(H621&gt;$L$5/10*4,"6",IF(H621&gt;$L$5/10*3,"7",IF(H621&gt;$L$5/10*2,"8",IF(H621&gt;$L$5/10,"9","10")))))))))</f>
        <v>5</v>
      </c>
    </row>
    <row r="622" spans="1:9" x14ac:dyDescent="0.55000000000000004">
      <c r="A622">
        <v>2009</v>
      </c>
      <c r="B622">
        <f>estuary_data!U616*weights!$C$2</f>
        <v>3.7284639451822248E-2</v>
      </c>
      <c r="C622">
        <f>estuary_data!R616*weights!$C$5</f>
        <v>4.4853789276117072E-2</v>
      </c>
      <c r="D622">
        <f>estuary_data!V616*weights!$C$3</f>
        <v>2.771470936384E-2</v>
      </c>
      <c r="E622">
        <f>estuary_data!S616*weights!$C$6</f>
        <v>5.4039450953444465E-2</v>
      </c>
      <c r="F622">
        <f>estuary_data!W616*weights!$C$4</f>
        <v>5.5479763916573319E-2</v>
      </c>
      <c r="G622">
        <f>estuary_data!T616*weights!$C$7</f>
        <v>8.2259100022482212E-2</v>
      </c>
      <c r="H622">
        <f>SUM(B622:G622)</f>
        <v>0.30163145298427935</v>
      </c>
      <c r="I622" t="str">
        <f>IF(H622&gt;$L$5/10*9,"1",IF(H622&gt;$L$5/10*8,"2",IF(H622&gt;$L$5/10*7,"3",IF(H622&gt;$L$5/10*6,"4",IF(H622&gt;$L$5/10*5,"5",IF(H622&gt;$L$5/10*4,"6",IF(H622&gt;$L$5/10*3,"7",IF(H622&gt;$L$5/10*2,"8",IF(H622&gt;$L$5/10,"9","10")))))))))</f>
        <v>6</v>
      </c>
    </row>
    <row r="623" spans="1:9" x14ac:dyDescent="0.55000000000000004">
      <c r="A623">
        <v>2010</v>
      </c>
      <c r="B623">
        <f>estuary_data!U617*weights!$C$2</f>
        <v>3.2598017140867422E-2</v>
      </c>
      <c r="C623">
        <f>estuary_data!R617*weights!$C$5</f>
        <v>4.1969026182905524E-2</v>
      </c>
      <c r="D623">
        <f>estuary_data!V617*weights!$C$3</f>
        <v>2.45609427365878E-2</v>
      </c>
      <c r="E623">
        <f>estuary_data!S617*weights!$C$6</f>
        <v>5.6408796942226107E-2</v>
      </c>
      <c r="F623">
        <f>estuary_data!W617*weights!$C$4</f>
        <v>3.2236718629441816E-2</v>
      </c>
      <c r="G623">
        <f>estuary_data!T617*weights!$C$7</f>
        <v>8.7544624293265594E-2</v>
      </c>
      <c r="H623">
        <f>SUM(B623:G623)</f>
        <v>0.27531812592529425</v>
      </c>
      <c r="I623" t="str">
        <f>IF(H623&gt;$L$5/10*9,"1",IF(H623&gt;$L$5/10*8,"2",IF(H623&gt;$L$5/10*7,"3",IF(H623&gt;$L$5/10*6,"4",IF(H623&gt;$L$5/10*5,"5",IF(H623&gt;$L$5/10*4,"6",IF(H623&gt;$L$5/10*3,"7",IF(H623&gt;$L$5/10*2,"8",IF(H623&gt;$L$5/10,"9","10")))))))))</f>
        <v>6</v>
      </c>
    </row>
    <row r="624" spans="1:9" x14ac:dyDescent="0.55000000000000004">
      <c r="A624">
        <v>2011</v>
      </c>
      <c r="B624">
        <f>estuary_data!U618*weights!$C$2</f>
        <v>2.8820952197535648E-2</v>
      </c>
      <c r="C624">
        <f>estuary_data!R618*weights!$C$5</f>
        <v>4.0165979421387277E-2</v>
      </c>
      <c r="D624">
        <f>estuary_data!V618*weights!$C$3</f>
        <v>1.9215620798652331E-2</v>
      </c>
      <c r="E624">
        <f>estuary_data!S618*weights!$C$6</f>
        <v>5.7163641728415059E-2</v>
      </c>
      <c r="F624">
        <f>estuary_data!W618*weights!$C$4</f>
        <v>1.1770111845952932E-2</v>
      </c>
      <c r="G624">
        <f>estuary_data!T618*weights!$C$7</f>
        <v>8.9701297867713151E-2</v>
      </c>
      <c r="H624">
        <f>SUM(B624:G624)</f>
        <v>0.24683760385965636</v>
      </c>
      <c r="I624" t="str">
        <f>IF(H624&gt;$L$5/10*9,"1",IF(H624&gt;$L$5/10*8,"2",IF(H624&gt;$L$5/10*7,"3",IF(H624&gt;$L$5/10*6,"4",IF(H624&gt;$L$5/10*5,"5",IF(H624&gt;$L$5/10*4,"6",IF(H624&gt;$L$5/10*3,"7",IF(H624&gt;$L$5/10*2,"8",IF(H624&gt;$L$5/10,"9","10")))))))))</f>
        <v>7</v>
      </c>
    </row>
    <row r="625" spans="1:9" x14ac:dyDescent="0.55000000000000004">
      <c r="A625">
        <v>2012</v>
      </c>
      <c r="B625">
        <f>estuary_data!U619*weights!$C$2</f>
        <v>2.918770946589332E-2</v>
      </c>
      <c r="C625">
        <f>estuary_data!R619*weights!$C$5</f>
        <v>3.5683367204308161E-2</v>
      </c>
      <c r="D625">
        <f>estuary_data!V619*weights!$C$3</f>
        <v>1.7517051793195342E-2</v>
      </c>
      <c r="E625">
        <f>estuary_data!S619*weights!$C$6</f>
        <v>5.9874464611646493E-2</v>
      </c>
      <c r="F625">
        <f>estuary_data!W619*weights!$C$4</f>
        <v>1.1160020585379973E-2</v>
      </c>
      <c r="G625">
        <f>estuary_data!T619*weights!$C$7</f>
        <v>9.6853016433333397E-2</v>
      </c>
      <c r="H625">
        <f>SUM(B625:G625)</f>
        <v>0.2502756300937567</v>
      </c>
      <c r="I625" t="str">
        <f>IF(H625&gt;$L$5/10*9,"1",IF(H625&gt;$L$5/10*8,"2",IF(H625&gt;$L$5/10*7,"3",IF(H625&gt;$L$5/10*6,"4",IF(H625&gt;$L$5/10*5,"5",IF(H625&gt;$L$5/10*4,"6",IF(H625&gt;$L$5/10*3,"7",IF(H625&gt;$L$5/10*2,"8",IF(H625&gt;$L$5/10,"9","10")))))))))</f>
        <v>7</v>
      </c>
    </row>
    <row r="626" spans="1:9" x14ac:dyDescent="0.55000000000000004">
      <c r="A626">
        <v>2013</v>
      </c>
      <c r="B626">
        <f>estuary_data!U620*weights!$C$2</f>
        <v>2.718042299220666E-2</v>
      </c>
      <c r="C626">
        <f>estuary_data!R620*weights!$C$5</f>
        <v>3.3164291682103941E-2</v>
      </c>
      <c r="D626">
        <f>estuary_data!V620*weights!$C$3</f>
        <v>1.6677058134993896E-2</v>
      </c>
      <c r="E626">
        <f>estuary_data!S620*weights!$C$6</f>
        <v>6.3099985551702389E-2</v>
      </c>
      <c r="F626">
        <f>estuary_data!W620*weights!$C$4</f>
        <v>9.2630482725915425E-3</v>
      </c>
      <c r="G626">
        <f>estuary_data!T620*weights!$C$7</f>
        <v>0.10366458444076357</v>
      </c>
      <c r="H626">
        <f>SUM(B626:G626)</f>
        <v>0.25304939107436197</v>
      </c>
      <c r="I626" t="str">
        <f>IF(H626&gt;$L$5/10*9,"1",IF(H626&gt;$L$5/10*8,"2",IF(H626&gt;$L$5/10*7,"3",IF(H626&gt;$L$5/10*6,"4",IF(H626&gt;$L$5/10*5,"5",IF(H626&gt;$L$5/10*4,"6",IF(H626&gt;$L$5/10*3,"7",IF(H626&gt;$L$5/10*2,"8",IF(H626&gt;$L$5/10,"9","10")))))))))</f>
        <v>7</v>
      </c>
    </row>
    <row r="627" spans="1:9" x14ac:dyDescent="0.55000000000000004">
      <c r="A627">
        <v>2014</v>
      </c>
      <c r="B627">
        <f>estuary_data!U621*weights!$C$2</f>
        <v>2.5722895297564712E-2</v>
      </c>
      <c r="C627">
        <f>estuary_data!R621*weights!$C$5</f>
        <v>2.8465491303558171E-2</v>
      </c>
      <c r="D627">
        <f>estuary_data!V621*weights!$C$3</f>
        <v>1.4939458971825264E-2</v>
      </c>
      <c r="E627">
        <f>estuary_data!S621*weights!$C$6</f>
        <v>6.7937140374907695E-2</v>
      </c>
      <c r="F627">
        <f>estuary_data!W621*weights!$C$4</f>
        <v>0</v>
      </c>
      <c r="G627">
        <f>estuary_data!T621*weights!$C$7</f>
        <v>0.11468167972509823</v>
      </c>
      <c r="H627">
        <f>SUM(B627:G627)</f>
        <v>0.25174666567295406</v>
      </c>
      <c r="I627" t="str">
        <f>IF(H627&gt;$L$5/10*9,"1",IF(H627&gt;$L$5/10*8,"2",IF(H627&gt;$L$5/10*7,"3",IF(H627&gt;$L$5/10*6,"4",IF(H627&gt;$L$5/10*5,"5",IF(H627&gt;$L$5/10*4,"6",IF(H627&gt;$L$5/10*3,"7",IF(H627&gt;$L$5/10*2,"8",IF(H627&gt;$L$5/10,"9","10")))))))))</f>
        <v>7</v>
      </c>
    </row>
    <row r="628" spans="1:9" x14ac:dyDescent="0.55000000000000004">
      <c r="A628">
        <v>2015</v>
      </c>
      <c r="B628">
        <f>estuary_data!U622*weights!$C$2</f>
        <v>2.7362333528716656E-2</v>
      </c>
      <c r="C628">
        <f>estuary_data!R622*weights!$C$5</f>
        <v>3.1156860849507265E-2</v>
      </c>
      <c r="D628">
        <f>estuary_data!V622*weights!$C$3</f>
        <v>1.5813361954812918E-2</v>
      </c>
      <c r="E628">
        <f>estuary_data!S622*weights!$C$6</f>
        <v>6.300387803997673E-2</v>
      </c>
      <c r="F628">
        <f>estuary_data!W622*weights!$C$4</f>
        <v>5.411286461118171E-3</v>
      </c>
      <c r="G628">
        <f>estuary_data!T622*weights!$C$7</f>
        <v>0.10375457398218266</v>
      </c>
      <c r="H628">
        <f>SUM(B628:G628)</f>
        <v>0.24650229481631439</v>
      </c>
      <c r="I628" t="str">
        <f>IF(H628&gt;$L$5/10*9,"1",IF(H628&gt;$L$5/10*8,"2",IF(H628&gt;$L$5/10*7,"3",IF(H628&gt;$L$5/10*6,"4",IF(H628&gt;$L$5/10*5,"5",IF(H628&gt;$L$5/10*4,"6",IF(H628&gt;$L$5/10*3,"7",IF(H628&gt;$L$5/10*2,"8",IF(H628&gt;$L$5/10,"9","10")))))))))</f>
        <v>7</v>
      </c>
    </row>
    <row r="629" spans="1:9" x14ac:dyDescent="0.55000000000000004">
      <c r="A629">
        <v>2016</v>
      </c>
      <c r="B629">
        <f>estuary_data!U623*weights!$C$2</f>
        <v>2.6899459386879425E-2</v>
      </c>
      <c r="C629">
        <f>estuary_data!R623*weights!$C$5</f>
        <v>3.3946150310540567E-2</v>
      </c>
      <c r="D629">
        <f>estuary_data!V623*weights!$C$3</f>
        <v>1.7697757412862371E-2</v>
      </c>
      <c r="E629">
        <f>estuary_data!S623*weights!$C$6</f>
        <v>5.8565526815345784E-2</v>
      </c>
      <c r="F629">
        <f>estuary_data!W623*weights!$C$4</f>
        <v>1.1130378635616184E-2</v>
      </c>
      <c r="G629">
        <f>estuary_data!T623*weights!$C$7</f>
        <v>9.3741226764843866E-2</v>
      </c>
      <c r="H629">
        <f>SUM(B629:G629)</f>
        <v>0.2419804993260882</v>
      </c>
      <c r="I629" t="str">
        <f>IF(H629&gt;$L$5/10*9,"1",IF(H629&gt;$L$5/10*8,"2",IF(H629&gt;$L$5/10*7,"3",IF(H629&gt;$L$5/10*6,"4",IF(H629&gt;$L$5/10*5,"5",IF(H629&gt;$L$5/10*4,"6",IF(H629&gt;$L$5/10*3,"7",IF(H629&gt;$L$5/10*2,"8",IF(H629&gt;$L$5/10,"9","10")))))))))</f>
        <v>7</v>
      </c>
    </row>
    <row r="630" spans="1:9" x14ac:dyDescent="0.55000000000000004">
      <c r="A630">
        <v>2017</v>
      </c>
      <c r="B630">
        <f>estuary_data!U624*weights!$C$2</f>
        <v>2.838252402131955E-2</v>
      </c>
      <c r="C630">
        <f>estuary_data!R624*weights!$C$5</f>
        <v>3.6509665387677942E-2</v>
      </c>
      <c r="D630">
        <f>estuary_data!V624*weights!$C$3</f>
        <v>1.5635787365701329E-2</v>
      </c>
      <c r="E630">
        <f>estuary_data!S624*weights!$C$6</f>
        <v>5.5242332788739294E-2</v>
      </c>
      <c r="F630">
        <f>estuary_data!W624*weights!$C$4</f>
        <v>8.5174265428135162E-3</v>
      </c>
      <c r="G630">
        <f>estuary_data!T624*weights!$C$7</f>
        <v>8.6153727227597413E-2</v>
      </c>
      <c r="H630">
        <f>SUM(B630:G630)</f>
        <v>0.23044146333384902</v>
      </c>
      <c r="I630" t="str">
        <f>IF(H630&gt;$L$5/10*9,"1",IF(H630&gt;$L$5/10*8,"2",IF(H630&gt;$L$5/10*7,"3",IF(H630&gt;$L$5/10*6,"4",IF(H630&gt;$L$5/10*5,"5",IF(H630&gt;$L$5/10*4,"6",IF(H630&gt;$L$5/10*3,"7",IF(H630&gt;$L$5/10*2,"8",IF(H630&gt;$L$5/10,"9","10")))))))))</f>
        <v>7</v>
      </c>
    </row>
    <row r="631" spans="1:9" x14ac:dyDescent="0.55000000000000004">
      <c r="A631">
        <v>2018</v>
      </c>
      <c r="B631">
        <f>estuary_data!U625*weights!$C$2</f>
        <v>2.7288748319784794E-2</v>
      </c>
      <c r="C631">
        <f>estuary_data!R625*weights!$C$5</f>
        <v>4.0170776507121073E-2</v>
      </c>
      <c r="D631">
        <f>estuary_data!V625*weights!$C$3</f>
        <v>1.7596976137545968E-2</v>
      </c>
      <c r="E631">
        <f>estuary_data!S625*weights!$C$6</f>
        <v>4.9116889462330955E-2</v>
      </c>
      <c r="F631">
        <f>estuary_data!W625*weights!$C$4</f>
        <v>1.7080705074183265E-2</v>
      </c>
      <c r="G631">
        <f>estuary_data!T625*weights!$C$7</f>
        <v>7.2196281657572886E-2</v>
      </c>
      <c r="H631">
        <f>SUM(B631:G631)</f>
        <v>0.22345037715853894</v>
      </c>
      <c r="I631" t="str">
        <f>IF(H631&gt;$L$5/10*9,"1",IF(H631&gt;$L$5/10*8,"2",IF(H631&gt;$L$5/10*7,"3",IF(H631&gt;$L$5/10*6,"4",IF(H631&gt;$L$5/10*5,"5",IF(H631&gt;$L$5/10*4,"6",IF(H631&gt;$L$5/10*3,"7",IF(H631&gt;$L$5/10*2,"8",IF(H631&gt;$L$5/10,"9","10")))))))))</f>
        <v>7</v>
      </c>
    </row>
    <row r="632" spans="1:9" x14ac:dyDescent="0.55000000000000004">
      <c r="A632">
        <v>2019</v>
      </c>
      <c r="B632">
        <f>estuary_data!U626*weights!$C$2</f>
        <v>2.6975656873145636E-2</v>
      </c>
      <c r="C632">
        <f>estuary_data!R626*weights!$C$5</f>
        <v>4.0632261384374715E-2</v>
      </c>
      <c r="D632">
        <f>estuary_data!V626*weights!$C$3</f>
        <v>1.7767573295735119E-2</v>
      </c>
      <c r="E632">
        <f>estuary_data!S626*weights!$C$6</f>
        <v>4.8716600622723497E-2</v>
      </c>
      <c r="F632">
        <f>estuary_data!W626*weights!$C$4</f>
        <v>1.666092414078699E-2</v>
      </c>
      <c r="G632">
        <f>estuary_data!T626*weights!$C$7</f>
        <v>7.1163237851074548E-2</v>
      </c>
      <c r="H632">
        <f>SUM(B632:G632)</f>
        <v>0.2219162541678405</v>
      </c>
      <c r="I632" t="str">
        <f>IF(H632&gt;$L$5/10*9,"1",IF(H632&gt;$L$5/10*8,"2",IF(H632&gt;$L$5/10*7,"3",IF(H632&gt;$L$5/10*6,"4",IF(H632&gt;$L$5/10*5,"5",IF(H632&gt;$L$5/10*4,"6",IF(H632&gt;$L$5/10*3,"7",IF(H632&gt;$L$5/10*2,"8",IF(H632&gt;$L$5/10,"9","10")))))))))</f>
        <v>7</v>
      </c>
    </row>
    <row r="633" spans="1:9" x14ac:dyDescent="0.55000000000000004">
      <c r="A633">
        <v>2020</v>
      </c>
      <c r="B633">
        <f>estuary_data!U627*weights!$C$2</f>
        <v>3.1403306266861622E-2</v>
      </c>
      <c r="C633">
        <f>estuary_data!R627*weights!$C$5</f>
        <v>4.6173239888637391E-2</v>
      </c>
      <c r="D633">
        <f>estuary_data!V627*weights!$C$3</f>
        <v>1.9156803245170821E-2</v>
      </c>
      <c r="E633">
        <f>estuary_data!S627*weights!$C$6</f>
        <v>4.2497587744600017E-2</v>
      </c>
      <c r="F633">
        <f>estuary_data!W627*weights!$C$4</f>
        <v>1.9852027580745231E-2</v>
      </c>
      <c r="G633">
        <f>estuary_data!T627*weights!$C$7</f>
        <v>5.6953312275350339E-2</v>
      </c>
      <c r="H633">
        <f>SUM(B633:G633)</f>
        <v>0.21603627700136541</v>
      </c>
      <c r="I633" t="str">
        <f>IF(H633&gt;$L$5/10*9,"1",IF(H633&gt;$L$5/10*8,"2",IF(H633&gt;$L$5/10*7,"3",IF(H633&gt;$L$5/10*6,"4",IF(H633&gt;$L$5/10*5,"5",IF(H633&gt;$L$5/10*4,"6",IF(H633&gt;$L$5/10*3,"7",IF(H633&gt;$L$5/10*2,"8",IF(H633&gt;$L$5/10,"9","10")))))))))</f>
        <v>7</v>
      </c>
    </row>
    <row r="634" spans="1:9" x14ac:dyDescent="0.55000000000000004">
      <c r="A634">
        <v>2021</v>
      </c>
      <c r="B634">
        <f>estuary_data!U628*weights!$C$2</f>
        <v>2.8852955136783376E-2</v>
      </c>
      <c r="C634">
        <f>estuary_data!R628*weights!$C$5</f>
        <v>4.7394832205942254E-2</v>
      </c>
      <c r="D634">
        <f>estuary_data!V628*weights!$C$3</f>
        <v>1.8140972499426058E-2</v>
      </c>
      <c r="E634">
        <f>estuary_data!S628*weights!$C$6</f>
        <v>3.9138577733095939E-2</v>
      </c>
      <c r="F634">
        <f>estuary_data!W628*weights!$C$4</f>
        <v>1.4997261854389956E-2</v>
      </c>
      <c r="G634">
        <f>estuary_data!T628*weights!$C$7</f>
        <v>4.9284504592555213E-2</v>
      </c>
      <c r="H634">
        <f>SUM(B634:G634)</f>
        <v>0.19780910402219282</v>
      </c>
      <c r="I634" t="str">
        <f>IF(H634&gt;$L$5/10*9,"1",IF(H634&gt;$L$5/10*8,"2",IF(H634&gt;$L$5/10*7,"3",IF(H634&gt;$L$5/10*6,"4",IF(H634&gt;$L$5/10*5,"5",IF(H634&gt;$L$5/10*4,"6",IF(H634&gt;$L$5/10*3,"7",IF(H634&gt;$L$5/10*2,"8",IF(H634&gt;$L$5/10,"9","10")))))))))</f>
        <v>8</v>
      </c>
    </row>
    <row r="635" spans="1:9" x14ac:dyDescent="0.55000000000000004">
      <c r="A635">
        <v>2022</v>
      </c>
      <c r="B635">
        <f>estuary_data!U629*weights!$C$2</f>
        <v>3.0649009342435883E-2</v>
      </c>
      <c r="C635">
        <f>estuary_data!R629*weights!$C$5</f>
        <v>4.8967503125014744E-2</v>
      </c>
      <c r="D635">
        <f>estuary_data!V629*weights!$C$3</f>
        <v>1.8359943704604545E-2</v>
      </c>
      <c r="E635">
        <f>estuary_data!S629*weights!$C$6</f>
        <v>3.6759827336614488E-2</v>
      </c>
      <c r="F635">
        <f>estuary_data!W629*weights!$C$4</f>
        <v>2.3977892697065014E-2</v>
      </c>
      <c r="G635">
        <f>estuary_data!T629*weights!$C$7</f>
        <v>4.3817790451497217E-2</v>
      </c>
      <c r="H635">
        <f>SUM(B635:G635)</f>
        <v>0.20253196665723192</v>
      </c>
      <c r="I635" t="str">
        <f>IF(H635&gt;$L$5/10*9,"1",IF(H635&gt;$L$5/10*8,"2",IF(H635&gt;$L$5/10*7,"3",IF(H635&gt;$L$5/10*6,"4",IF(H635&gt;$L$5/10*5,"5",IF(H635&gt;$L$5/10*4,"6",IF(H635&gt;$L$5/10*3,"7",IF(H635&gt;$L$5/10*2,"8",IF(H635&gt;$L$5/10,"9","10")))))))))</f>
        <v>7</v>
      </c>
    </row>
    <row r="636" spans="1:9" x14ac:dyDescent="0.55000000000000004">
      <c r="A636">
        <v>2023</v>
      </c>
      <c r="B636">
        <f>estuary_data!U630*weights!$C$2</f>
        <v>3.1475392800544046E-2</v>
      </c>
      <c r="C636">
        <f>estuary_data!R630*weights!$C$5</f>
        <v>4.9670628198084925E-2</v>
      </c>
      <c r="D636">
        <f>estuary_data!V630*weights!$C$3</f>
        <v>1.8216212472576963E-2</v>
      </c>
      <c r="E636">
        <f>estuary_data!S630*weights!$C$6</f>
        <v>3.5332663620452016E-2</v>
      </c>
      <c r="F636">
        <f>estuary_data!W630*weights!$C$4</f>
        <v>2.4150779255770416E-2</v>
      </c>
      <c r="G636">
        <f>estuary_data!T630*weights!$C$7</f>
        <v>4.0963900516475915E-2</v>
      </c>
      <c r="H636">
        <f>SUM(B636:G636)</f>
        <v>0.19980957686390427</v>
      </c>
      <c r="I636" t="str">
        <f>IF(H636&gt;$L$5/10*9,"1",IF(H636&gt;$L$5/10*8,"2",IF(H636&gt;$L$5/10*7,"3",IF(H636&gt;$L$5/10*6,"4",IF(H636&gt;$L$5/10*5,"5",IF(H636&gt;$L$5/10*4,"6",IF(H636&gt;$L$5/10*3,"7",IF(H636&gt;$L$5/10*2,"8",IF(H636&gt;$L$5/10,"9","10")))))))))</f>
        <v>7</v>
      </c>
    </row>
    <row r="637" spans="1:9" x14ac:dyDescent="0.55000000000000004">
      <c r="A637">
        <v>2024</v>
      </c>
      <c r="B637">
        <f>estuary_data!U631*weights!$C$2</f>
        <v>3.2109122001430908E-2</v>
      </c>
      <c r="C637">
        <f>estuary_data!R631*weights!$C$5</f>
        <v>4.9550932056491546E-2</v>
      </c>
      <c r="D637">
        <f>estuary_data!V631*weights!$C$3</f>
        <v>1.7822620232396703E-2</v>
      </c>
      <c r="E637">
        <f>estuary_data!S631*weights!$C$6</f>
        <v>3.5036228912459028E-2</v>
      </c>
      <c r="F637">
        <f>estuary_data!W631*weights!$C$4</f>
        <v>2.3138065026439218E-2</v>
      </c>
      <c r="G637">
        <f>estuary_data!T631*weights!$C$7</f>
        <v>4.0438061199425737E-2</v>
      </c>
      <c r="H637">
        <f>SUM(B637:G637)</f>
        <v>0.19809502942864315</v>
      </c>
      <c r="I637" t="str">
        <f>IF(H637&gt;$L$5/10*9,"1",IF(H637&gt;$L$5/10*8,"2",IF(H637&gt;$L$5/10*7,"3",IF(H637&gt;$L$5/10*6,"4",IF(H637&gt;$L$5/10*5,"5",IF(H637&gt;$L$5/10*4,"6",IF(H637&gt;$L$5/10*3,"7",IF(H637&gt;$L$5/10*2,"8",IF(H637&gt;$L$5/10,"9","10")))))))))</f>
        <v>8</v>
      </c>
    </row>
    <row r="638" spans="1:9" x14ac:dyDescent="0.55000000000000004">
      <c r="A638">
        <v>2025</v>
      </c>
      <c r="B638">
        <f>estuary_data!U632*weights!$C$2</f>
        <v>3.2336113710188207E-2</v>
      </c>
      <c r="C638">
        <f>estuary_data!R632*weights!$C$5</f>
        <v>4.9611960651116643E-2</v>
      </c>
      <c r="D638">
        <f>estuary_data!V632*weights!$C$3</f>
        <v>2.0636369500384617E-2</v>
      </c>
      <c r="E638">
        <f>estuary_data!S632*weights!$C$6</f>
        <v>3.3952392757120475E-2</v>
      </c>
      <c r="F638">
        <f>estuary_data!W632*weights!$C$4</f>
        <v>2.5017594490003424E-2</v>
      </c>
      <c r="G638">
        <f>estuary_data!T632*weights!$C$7</f>
        <v>3.8484015810480422E-2</v>
      </c>
      <c r="H638">
        <f>SUM(B638:G638)</f>
        <v>0.20003844691929379</v>
      </c>
      <c r="I638" t="str">
        <f>IF(H638&gt;$L$5/10*9,"1",IF(H638&gt;$L$5/10*8,"2",IF(H638&gt;$L$5/10*7,"3",IF(H638&gt;$L$5/10*6,"4",IF(H638&gt;$L$5/10*5,"5",IF(H638&gt;$L$5/10*4,"6",IF(H638&gt;$L$5/10*3,"7",IF(H638&gt;$L$5/10*2,"8",IF(H638&gt;$L$5/10,"9","10")))))))))</f>
        <v>7</v>
      </c>
    </row>
    <row r="639" spans="1:9" x14ac:dyDescent="0.55000000000000004">
      <c r="A639">
        <v>2026</v>
      </c>
      <c r="B639">
        <f>estuary_data!U633*weights!$C$2</f>
        <v>3.1905389489317794E-2</v>
      </c>
      <c r="C639">
        <f>estuary_data!R633*weights!$C$5</f>
        <v>4.9750805740749596E-2</v>
      </c>
      <c r="D639">
        <f>estuary_data!V633*weights!$C$3</f>
        <v>2.1149616425871216E-2</v>
      </c>
      <c r="E639">
        <f>estuary_data!S633*weights!$C$6</f>
        <v>3.353161884618798E-2</v>
      </c>
      <c r="F639">
        <f>estuary_data!W633*weights!$C$4</f>
        <v>2.4036706658516135E-2</v>
      </c>
      <c r="G639">
        <f>estuary_data!T633*weights!$C$7</f>
        <v>3.7946218490537989E-2</v>
      </c>
      <c r="H639">
        <f>SUM(B639:G639)</f>
        <v>0.19832035565118072</v>
      </c>
      <c r="I639" t="str">
        <f>IF(H639&gt;$L$5/10*9,"1",IF(H639&gt;$L$5/10*8,"2",IF(H639&gt;$L$5/10*7,"3",IF(H639&gt;$L$5/10*6,"4",IF(H639&gt;$L$5/10*5,"5",IF(H639&gt;$L$5/10*4,"6",IF(H639&gt;$L$5/10*3,"7",IF(H639&gt;$L$5/10*2,"8",IF(H639&gt;$L$5/10,"9","10")))))))))</f>
        <v>8</v>
      </c>
    </row>
    <row r="640" spans="1:9" x14ac:dyDescent="0.55000000000000004">
      <c r="A640">
        <v>2027</v>
      </c>
      <c r="B640">
        <f>estuary_data!U634*weights!$C$2</f>
        <v>2.9884328800018636E-2</v>
      </c>
      <c r="C640">
        <f>estuary_data!R634*weights!$C$5</f>
        <v>4.7902330784869274E-2</v>
      </c>
      <c r="D640">
        <f>estuary_data!V634*weights!$C$3</f>
        <v>2.0967428016477767E-2</v>
      </c>
      <c r="E640">
        <f>estuary_data!S634*weights!$C$6</f>
        <v>3.4184835316374979E-2</v>
      </c>
      <c r="F640">
        <f>estuary_data!W634*weights!$C$4</f>
        <v>2.1624197846018066E-2</v>
      </c>
      <c r="G640">
        <f>estuary_data!T634*weights!$C$7</f>
        <v>4.0387210791060064E-2</v>
      </c>
      <c r="H640">
        <f>SUM(B640:G640)</f>
        <v>0.19495033155481878</v>
      </c>
      <c r="I640" t="str">
        <f>IF(H640&gt;$L$5/10*9,"1",IF(H640&gt;$L$5/10*8,"2",IF(H640&gt;$L$5/10*7,"3",IF(H640&gt;$L$5/10*6,"4",IF(H640&gt;$L$5/10*5,"5",IF(H640&gt;$L$5/10*4,"6",IF(H640&gt;$L$5/10*3,"7",IF(H640&gt;$L$5/10*2,"8",IF(H640&gt;$L$5/10,"9","10")))))))))</f>
        <v>8</v>
      </c>
    </row>
    <row r="641" spans="1:9" x14ac:dyDescent="0.55000000000000004">
      <c r="A641">
        <v>2028</v>
      </c>
      <c r="B641">
        <f>estuary_data!U635*weights!$C$2</f>
        <v>4.1050452742703351E-2</v>
      </c>
      <c r="C641">
        <f>estuary_data!R635*weights!$C$5</f>
        <v>4.7212745209319479E-2</v>
      </c>
      <c r="D641">
        <f>estuary_data!V635*weights!$C$3</f>
        <v>2.7348945039934253E-2</v>
      </c>
      <c r="E641">
        <f>estuary_data!S635*weights!$C$6</f>
        <v>3.4341347145759378E-2</v>
      </c>
      <c r="F641">
        <f>estuary_data!W635*weights!$C$4</f>
        <v>6.5854315004658173E-2</v>
      </c>
      <c r="G641">
        <f>estuary_data!T635*weights!$C$7</f>
        <v>4.1398223881224654E-2</v>
      </c>
      <c r="H641">
        <f>SUM(B641:G641)</f>
        <v>0.25720602902359929</v>
      </c>
      <c r="I641" t="str">
        <f>IF(H641&gt;$L$5/10*9,"1",IF(H641&gt;$L$5/10*8,"2",IF(H641&gt;$L$5/10*7,"3",IF(H641&gt;$L$5/10*6,"4",IF(H641&gt;$L$5/10*5,"5",IF(H641&gt;$L$5/10*4,"6",IF(H641&gt;$L$5/10*3,"7",IF(H641&gt;$L$5/10*2,"8",IF(H641&gt;$L$5/10,"9","10")))))))))</f>
        <v>7</v>
      </c>
    </row>
    <row r="642" spans="1:9" x14ac:dyDescent="0.55000000000000004">
      <c r="A642">
        <v>2029</v>
      </c>
      <c r="B642">
        <f>estuary_data!U636*weights!$C$2</f>
        <v>4.4208238746890706E-2</v>
      </c>
      <c r="C642">
        <f>estuary_data!R636*weights!$C$5</f>
        <v>4.1516139901817788E-2</v>
      </c>
      <c r="D642">
        <f>estuary_data!V636*weights!$C$3</f>
        <v>2.8982197014251559E-2</v>
      </c>
      <c r="E642">
        <f>estuary_data!S636*weights!$C$6</f>
        <v>3.834858364134771E-2</v>
      </c>
      <c r="F642">
        <f>estuary_data!W636*weights!$C$4</f>
        <v>7.9026291710383667E-2</v>
      </c>
      <c r="G642">
        <f>estuary_data!T636*weights!$C$7</f>
        <v>5.0844153172143587E-2</v>
      </c>
      <c r="H642">
        <f>SUM(B642:G642)</f>
        <v>0.28292560418683504</v>
      </c>
      <c r="I642" t="str">
        <f>IF(H642&gt;$L$5/10*9,"1",IF(H642&gt;$L$5/10*8,"2",IF(H642&gt;$L$5/10*7,"3",IF(H642&gt;$L$5/10*6,"4",IF(H642&gt;$L$5/10*5,"5",IF(H642&gt;$L$5/10*4,"6",IF(H642&gt;$L$5/10*3,"7",IF(H642&gt;$L$5/10*2,"8",IF(H642&gt;$L$5/10,"9","10")))))))))</f>
        <v>6</v>
      </c>
    </row>
    <row r="643" spans="1:9" x14ac:dyDescent="0.55000000000000004">
      <c r="A643">
        <v>2030</v>
      </c>
      <c r="B643">
        <f>estuary_data!U637*weights!$C$2</f>
        <v>3.6914259375660945E-2</v>
      </c>
      <c r="C643">
        <f>estuary_data!R637*weights!$C$5</f>
        <v>2.768086028762827E-2</v>
      </c>
      <c r="D643">
        <f>estuary_data!V637*weights!$C$3</f>
        <v>2.4003280445800159E-2</v>
      </c>
      <c r="E643">
        <f>estuary_data!S637*weights!$C$6</f>
        <v>5.4439863551746452E-2</v>
      </c>
      <c r="F643">
        <f>estuary_data!W637*weights!$C$4</f>
        <v>6.8151807453064192E-2</v>
      </c>
      <c r="G643">
        <f>estuary_data!T637*weights!$C$7</f>
        <v>8.8911707089378789E-2</v>
      </c>
      <c r="H643">
        <f>SUM(B643:G643)</f>
        <v>0.30010177820327882</v>
      </c>
      <c r="I643" t="str">
        <f>IF(H643&gt;$L$5/10*9,"1",IF(H643&gt;$L$5/10*8,"2",IF(H643&gt;$L$5/10*7,"3",IF(H643&gt;$L$5/10*6,"4",IF(H643&gt;$L$5/10*5,"5",IF(H643&gt;$L$5/10*4,"6",IF(H643&gt;$L$5/10*3,"7",IF(H643&gt;$L$5/10*2,"8",IF(H643&gt;$L$5/10,"9","10")))))))))</f>
        <v>6</v>
      </c>
    </row>
    <row r="644" spans="1:9" x14ac:dyDescent="0.55000000000000004">
      <c r="A644">
        <v>2031</v>
      </c>
      <c r="B644">
        <f>estuary_data!U638*weights!$C$2</f>
        <v>4.2158401140299603E-2</v>
      </c>
      <c r="C644">
        <f>estuary_data!R638*weights!$C$5</f>
        <v>2.9572400164483301E-2</v>
      </c>
      <c r="D644">
        <f>estuary_data!V638*weights!$C$3</f>
        <v>3.1054298954021099E-2</v>
      </c>
      <c r="E644">
        <f>estuary_data!S638*weights!$C$6</f>
        <v>4.7045841251125868E-2</v>
      </c>
      <c r="F644">
        <f>estuary_data!W638*weights!$C$4</f>
        <v>8.9308250612304546E-2</v>
      </c>
      <c r="G644">
        <f>estuary_data!T638*weights!$C$7</f>
        <v>7.724717878217667E-2</v>
      </c>
      <c r="H644">
        <f>SUM(B644:G644)</f>
        <v>0.31638637090441107</v>
      </c>
      <c r="I644" t="str">
        <f>IF(H644&gt;$L$5/10*9,"1",IF(H644&gt;$L$5/10*8,"2",IF(H644&gt;$L$5/10*7,"3",IF(H644&gt;$L$5/10*6,"4",IF(H644&gt;$L$5/10*5,"5",IF(H644&gt;$L$5/10*4,"6",IF(H644&gt;$L$5/10*3,"7",IF(H644&gt;$L$5/10*2,"8",IF(H644&gt;$L$5/10,"9","10")))))))))</f>
        <v>6</v>
      </c>
    </row>
    <row r="645" spans="1:9" x14ac:dyDescent="0.55000000000000004">
      <c r="A645">
        <v>2032</v>
      </c>
      <c r="B645">
        <f>estuary_data!U639*weights!$C$2</f>
        <v>5.2393129940095436E-2</v>
      </c>
      <c r="C645">
        <f>estuary_data!R639*weights!$C$5</f>
        <v>4.7090314765558021E-2</v>
      </c>
      <c r="D645">
        <f>estuary_data!V639*weights!$C$3</f>
        <v>3.4999375127489844E-2</v>
      </c>
      <c r="E645">
        <f>estuary_data!S639*weights!$C$6</f>
        <v>2.6479479296539769E-2</v>
      </c>
      <c r="F645">
        <f>estuary_data!W639*weights!$C$4</f>
        <v>0.10363392641378251</v>
      </c>
      <c r="G645">
        <f>estuary_data!T639*weights!$C$7</f>
        <v>2.7512455859563592E-2</v>
      </c>
      <c r="H645">
        <f>SUM(B645:G645)</f>
        <v>0.29210868140302915</v>
      </c>
      <c r="I645" t="str">
        <f>IF(H645&gt;$L$5/10*9,"1",IF(H645&gt;$L$5/10*8,"2",IF(H645&gt;$L$5/10*7,"3",IF(H645&gt;$L$5/10*6,"4",IF(H645&gt;$L$5/10*5,"5",IF(H645&gt;$L$5/10*4,"6",IF(H645&gt;$L$5/10*3,"7",IF(H645&gt;$L$5/10*2,"8",IF(H645&gt;$L$5/10,"9","10")))))))))</f>
        <v>6</v>
      </c>
    </row>
    <row r="646" spans="1:9" x14ac:dyDescent="0.55000000000000004">
      <c r="A646">
        <v>2033</v>
      </c>
      <c r="B646">
        <f>estuary_data!U640*weights!$C$2</f>
        <v>5.0083954927519651E-2</v>
      </c>
      <c r="C646">
        <f>estuary_data!R640*weights!$C$5</f>
        <v>4.9342404687883916E-2</v>
      </c>
      <c r="D646">
        <f>estuary_data!V640*weights!$C$3</f>
        <v>2.9556134225778311E-2</v>
      </c>
      <c r="E646">
        <f>estuary_data!S640*weights!$C$6</f>
        <v>2.3943018757521094E-2</v>
      </c>
      <c r="F646">
        <f>estuary_data!W640*weights!$C$4</f>
        <v>7.9617237239062624E-2</v>
      </c>
      <c r="G646">
        <f>estuary_data!T640*weights!$C$7</f>
        <v>2.5384562281646057E-2</v>
      </c>
      <c r="H646">
        <f>SUM(B646:G646)</f>
        <v>0.25792731211941161</v>
      </c>
      <c r="I646" t="str">
        <f>IF(H646&gt;$L$5/10*9,"1",IF(H646&gt;$L$5/10*8,"2",IF(H646&gt;$L$5/10*7,"3",IF(H646&gt;$L$5/10*6,"4",IF(H646&gt;$L$5/10*5,"5",IF(H646&gt;$L$5/10*4,"6",IF(H646&gt;$L$5/10*3,"7",IF(H646&gt;$L$5/10*2,"8",IF(H646&gt;$L$5/10,"9","10")))))))))</f>
        <v>7</v>
      </c>
    </row>
    <row r="647" spans="1:9" x14ac:dyDescent="0.55000000000000004">
      <c r="A647">
        <v>2034</v>
      </c>
      <c r="B647">
        <f>estuary_data!U641*weights!$C$2</f>
        <v>4.516276270182671E-2</v>
      </c>
      <c r="C647">
        <f>estuary_data!R641*weights!$C$5</f>
        <v>5.0103085347919123E-2</v>
      </c>
      <c r="D647">
        <f>estuary_data!V641*weights!$C$3</f>
        <v>2.7233331750670664E-2</v>
      </c>
      <c r="E647">
        <f>estuary_data!S641*weights!$C$6</f>
        <v>3.1469068396329368E-2</v>
      </c>
      <c r="F647">
        <f>estuary_data!W641*weights!$C$4</f>
        <v>6.6429057843615705E-2</v>
      </c>
      <c r="G647">
        <f>estuary_data!T641*weights!$C$7</f>
        <v>4.3346475908635607E-2</v>
      </c>
      <c r="H647">
        <f>SUM(B647:G647)</f>
        <v>0.26374378194899717</v>
      </c>
      <c r="I647" t="str">
        <f>IF(H647&gt;$L$5/10*9,"1",IF(H647&gt;$L$5/10*8,"2",IF(H647&gt;$L$5/10*7,"3",IF(H647&gt;$L$5/10*6,"4",IF(H647&gt;$L$5/10*5,"5",IF(H647&gt;$L$5/10*4,"6",IF(H647&gt;$L$5/10*3,"7",IF(H647&gt;$L$5/10*2,"8",IF(H647&gt;$L$5/10,"9","10")))))))))</f>
        <v>7</v>
      </c>
    </row>
    <row r="648" spans="1:9" x14ac:dyDescent="0.55000000000000004">
      <c r="A648">
        <v>2035</v>
      </c>
      <c r="B648">
        <f>estuary_data!U642*weights!$C$2</f>
        <v>3.4460687608383792E-2</v>
      </c>
      <c r="C648">
        <f>estuary_data!R642*weights!$C$5</f>
        <v>4.6539046894621391E-2</v>
      </c>
      <c r="D648">
        <f>estuary_data!V642*weights!$C$3</f>
        <v>2.6261669275928518E-2</v>
      </c>
      <c r="E648">
        <f>estuary_data!S642*weights!$C$6</f>
        <v>3.4320013124420901E-2</v>
      </c>
      <c r="F648">
        <f>estuary_data!W642*weights!$C$4</f>
        <v>5.4548803096392803E-2</v>
      </c>
      <c r="G648">
        <f>estuary_data!T642*weights!$C$7</f>
        <v>4.7732890120690707E-2</v>
      </c>
      <c r="H648">
        <f>SUM(B648:G648)</f>
        <v>0.2438631101204381</v>
      </c>
      <c r="I648" t="str">
        <f>IF(H648&gt;$L$5/10*9,"1",IF(H648&gt;$L$5/10*8,"2",IF(H648&gt;$L$5/10*7,"3",IF(H648&gt;$L$5/10*6,"4",IF(H648&gt;$L$5/10*5,"5",IF(H648&gt;$L$5/10*4,"6",IF(H648&gt;$L$5/10*3,"7",IF(H648&gt;$L$5/10*2,"8",IF(H648&gt;$L$5/10,"9","10")))))))))</f>
        <v>7</v>
      </c>
    </row>
    <row r="649" spans="1:9" x14ac:dyDescent="0.55000000000000004">
      <c r="A649">
        <v>2036</v>
      </c>
      <c r="B649">
        <f>estuary_data!U643*weights!$C$2</f>
        <v>3.6908836004417904E-2</v>
      </c>
      <c r="C649">
        <f>estuary_data!R643*weights!$C$5</f>
        <v>1.8980250354873506E-2</v>
      </c>
      <c r="D649">
        <f>estuary_data!V643*weights!$C$3</f>
        <v>3.2660917193559659E-2</v>
      </c>
      <c r="E649">
        <f>estuary_data!S643*weights!$C$6</f>
        <v>4.6165415929484047E-2</v>
      </c>
      <c r="F649">
        <f>estuary_data!W643*weights!$C$4</f>
        <v>7.3850440543589163E-2</v>
      </c>
      <c r="G649">
        <f>estuary_data!T643*weights!$C$7</f>
        <v>8.0013371398663255E-2</v>
      </c>
      <c r="H649">
        <f>SUM(B649:G649)</f>
        <v>0.28857923142458752</v>
      </c>
      <c r="I649" t="str">
        <f>IF(H649&gt;$L$5/10*9,"1",IF(H649&gt;$L$5/10*8,"2",IF(H649&gt;$L$5/10*7,"3",IF(H649&gt;$L$5/10*6,"4",IF(H649&gt;$L$5/10*5,"5",IF(H649&gt;$L$5/10*4,"6",IF(H649&gt;$L$5/10*3,"7",IF(H649&gt;$L$5/10*2,"8",IF(H649&gt;$L$5/10,"9","10")))))))))</f>
        <v>6</v>
      </c>
    </row>
    <row r="650" spans="1:9" x14ac:dyDescent="0.55000000000000004">
      <c r="A650">
        <v>2037</v>
      </c>
      <c r="B650">
        <f>estuary_data!U644*weights!$C$2</f>
        <v>3.6908836004417904E-2</v>
      </c>
      <c r="C650">
        <f>estuary_data!R644*weights!$C$5</f>
        <v>1.8980250354873506E-2</v>
      </c>
      <c r="D650">
        <f>estuary_data!V644*weights!$C$3</f>
        <v>3.2660917193559659E-2</v>
      </c>
      <c r="E650">
        <f>estuary_data!S644*weights!$C$6</f>
        <v>4.6165415929484047E-2</v>
      </c>
      <c r="F650">
        <f>estuary_data!W644*weights!$C$4</f>
        <v>7.3850440543589163E-2</v>
      </c>
      <c r="G650">
        <f>estuary_data!T644*weights!$C$7</f>
        <v>8.0013371398663255E-2</v>
      </c>
      <c r="H650">
        <f>SUM(B650:G650)</f>
        <v>0.28857923142458752</v>
      </c>
      <c r="I650" t="str">
        <f>IF(H650&gt;$L$5/10*9,"1",IF(H650&gt;$L$5/10*8,"2",IF(H650&gt;$L$5/10*7,"3",IF(H650&gt;$L$5/10*6,"4",IF(H650&gt;$L$5/10*5,"5",IF(H650&gt;$L$5/10*4,"6",IF(H650&gt;$L$5/10*3,"7",IF(H650&gt;$L$5/10*2,"8",IF(H650&gt;$L$5/10,"9","10")))))))))</f>
        <v>6</v>
      </c>
    </row>
    <row r="651" spans="1:9" x14ac:dyDescent="0.55000000000000004">
      <c r="A651">
        <v>2038</v>
      </c>
      <c r="B651">
        <f>estuary_data!U645*weights!$C$2</f>
        <v>3.6908836004417904E-2</v>
      </c>
      <c r="C651">
        <f>estuary_data!R645*weights!$C$5</f>
        <v>2.1300486246856962E-2</v>
      </c>
      <c r="D651">
        <f>estuary_data!V645*weights!$C$3</f>
        <v>3.2660917193559659E-2</v>
      </c>
      <c r="E651">
        <f>estuary_data!S645*weights!$C$6</f>
        <v>7.7137493909963509E-2</v>
      </c>
      <c r="F651">
        <f>estuary_data!W645*weights!$C$4</f>
        <v>7.3850440543589163E-2</v>
      </c>
      <c r="G651">
        <f>estuary_data!T645*weights!$C$7</f>
        <v>0.162810571412111</v>
      </c>
      <c r="H651">
        <f>SUM(B651:G651)</f>
        <v>0.40466874531049818</v>
      </c>
      <c r="I651" t="str">
        <f>IF(H651&gt;$L$5/10*9,"1",IF(H651&gt;$L$5/10*8,"2",IF(H651&gt;$L$5/10*7,"3",IF(H651&gt;$L$5/10*6,"4",IF(H651&gt;$L$5/10*5,"5",IF(H651&gt;$L$5/10*4,"6",IF(H651&gt;$L$5/10*3,"7",IF(H651&gt;$L$5/10*2,"8",IF(H651&gt;$L$5/10,"9","10")))))))))</f>
        <v>4</v>
      </c>
    </row>
    <row r="652" spans="1:9" x14ac:dyDescent="0.55000000000000004">
      <c r="A652">
        <v>2039</v>
      </c>
      <c r="B652">
        <f>estuary_data!U646*weights!$C$2</f>
        <v>3.6736116236295767E-2</v>
      </c>
      <c r="C652">
        <f>estuary_data!R646*weights!$C$5</f>
        <v>2.4560623129714233E-2</v>
      </c>
      <c r="D652">
        <f>estuary_data!V646*weights!$C$3</f>
        <v>2.6817566020943411E-2</v>
      </c>
      <c r="E652">
        <f>estuary_data!S646*weights!$C$6</f>
        <v>5.5528471684683396E-2</v>
      </c>
      <c r="F652">
        <f>estuary_data!W646*weights!$C$4</f>
        <v>8.5492812263830736E-2</v>
      </c>
      <c r="G652">
        <f>estuary_data!T646*weights!$C$7</f>
        <v>9.3868776805367066E-2</v>
      </c>
      <c r="H652">
        <f>SUM(B652:G652)</f>
        <v>0.32300436614083461</v>
      </c>
      <c r="I652" t="str">
        <f>IF(H652&gt;$L$5/10*9,"1",IF(H652&gt;$L$5/10*8,"2",IF(H652&gt;$L$5/10*7,"3",IF(H652&gt;$L$5/10*6,"4",IF(H652&gt;$L$5/10*5,"5",IF(H652&gt;$L$5/10*4,"6",IF(H652&gt;$L$5/10*3,"7",IF(H652&gt;$L$5/10*2,"8",IF(H652&gt;$L$5/10,"9","10")))))))))</f>
        <v>6</v>
      </c>
    </row>
    <row r="653" spans="1:9" x14ac:dyDescent="0.55000000000000004">
      <c r="A653">
        <v>2040</v>
      </c>
      <c r="B653">
        <f>estuary_data!U647*weights!$C$2</f>
        <v>4.0394700307420116E-2</v>
      </c>
      <c r="C653">
        <f>estuary_data!R647*weights!$C$5</f>
        <v>3.4252519488866533E-2</v>
      </c>
      <c r="D653">
        <f>estuary_data!V647*weights!$C$3</f>
        <v>3.2502070135308807E-2</v>
      </c>
      <c r="E653">
        <f>estuary_data!S647*weights!$C$6</f>
        <v>3.857758210002693E-2</v>
      </c>
      <c r="F653">
        <f>estuary_data!W647*weights!$C$4</f>
        <v>9.2520633414825248E-2</v>
      </c>
      <c r="G653">
        <f>estuary_data!T647*weights!$C$7</f>
        <v>5.903911710445673E-2</v>
      </c>
      <c r="H653">
        <f>SUM(B653:G653)</f>
        <v>0.29728662255090438</v>
      </c>
      <c r="I653" t="str">
        <f>IF(H653&gt;$L$5/10*9,"1",IF(H653&gt;$L$5/10*8,"2",IF(H653&gt;$L$5/10*7,"3",IF(H653&gt;$L$5/10*6,"4",IF(H653&gt;$L$5/10*5,"5",IF(H653&gt;$L$5/10*4,"6",IF(H653&gt;$L$5/10*3,"7",IF(H653&gt;$L$5/10*2,"8",IF(H653&gt;$L$5/10,"9","10")))))))))</f>
        <v>6</v>
      </c>
    </row>
    <row r="654" spans="1:9" x14ac:dyDescent="0.55000000000000004">
      <c r="A654">
        <v>2041</v>
      </c>
      <c r="B654">
        <f>estuary_data!U648*weights!$C$2</f>
        <v>3.4512014581628656E-2</v>
      </c>
      <c r="C654">
        <f>estuary_data!R648*weights!$C$5</f>
        <v>3.8805281727900549E-2</v>
      </c>
      <c r="D654">
        <f>estuary_data!V648*weights!$C$3</f>
        <v>3.0209440003297963E-2</v>
      </c>
      <c r="E654">
        <f>estuary_data!S648*weights!$C$6</f>
        <v>3.589032586138613E-2</v>
      </c>
      <c r="F654">
        <f>estuary_data!W648*weights!$C$4</f>
        <v>8.453208069880383E-2</v>
      </c>
      <c r="G654">
        <f>estuary_data!T648*weights!$C$7</f>
        <v>5.1755194180653628E-2</v>
      </c>
      <c r="H654">
        <f>SUM(B654:G654)</f>
        <v>0.27570433705367076</v>
      </c>
      <c r="I654" t="str">
        <f>IF(H654&gt;$L$5/10*9,"1",IF(H654&gt;$L$5/10*8,"2",IF(H654&gt;$L$5/10*7,"3",IF(H654&gt;$L$5/10*6,"4",IF(H654&gt;$L$5/10*5,"5",IF(H654&gt;$L$5/10*4,"6",IF(H654&gt;$L$5/10*3,"7",IF(H654&gt;$L$5/10*2,"8",IF(H654&gt;$L$5/10,"9","10")))))))))</f>
        <v>6</v>
      </c>
    </row>
    <row r="655" spans="1:9" x14ac:dyDescent="0.55000000000000004">
      <c r="A655">
        <v>2042</v>
      </c>
      <c r="B655">
        <f>estuary_data!U649*weights!$C$2</f>
        <v>3.7750603698643956E-2</v>
      </c>
      <c r="C655">
        <f>estuary_data!R649*weights!$C$5</f>
        <v>4.4500151714496887E-2</v>
      </c>
      <c r="D655">
        <f>estuary_data!V649*weights!$C$3</f>
        <v>3.46110464418719E-2</v>
      </c>
      <c r="E655">
        <f>estuary_data!S649*weights!$C$6</f>
        <v>2.7274547089218986E-2</v>
      </c>
      <c r="F655">
        <f>estuary_data!W649*weights!$C$4</f>
        <v>9.1615000803550006E-2</v>
      </c>
      <c r="G655">
        <f>estuary_data!T649*weights!$C$7</f>
        <v>3.225992985923138E-2</v>
      </c>
      <c r="H655">
        <f>SUM(B655:G655)</f>
        <v>0.2680112796070131</v>
      </c>
      <c r="I655" t="str">
        <f>IF(H655&gt;$L$5/10*9,"1",IF(H655&gt;$L$5/10*8,"2",IF(H655&gt;$L$5/10*7,"3",IF(H655&gt;$L$5/10*6,"4",IF(H655&gt;$L$5/10*5,"5",IF(H655&gt;$L$5/10*4,"6",IF(H655&gt;$L$5/10*3,"7",IF(H655&gt;$L$5/10*2,"8",IF(H655&gt;$L$5/10,"9","10")))))))))</f>
        <v>6</v>
      </c>
    </row>
    <row r="656" spans="1:9" x14ac:dyDescent="0.55000000000000004">
      <c r="A656">
        <v>2043</v>
      </c>
      <c r="B656">
        <f>estuary_data!U650*weights!$C$2</f>
        <v>3.2529138287576573E-2</v>
      </c>
      <c r="C656">
        <f>estuary_data!R650*weights!$C$5</f>
        <v>4.5925805689879744E-2</v>
      </c>
      <c r="D656">
        <f>estuary_data!V650*weights!$C$3</f>
        <v>2.869310811696462E-2</v>
      </c>
      <c r="E656">
        <f>estuary_data!S650*weights!$C$6</f>
        <v>2.6042810262708153E-2</v>
      </c>
      <c r="F656">
        <f>estuary_data!W650*weights!$C$4</f>
        <v>7.1541170053197212E-2</v>
      </c>
      <c r="G656">
        <f>estuary_data!T650*weights!$C$7</f>
        <v>2.7256682103254205E-2</v>
      </c>
      <c r="H656">
        <f>SUM(B656:G656)</f>
        <v>0.23198871451358052</v>
      </c>
      <c r="I656" t="str">
        <f>IF(H656&gt;$L$5/10*9,"1",IF(H656&gt;$L$5/10*8,"2",IF(H656&gt;$L$5/10*7,"3",IF(H656&gt;$L$5/10*6,"4",IF(H656&gt;$L$5/10*5,"5",IF(H656&gt;$L$5/10*4,"6",IF(H656&gt;$L$5/10*3,"7",IF(H656&gt;$L$5/10*2,"8",IF(H656&gt;$L$5/10,"9","10")))))))))</f>
        <v>7</v>
      </c>
    </row>
    <row r="657" spans="1:9" x14ac:dyDescent="0.55000000000000004">
      <c r="A657">
        <v>2044</v>
      </c>
      <c r="B657">
        <f>estuary_data!U651*weights!$C$2</f>
        <v>3.262654993592809E-2</v>
      </c>
      <c r="C657">
        <f>estuary_data!R651*weights!$C$5</f>
        <v>4.6787332281807245E-2</v>
      </c>
      <c r="D657">
        <f>estuary_data!V651*weights!$C$3</f>
        <v>2.6444224577714101E-2</v>
      </c>
      <c r="E657">
        <f>estuary_data!S651*weights!$C$6</f>
        <v>2.5765200815075339E-2</v>
      </c>
      <c r="F657">
        <f>estuary_data!W651*weights!$C$4</f>
        <v>7.1037867789445042E-2</v>
      </c>
      <c r="G657">
        <f>estuary_data!T651*weights!$C$7</f>
        <v>2.5718913530292237E-2</v>
      </c>
      <c r="H657">
        <f>SUM(B657:G657)</f>
        <v>0.22838008893026204</v>
      </c>
      <c r="I657" t="str">
        <f>IF(H657&gt;$L$5/10*9,"1",IF(H657&gt;$L$5/10*8,"2",IF(H657&gt;$L$5/10*7,"3",IF(H657&gt;$L$5/10*6,"4",IF(H657&gt;$L$5/10*5,"5",IF(H657&gt;$L$5/10*4,"6",IF(H657&gt;$L$5/10*3,"7",IF(H657&gt;$L$5/10*2,"8",IF(H657&gt;$L$5/10,"9","10")))))))))</f>
        <v>7</v>
      </c>
    </row>
    <row r="658" spans="1:9" x14ac:dyDescent="0.55000000000000004">
      <c r="A658">
        <v>2045</v>
      </c>
      <c r="B658">
        <f>estuary_data!U652*weights!$C$2</f>
        <v>3.5562784349246444E-2</v>
      </c>
      <c r="C658">
        <f>estuary_data!R652*weights!$C$5</f>
        <v>4.9598264350055092E-2</v>
      </c>
      <c r="D658">
        <f>estuary_data!V652*weights!$C$3</f>
        <v>3.3765781917610059E-2</v>
      </c>
      <c r="E658">
        <f>estuary_data!S652*weights!$C$6</f>
        <v>2.3164484014599133E-2</v>
      </c>
      <c r="F658">
        <f>estuary_data!W652*weights!$C$4</f>
        <v>8.3105513568264955E-2</v>
      </c>
      <c r="G658">
        <f>estuary_data!T652*weights!$C$7</f>
        <v>1.957969965034137E-2</v>
      </c>
      <c r="H658">
        <f>SUM(B658:G658)</f>
        <v>0.24477652785011705</v>
      </c>
      <c r="I658" t="str">
        <f>IF(H658&gt;$L$5/10*9,"1",IF(H658&gt;$L$5/10*8,"2",IF(H658&gt;$L$5/10*7,"3",IF(H658&gt;$L$5/10*6,"4",IF(H658&gt;$L$5/10*5,"5",IF(H658&gt;$L$5/10*4,"6",IF(H658&gt;$L$5/10*3,"7",IF(H658&gt;$L$5/10*2,"8",IF(H658&gt;$L$5/10,"9","10")))))))))</f>
        <v>7</v>
      </c>
    </row>
    <row r="659" spans="1:9" x14ac:dyDescent="0.55000000000000004">
      <c r="A659">
        <v>2046</v>
      </c>
      <c r="B659">
        <f>estuary_data!U653*weights!$C$2</f>
        <v>3.1510182760397409E-2</v>
      </c>
      <c r="C659">
        <f>estuary_data!R653*weights!$C$5</f>
        <v>5.2380941698497337E-2</v>
      </c>
      <c r="D659">
        <f>estuary_data!V653*weights!$C$3</f>
        <v>2.9915581840816656E-2</v>
      </c>
      <c r="E659">
        <f>estuary_data!S653*weights!$C$6</f>
        <v>2.502426256463948E-2</v>
      </c>
      <c r="F659">
        <f>estuary_data!W653*weights!$C$4</f>
        <v>7.0681200814253525E-2</v>
      </c>
      <c r="G659">
        <f>estuary_data!T653*weights!$C$7</f>
        <v>1.9254016810694774E-2</v>
      </c>
      <c r="H659">
        <f>SUM(B659:G659)</f>
        <v>0.22876618648929917</v>
      </c>
      <c r="I659" t="str">
        <f>IF(H659&gt;$L$5/10*9,"1",IF(H659&gt;$L$5/10*8,"2",IF(H659&gt;$L$5/10*7,"3",IF(H659&gt;$L$5/10*6,"4",IF(H659&gt;$L$5/10*5,"5",IF(H659&gt;$L$5/10*4,"6",IF(H659&gt;$L$5/10*3,"7",IF(H659&gt;$L$5/10*2,"8",IF(H659&gt;$L$5/10,"9","10")))))))))</f>
        <v>7</v>
      </c>
    </row>
    <row r="660" spans="1:9" x14ac:dyDescent="0.55000000000000004">
      <c r="A660">
        <v>2047</v>
      </c>
      <c r="B660">
        <f>estuary_data!U654*weights!$C$2</f>
        <v>3.2060892709033936E-2</v>
      </c>
      <c r="C660">
        <f>estuary_data!R654*weights!$C$5</f>
        <v>5.5164234092338955E-2</v>
      </c>
      <c r="D660">
        <f>estuary_data!V654*weights!$C$3</f>
        <v>2.9027162686416603E-2</v>
      </c>
      <c r="E660">
        <f>estuary_data!S654*weights!$C$6</f>
        <v>2.6010385279708805E-2</v>
      </c>
      <c r="F660">
        <f>estuary_data!W654*weights!$C$4</f>
        <v>7.0142025393272245E-2</v>
      </c>
      <c r="G660">
        <f>estuary_data!T654*weights!$C$7</f>
        <v>2.0191798233992201E-2</v>
      </c>
      <c r="H660">
        <f>SUM(B660:G660)</f>
        <v>0.23259649839476274</v>
      </c>
      <c r="I660" t="str">
        <f>IF(H660&gt;$L$5/10*9,"1",IF(H660&gt;$L$5/10*8,"2",IF(H660&gt;$L$5/10*7,"3",IF(H660&gt;$L$5/10*6,"4",IF(H660&gt;$L$5/10*5,"5",IF(H660&gt;$L$5/10*4,"6",IF(H660&gt;$L$5/10*3,"7",IF(H660&gt;$L$5/10*2,"8",IF(H660&gt;$L$5/10,"9","10")))))))))</f>
        <v>7</v>
      </c>
    </row>
    <row r="661" spans="1:9" x14ac:dyDescent="0.55000000000000004">
      <c r="A661">
        <v>2048</v>
      </c>
      <c r="B661">
        <f>estuary_data!U655*weights!$C$2</f>
        <v>3.4023579875261299E-2</v>
      </c>
      <c r="C661">
        <f>estuary_data!R655*weights!$C$5</f>
        <v>5.560648043723667E-2</v>
      </c>
      <c r="D661">
        <f>estuary_data!V655*weights!$C$3</f>
        <v>3.0898192214647815E-2</v>
      </c>
      <c r="E661">
        <f>estuary_data!S655*weights!$C$6</f>
        <v>2.706266898274072E-2</v>
      </c>
      <c r="F661">
        <f>estuary_data!W655*weights!$C$4</f>
        <v>7.5499244036455665E-2</v>
      </c>
      <c r="G661">
        <f>estuary_data!T655*weights!$C$7</f>
        <v>2.3037754029191327E-2</v>
      </c>
      <c r="H661">
        <f>SUM(B661:G661)</f>
        <v>0.24612791957553351</v>
      </c>
      <c r="I661" t="str">
        <f>IF(H661&gt;$L$5/10*9,"1",IF(H661&gt;$L$5/10*8,"2",IF(H661&gt;$L$5/10*7,"3",IF(H661&gt;$L$5/10*6,"4",IF(H661&gt;$L$5/10*5,"5",IF(H661&gt;$L$5/10*4,"6",IF(H661&gt;$L$5/10*3,"7",IF(H661&gt;$L$5/10*2,"8",IF(H661&gt;$L$5/10,"9","10")))))))))</f>
        <v>7</v>
      </c>
    </row>
    <row r="662" spans="1:9" x14ac:dyDescent="0.55000000000000004">
      <c r="A662">
        <v>2049</v>
      </c>
      <c r="B662">
        <f>estuary_data!U656*weights!$C$2</f>
        <v>3.3241316850297048E-2</v>
      </c>
      <c r="C662">
        <f>estuary_data!R656*weights!$C$5</f>
        <v>5.610553125771834E-2</v>
      </c>
      <c r="D662">
        <f>estuary_data!V656*weights!$C$3</f>
        <v>2.8330724825343587E-2</v>
      </c>
      <c r="E662">
        <f>estuary_data!S656*weights!$C$6</f>
        <v>2.6735353258924868E-2</v>
      </c>
      <c r="F662">
        <f>estuary_data!W656*weights!$C$4</f>
        <v>6.8371325106227884E-2</v>
      </c>
      <c r="G662">
        <f>estuary_data!T656*weights!$C$7</f>
        <v>2.2305627398284657E-2</v>
      </c>
      <c r="H662">
        <f>SUM(B662:G662)</f>
        <v>0.23508987869679634</v>
      </c>
      <c r="I662" t="str">
        <f>IF(H662&gt;$L$5/10*9,"1",IF(H662&gt;$L$5/10*8,"2",IF(H662&gt;$L$5/10*7,"3",IF(H662&gt;$L$5/10*6,"4",IF(H662&gt;$L$5/10*5,"5",IF(H662&gt;$L$5/10*4,"6",IF(H662&gt;$L$5/10*3,"7",IF(H662&gt;$L$5/10*2,"8",IF(H662&gt;$L$5/10,"9","10")))))))))</f>
        <v>7</v>
      </c>
    </row>
    <row r="663" spans="1:9" x14ac:dyDescent="0.55000000000000004">
      <c r="A663">
        <v>2050</v>
      </c>
      <c r="B663">
        <f>estuary_data!U657*weights!$C$2</f>
        <v>3.1705271062797226E-2</v>
      </c>
      <c r="C663">
        <f>estuary_data!R657*weights!$C$5</f>
        <v>5.6330976928664026E-2</v>
      </c>
      <c r="D663">
        <f>estuary_data!V657*weights!$C$3</f>
        <v>2.5851491460316425E-2</v>
      </c>
      <c r="E663">
        <f>estuary_data!S657*weights!$C$6</f>
        <v>2.7101857492308853E-2</v>
      </c>
      <c r="F663">
        <f>estuary_data!W657*weights!$C$4</f>
        <v>6.6554667633069942E-2</v>
      </c>
      <c r="G663">
        <f>estuary_data!T657*weights!$C$7</f>
        <v>2.3403200623297774E-2</v>
      </c>
      <c r="H663">
        <f>SUM(B663:G663)</f>
        <v>0.23094746520045423</v>
      </c>
      <c r="I663" t="str">
        <f>IF(H663&gt;$L$5/10*9,"1",IF(H663&gt;$L$5/10*8,"2",IF(H663&gt;$L$5/10*7,"3",IF(H663&gt;$L$5/10*6,"4",IF(H663&gt;$L$5/10*5,"5",IF(H663&gt;$L$5/10*4,"6",IF(H663&gt;$L$5/10*3,"7",IF(H663&gt;$L$5/10*2,"8",IF(H663&gt;$L$5/10,"9","10")))))))))</f>
        <v>7</v>
      </c>
    </row>
    <row r="664" spans="1:9" x14ac:dyDescent="0.55000000000000004">
      <c r="A664">
        <v>2051</v>
      </c>
      <c r="B664">
        <f>estuary_data!U658*weights!$C$2</f>
        <v>3.2039078209611854E-2</v>
      </c>
      <c r="C664">
        <f>estuary_data!R658*weights!$C$5</f>
        <v>5.6975576691357346E-2</v>
      </c>
      <c r="D664">
        <f>estuary_data!V658*weights!$C$3</f>
        <v>2.7716937586735314E-2</v>
      </c>
      <c r="E664">
        <f>estuary_data!S658*weights!$C$6</f>
        <v>2.7337968735893253E-2</v>
      </c>
      <c r="F664">
        <f>estuary_data!W658*weights!$C$4</f>
        <v>7.0909515588954308E-2</v>
      </c>
      <c r="G664">
        <f>estuary_data!T658*weights!$C$7</f>
        <v>2.4714724805335452E-2</v>
      </c>
      <c r="H664">
        <f>SUM(B664:G664)</f>
        <v>0.23969380161788753</v>
      </c>
      <c r="I664" t="str">
        <f>IF(H664&gt;$L$5/10*9,"1",IF(H664&gt;$L$5/10*8,"2",IF(H664&gt;$L$5/10*7,"3",IF(H664&gt;$L$5/10*6,"4",IF(H664&gt;$L$5/10*5,"5",IF(H664&gt;$L$5/10*4,"6",IF(H664&gt;$L$5/10*3,"7",IF(H664&gt;$L$5/10*2,"8",IF(H664&gt;$L$5/10,"9","10")))))))))</f>
        <v>7</v>
      </c>
    </row>
    <row r="665" spans="1:9" x14ac:dyDescent="0.55000000000000004">
      <c r="A665">
        <v>2052</v>
      </c>
      <c r="B665">
        <f>estuary_data!U659*weights!$C$2</f>
        <v>2.9275786105404482E-2</v>
      </c>
      <c r="C665">
        <f>estuary_data!R659*weights!$C$5</f>
        <v>5.7349975918108677E-2</v>
      </c>
      <c r="D665">
        <f>estuary_data!V659*weights!$C$3</f>
        <v>1.9731473939168777E-2</v>
      </c>
      <c r="E665">
        <f>estuary_data!S659*weights!$C$6</f>
        <v>2.6047387078860208E-2</v>
      </c>
      <c r="F665">
        <f>estuary_data!W659*weights!$C$4</f>
        <v>5.6540914503197905E-2</v>
      </c>
      <c r="G665">
        <f>estuary_data!T659*weights!$C$7</f>
        <v>2.243720207121503E-2</v>
      </c>
      <c r="H665">
        <f>SUM(B665:G665)</f>
        <v>0.21138273961595505</v>
      </c>
      <c r="I665" t="str">
        <f>IF(H665&gt;$L$5/10*9,"1",IF(H665&gt;$L$5/10*8,"2",IF(H665&gt;$L$5/10*7,"3",IF(H665&gt;$L$5/10*6,"4",IF(H665&gt;$L$5/10*5,"5",IF(H665&gt;$L$5/10*4,"6",IF(H665&gt;$L$5/10*3,"7",IF(H665&gt;$L$5/10*2,"8",IF(H665&gt;$L$5/10,"9","10")))))))))</f>
        <v>7</v>
      </c>
    </row>
    <row r="666" spans="1:9" x14ac:dyDescent="0.55000000000000004">
      <c r="A666">
        <v>2053</v>
      </c>
      <c r="B666">
        <f>estuary_data!U660*weights!$C$2</f>
        <v>3.2252460378104246E-2</v>
      </c>
      <c r="C666">
        <f>estuary_data!R660*weights!$C$5</f>
        <v>5.739902056928739E-2</v>
      </c>
      <c r="D666">
        <f>estuary_data!V660*weights!$C$3</f>
        <v>2.7438850482377278E-2</v>
      </c>
      <c r="E666">
        <f>estuary_data!S660*weights!$C$6</f>
        <v>2.7438143374797021E-2</v>
      </c>
      <c r="F666">
        <f>estuary_data!W660*weights!$C$4</f>
        <v>6.9109358793214518E-2</v>
      </c>
      <c r="G666">
        <f>estuary_data!T660*weights!$C$7</f>
        <v>2.7012510020416453E-2</v>
      </c>
      <c r="H666">
        <f>SUM(B666:G666)</f>
        <v>0.2406503436181969</v>
      </c>
      <c r="I666" t="str">
        <f>IF(H666&gt;$L$5/10*9,"1",IF(H666&gt;$L$5/10*8,"2",IF(H666&gt;$L$5/10*7,"3",IF(H666&gt;$L$5/10*6,"4",IF(H666&gt;$L$5/10*5,"5",IF(H666&gt;$L$5/10*4,"6",IF(H666&gt;$L$5/10*3,"7",IF(H666&gt;$L$5/10*2,"8",IF(H666&gt;$L$5/10,"9","10")))))))))</f>
        <v>7</v>
      </c>
    </row>
    <row r="667" spans="1:9" x14ac:dyDescent="0.55000000000000004">
      <c r="A667">
        <v>2054</v>
      </c>
      <c r="B667">
        <f>estuary_data!U661*weights!$C$2</f>
        <v>2.7646429305007079E-2</v>
      </c>
      <c r="C667">
        <f>estuary_data!R661*weights!$C$5</f>
        <v>5.3164142194686417E-2</v>
      </c>
      <c r="D667">
        <f>estuary_data!V661*weights!$C$3</f>
        <v>2.0573737532007509E-2</v>
      </c>
      <c r="E667">
        <f>estuary_data!S661*weights!$C$6</f>
        <v>3.3916087966389515E-2</v>
      </c>
      <c r="F667">
        <f>estuary_data!W661*weights!$C$4</f>
        <v>5.5625664447075854E-2</v>
      </c>
      <c r="G667">
        <f>estuary_data!T661*weights!$C$7</f>
        <v>4.1497814038644339E-2</v>
      </c>
      <c r="H667">
        <f>SUM(B667:G667)</f>
        <v>0.23242387548381072</v>
      </c>
      <c r="I667" t="str">
        <f>IF(H667&gt;$L$5/10*9,"1",IF(H667&gt;$L$5/10*8,"2",IF(H667&gt;$L$5/10*7,"3",IF(H667&gt;$L$5/10*6,"4",IF(H667&gt;$L$5/10*5,"5",IF(H667&gt;$L$5/10*4,"6",IF(H667&gt;$L$5/10*3,"7",IF(H667&gt;$L$5/10*2,"8",IF(H667&gt;$L$5/10,"9","10")))))))))</f>
        <v>7</v>
      </c>
    </row>
    <row r="668" spans="1:9" x14ac:dyDescent="0.55000000000000004">
      <c r="A668">
        <v>2055</v>
      </c>
      <c r="B668">
        <f>estuary_data!U662*weights!$C$2</f>
        <v>2.7333394079249049E-2</v>
      </c>
      <c r="C668">
        <f>estuary_data!R662*weights!$C$5</f>
        <v>4.9350391288925537E-2</v>
      </c>
      <c r="D668">
        <f>estuary_data!V662*weights!$C$3</f>
        <v>2.2150493340422229E-2</v>
      </c>
      <c r="E668">
        <f>estuary_data!S662*weights!$C$6</f>
        <v>4.1025054410012265E-2</v>
      </c>
      <c r="F668">
        <f>estuary_data!W662*weights!$C$4</f>
        <v>5.3071209560317897E-2</v>
      </c>
      <c r="G668">
        <f>estuary_data!T662*weights!$C$7</f>
        <v>5.8143009963921528E-2</v>
      </c>
      <c r="H668">
        <f>SUM(B668:G668)</f>
        <v>0.25107355264284847</v>
      </c>
      <c r="I668" t="str">
        <f>IF(H668&gt;$L$5/10*9,"1",IF(H668&gt;$L$5/10*8,"2",IF(H668&gt;$L$5/10*7,"3",IF(H668&gt;$L$5/10*6,"4",IF(H668&gt;$L$5/10*5,"5",IF(H668&gt;$L$5/10*4,"6",IF(H668&gt;$L$5/10*3,"7",IF(H668&gt;$L$5/10*2,"8",IF(H668&gt;$L$5/10,"9","10")))))))))</f>
        <v>7</v>
      </c>
    </row>
    <row r="669" spans="1:9" x14ac:dyDescent="0.55000000000000004">
      <c r="A669">
        <v>2056</v>
      </c>
      <c r="B669">
        <f>estuary_data!U663*weights!$C$2</f>
        <v>3.3636850437852139E-2</v>
      </c>
      <c r="C669">
        <f>estuary_data!R663*weights!$C$5</f>
        <v>5.745069724141285E-2</v>
      </c>
      <c r="D669">
        <f>estuary_data!V663*weights!$C$3</f>
        <v>2.9821879103356468E-2</v>
      </c>
      <c r="E669">
        <f>estuary_data!S663*weights!$C$6</f>
        <v>3.3134188413210482E-2</v>
      </c>
      <c r="F669">
        <f>estuary_data!W663*weights!$C$4</f>
        <v>7.9424800988052741E-2</v>
      </c>
      <c r="G669">
        <f>estuary_data!T663*weights!$C$7</f>
        <v>3.850330327714141E-2</v>
      </c>
      <c r="H669">
        <f>SUM(B669:G669)</f>
        <v>0.27197171946102611</v>
      </c>
      <c r="I669" t="str">
        <f>IF(H669&gt;$L$5/10*9,"1",IF(H669&gt;$L$5/10*8,"2",IF(H669&gt;$L$5/10*7,"3",IF(H669&gt;$L$5/10*6,"4",IF(H669&gt;$L$5/10*5,"5",IF(H669&gt;$L$5/10*4,"6",IF(H669&gt;$L$5/10*3,"7",IF(H669&gt;$L$5/10*2,"8",IF(H669&gt;$L$5/10,"9","10")))))))))</f>
        <v>6</v>
      </c>
    </row>
    <row r="670" spans="1:9" x14ac:dyDescent="0.55000000000000004">
      <c r="A670">
        <v>2057</v>
      </c>
      <c r="B670">
        <f>estuary_data!U664*weights!$C$2</f>
        <v>2.9677780060352675E-2</v>
      </c>
      <c r="C670">
        <f>estuary_data!R664*weights!$C$5</f>
        <v>5.4022604397255439E-2</v>
      </c>
      <c r="D670">
        <f>estuary_data!V664*weights!$C$3</f>
        <v>2.0585315664316539E-2</v>
      </c>
      <c r="E670">
        <f>estuary_data!S664*weights!$C$6</f>
        <v>3.8172584684090329E-2</v>
      </c>
      <c r="F670">
        <f>estuary_data!W664*weights!$C$4</f>
        <v>4.9465370302028216E-2</v>
      </c>
      <c r="G670">
        <f>estuary_data!T664*weights!$C$7</f>
        <v>5.007062261733658E-2</v>
      </c>
      <c r="H670">
        <f>SUM(B670:G670)</f>
        <v>0.24199427772537976</v>
      </c>
      <c r="I670" t="str">
        <f>IF(H670&gt;$L$5/10*9,"1",IF(H670&gt;$L$5/10*8,"2",IF(H670&gt;$L$5/10*7,"3",IF(H670&gt;$L$5/10*6,"4",IF(H670&gt;$L$5/10*5,"5",IF(H670&gt;$L$5/10*4,"6",IF(H670&gt;$L$5/10*3,"7",IF(H670&gt;$L$5/10*2,"8",IF(H670&gt;$L$5/10,"9","10")))))))))</f>
        <v>7</v>
      </c>
    </row>
    <row r="671" spans="1:9" x14ac:dyDescent="0.55000000000000004">
      <c r="A671">
        <v>2058</v>
      </c>
      <c r="B671">
        <f>estuary_data!U665*weights!$C$2</f>
        <v>3.4860349742468599E-2</v>
      </c>
      <c r="C671">
        <f>estuary_data!R665*weights!$C$5</f>
        <v>6.1811268345161818E-2</v>
      </c>
      <c r="D671">
        <f>estuary_data!V665*weights!$C$3</f>
        <v>2.7157690999935702E-2</v>
      </c>
      <c r="E671">
        <f>estuary_data!S665*weights!$C$6</f>
        <v>3.2436752319002976E-2</v>
      </c>
      <c r="F671">
        <f>estuary_data!W665*weights!$C$4</f>
        <v>8.0228422378334663E-2</v>
      </c>
      <c r="G671">
        <f>estuary_data!T665*weights!$C$7</f>
        <v>3.5281685387711183E-2</v>
      </c>
      <c r="H671">
        <f>SUM(B671:G671)</f>
        <v>0.27177616917261493</v>
      </c>
      <c r="I671" t="str">
        <f>IF(H671&gt;$L$5/10*9,"1",IF(H671&gt;$L$5/10*8,"2",IF(H671&gt;$L$5/10*7,"3",IF(H671&gt;$L$5/10*6,"4",IF(H671&gt;$L$5/10*5,"5",IF(H671&gt;$L$5/10*4,"6",IF(H671&gt;$L$5/10*3,"7",IF(H671&gt;$L$5/10*2,"8",IF(H671&gt;$L$5/10,"9","10")))))))))</f>
        <v>6</v>
      </c>
    </row>
    <row r="672" spans="1:9" x14ac:dyDescent="0.55000000000000004">
      <c r="A672">
        <v>2059</v>
      </c>
      <c r="B672">
        <f>estuary_data!U666*weights!$C$2</f>
        <v>2.991273355301876E-2</v>
      </c>
      <c r="C672">
        <f>estuary_data!R666*weights!$C$5</f>
        <v>6.0460604429221271E-2</v>
      </c>
      <c r="D672">
        <f>estuary_data!V666*weights!$C$3</f>
        <v>1.6516366149524217E-2</v>
      </c>
      <c r="E672">
        <f>estuary_data!S666*weights!$C$6</f>
        <v>3.339092906921573E-2</v>
      </c>
      <c r="F672">
        <f>estuary_data!W666*weights!$C$4</f>
        <v>4.1210080286595806E-2</v>
      </c>
      <c r="G672">
        <f>estuary_data!T666*weights!$C$7</f>
        <v>3.5675535427990471E-2</v>
      </c>
      <c r="H672">
        <f>SUM(B672:G672)</f>
        <v>0.2171662489155663</v>
      </c>
      <c r="I672" t="str">
        <f>IF(H672&gt;$L$5/10*9,"1",IF(H672&gt;$L$5/10*8,"2",IF(H672&gt;$L$5/10*7,"3",IF(H672&gt;$L$5/10*6,"4",IF(H672&gt;$L$5/10*5,"5",IF(H672&gt;$L$5/10*4,"6",IF(H672&gt;$L$5/10*3,"7",IF(H672&gt;$L$5/10*2,"8",IF(H672&gt;$L$5/10,"9","10")))))))))</f>
        <v>7</v>
      </c>
    </row>
    <row r="673" spans="1:9" x14ac:dyDescent="0.55000000000000004">
      <c r="A673">
        <v>2060</v>
      </c>
      <c r="B673">
        <f>estuary_data!U667*weights!$C$2</f>
        <v>3.3845122487086765E-2</v>
      </c>
      <c r="C673">
        <f>estuary_data!R667*weights!$C$5</f>
        <v>6.2961819448210735E-2</v>
      </c>
      <c r="D673">
        <f>estuary_data!V667*weights!$C$3</f>
        <v>1.535715592982817E-2</v>
      </c>
      <c r="E673">
        <f>estuary_data!S667*weights!$C$6</f>
        <v>3.1502119723174953E-2</v>
      </c>
      <c r="F673">
        <f>estuary_data!W667*weights!$C$4</f>
        <v>3.4834250358302635E-2</v>
      </c>
      <c r="G673">
        <f>estuary_data!T667*weights!$C$7</f>
        <v>3.0200606901691653E-2</v>
      </c>
      <c r="H673">
        <f>SUM(B673:G673)</f>
        <v>0.20870107484829489</v>
      </c>
      <c r="I673" t="str">
        <f>IF(H673&gt;$L$5/10*9,"1",IF(H673&gt;$L$5/10*8,"2",IF(H673&gt;$L$5/10*7,"3",IF(H673&gt;$L$5/10*6,"4",IF(H673&gt;$L$5/10*5,"5",IF(H673&gt;$L$5/10*4,"6",IF(H673&gt;$L$5/10*3,"7",IF(H673&gt;$L$5/10*2,"8",IF(H673&gt;$L$5/10,"9","10")))))))))</f>
        <v>7</v>
      </c>
    </row>
    <row r="674" spans="1:9" x14ac:dyDescent="0.55000000000000004">
      <c r="A674">
        <v>2061</v>
      </c>
      <c r="B674">
        <f>estuary_data!U668*weights!$C$2</f>
        <v>2.7815115075369001E-2</v>
      </c>
      <c r="C674">
        <f>estuary_data!R668*weights!$C$5</f>
        <v>6.5314833995215024E-2</v>
      </c>
      <c r="D674">
        <f>estuary_data!V668*weights!$C$3</f>
        <v>1.2324566664275435E-2</v>
      </c>
      <c r="E674">
        <f>estuary_data!S668*weights!$C$6</f>
        <v>2.9648663652149895E-2</v>
      </c>
      <c r="F674">
        <f>estuary_data!W668*weights!$C$4</f>
        <v>3.1484241647227768E-2</v>
      </c>
      <c r="G674">
        <f>estuary_data!T668*weights!$C$7</f>
        <v>2.3912415941947096E-2</v>
      </c>
      <c r="H674">
        <f>SUM(B674:G674)</f>
        <v>0.19049983697618422</v>
      </c>
      <c r="I674" t="str">
        <f>IF(H674&gt;$L$5/10*9,"1",IF(H674&gt;$L$5/10*8,"2",IF(H674&gt;$L$5/10*7,"3",IF(H674&gt;$L$5/10*6,"4",IF(H674&gt;$L$5/10*5,"5",IF(H674&gt;$L$5/10*4,"6",IF(H674&gt;$L$5/10*3,"7",IF(H674&gt;$L$5/10*2,"8",IF(H674&gt;$L$5/10,"9","10")))))))))</f>
        <v>8</v>
      </c>
    </row>
    <row r="675" spans="1:9" x14ac:dyDescent="0.55000000000000004">
      <c r="A675">
        <v>2062</v>
      </c>
      <c r="B675">
        <f>estuary_data!U669*weights!$C$2</f>
        <v>2.4715083416940686E-2</v>
      </c>
      <c r="C675">
        <f>estuary_data!R669*weights!$C$5</f>
        <v>6.6432720747721441E-2</v>
      </c>
      <c r="D675">
        <f>estuary_data!V669*weights!$C$3</f>
        <v>1.542266248888218E-2</v>
      </c>
      <c r="E675">
        <f>estuary_data!S669*weights!$C$6</f>
        <v>2.8845090515853697E-2</v>
      </c>
      <c r="F675">
        <f>estuary_data!W669*weights!$C$4</f>
        <v>3.1068819354087087E-2</v>
      </c>
      <c r="G675">
        <f>estuary_data!T669*weights!$C$7</f>
        <v>2.1296976460308731E-2</v>
      </c>
      <c r="H675">
        <f>SUM(B675:G675)</f>
        <v>0.18778135298379384</v>
      </c>
      <c r="I675" t="str">
        <f>IF(H675&gt;$L$5/10*9,"1",IF(H675&gt;$L$5/10*8,"2",IF(H675&gt;$L$5/10*7,"3",IF(H675&gt;$L$5/10*6,"4",IF(H675&gt;$L$5/10*5,"5",IF(H675&gt;$L$5/10*4,"6",IF(H675&gt;$L$5/10*3,"7",IF(H675&gt;$L$5/10*2,"8",IF(H675&gt;$L$5/10,"9","10")))))))))</f>
        <v>8</v>
      </c>
    </row>
    <row r="676" spans="1:9" x14ac:dyDescent="0.55000000000000004">
      <c r="A676">
        <v>2063</v>
      </c>
      <c r="B676">
        <f>estuary_data!U670*weights!$C$2</f>
        <v>2.8261237886625015E-2</v>
      </c>
      <c r="C676">
        <f>estuary_data!R670*weights!$C$5</f>
        <v>6.7231327175663019E-2</v>
      </c>
      <c r="D676">
        <f>estuary_data!V670*weights!$C$3</f>
        <v>1.4354721837869039E-2</v>
      </c>
      <c r="E676">
        <f>estuary_data!S670*weights!$C$6</f>
        <v>2.8688590948422354E-2</v>
      </c>
      <c r="F676">
        <f>estuary_data!W670*weights!$C$4</f>
        <v>3.2554058995088626E-2</v>
      </c>
      <c r="G676">
        <f>estuary_data!T670*weights!$C$7</f>
        <v>2.0293250325163548E-2</v>
      </c>
      <c r="H676">
        <f>SUM(B676:G676)</f>
        <v>0.1913831871688316</v>
      </c>
      <c r="I676" t="str">
        <f>IF(H676&gt;$L$5/10*9,"1",IF(H676&gt;$L$5/10*8,"2",IF(H676&gt;$L$5/10*7,"3",IF(H676&gt;$L$5/10*6,"4",IF(H676&gt;$L$5/10*5,"5",IF(H676&gt;$L$5/10*4,"6",IF(H676&gt;$L$5/10*3,"7",IF(H676&gt;$L$5/10*2,"8",IF(H676&gt;$L$5/10,"9","10")))))))))</f>
        <v>8</v>
      </c>
    </row>
    <row r="677" spans="1:9" x14ac:dyDescent="0.55000000000000004">
      <c r="A677">
        <v>2064</v>
      </c>
      <c r="B677">
        <f>estuary_data!U671*weights!$C$2</f>
        <v>1.9218693161170169E-2</v>
      </c>
      <c r="C677">
        <f>estuary_data!R671*weights!$C$5</f>
        <v>6.7904990509202581E-2</v>
      </c>
      <c r="D677">
        <f>estuary_data!V671*weights!$C$3</f>
        <v>1.3281994439753883E-2</v>
      </c>
      <c r="E677">
        <f>estuary_data!S671*weights!$C$6</f>
        <v>2.8116223226431387E-2</v>
      </c>
      <c r="F677">
        <f>estuary_data!W671*weights!$C$4</f>
        <v>2.6758598402417254E-2</v>
      </c>
      <c r="G677">
        <f>estuary_data!T671*weights!$C$7</f>
        <v>1.8735920642642397E-2</v>
      </c>
      <c r="H677">
        <f>SUM(B677:G677)</f>
        <v>0.17401642038161769</v>
      </c>
      <c r="I677" t="str">
        <f>IF(H677&gt;$L$5/10*9,"1",IF(H677&gt;$L$5/10*8,"2",IF(H677&gt;$L$5/10*7,"3",IF(H677&gt;$L$5/10*6,"4",IF(H677&gt;$L$5/10*5,"5",IF(H677&gt;$L$5/10*4,"6",IF(H677&gt;$L$5/10*3,"7",IF(H677&gt;$L$5/10*2,"8",IF(H677&gt;$L$5/10,"9","10")))))))))</f>
        <v>8</v>
      </c>
    </row>
    <row r="678" spans="1:9" x14ac:dyDescent="0.55000000000000004">
      <c r="A678">
        <v>2065</v>
      </c>
      <c r="B678">
        <f>estuary_data!U672*weights!$C$2</f>
        <v>1.9031119317847477E-2</v>
      </c>
      <c r="C678">
        <f>estuary_data!R672*weights!$C$5</f>
        <v>6.8039731723147784E-2</v>
      </c>
      <c r="D678">
        <f>estuary_data!V672*weights!$C$3</f>
        <v>1.2569510105867395E-2</v>
      </c>
      <c r="E678">
        <f>estuary_data!S672*weights!$C$6</f>
        <v>2.8349876770890542E-2</v>
      </c>
      <c r="F678">
        <f>estuary_data!W672*weights!$C$4</f>
        <v>3.3119359961940702E-2</v>
      </c>
      <c r="G678">
        <f>estuary_data!T672*weights!$C$7</f>
        <v>1.9049179674445058E-2</v>
      </c>
      <c r="H678">
        <f>SUM(B678:G678)</f>
        <v>0.18015877755413898</v>
      </c>
      <c r="I678" t="str">
        <f>IF(H678&gt;$L$5/10*9,"1",IF(H678&gt;$L$5/10*8,"2",IF(H678&gt;$L$5/10*7,"3",IF(H678&gt;$L$5/10*6,"4",IF(H678&gt;$L$5/10*5,"5",IF(H678&gt;$L$5/10*4,"6",IF(H678&gt;$L$5/10*3,"7",IF(H678&gt;$L$5/10*2,"8",IF(H678&gt;$L$5/10,"9","10")))))))))</f>
        <v>8</v>
      </c>
    </row>
    <row r="679" spans="1:9" x14ac:dyDescent="0.55000000000000004">
      <c r="A679">
        <v>2066</v>
      </c>
      <c r="B679">
        <f>estuary_data!U673*weights!$C$2</f>
        <v>2.311384293847946E-2</v>
      </c>
      <c r="C679">
        <f>estuary_data!R673*weights!$C$5</f>
        <v>6.83285341408289E-2</v>
      </c>
      <c r="D679">
        <f>estuary_data!V673*weights!$C$3</f>
        <v>2.0536683169492687E-2</v>
      </c>
      <c r="E679">
        <f>estuary_data!S673*weights!$C$6</f>
        <v>2.9469922574046164E-2</v>
      </c>
      <c r="F679">
        <f>estuary_data!W673*weights!$C$4</f>
        <v>6.2261365987557458E-2</v>
      </c>
      <c r="G679">
        <f>estuary_data!T673*weights!$C$7</f>
        <v>2.1653001062430247E-2</v>
      </c>
      <c r="H679">
        <f>SUM(B679:G679)</f>
        <v>0.22536334987283491</v>
      </c>
      <c r="I679" t="str">
        <f>IF(H679&gt;$L$5/10*9,"1",IF(H679&gt;$L$5/10*8,"2",IF(H679&gt;$L$5/10*7,"3",IF(H679&gt;$L$5/10*6,"4",IF(H679&gt;$L$5/10*5,"5",IF(H679&gt;$L$5/10*4,"6",IF(H679&gt;$L$5/10*3,"7",IF(H679&gt;$L$5/10*2,"8",IF(H679&gt;$L$5/10,"9","10")))))))))</f>
        <v>7</v>
      </c>
    </row>
    <row r="680" spans="1:9" x14ac:dyDescent="0.55000000000000004">
      <c r="A680">
        <v>2067</v>
      </c>
      <c r="B680">
        <f>estuary_data!U674*weights!$C$2</f>
        <v>1.3332023278825416E-2</v>
      </c>
      <c r="C680">
        <f>estuary_data!R674*weights!$C$5</f>
        <v>6.7753034857554073E-2</v>
      </c>
      <c r="D680">
        <f>estuary_data!V674*weights!$C$3</f>
        <v>1.2342455119554329E-2</v>
      </c>
      <c r="E680">
        <f>estuary_data!S674*weights!$C$6</f>
        <v>3.0793570526529819E-2</v>
      </c>
      <c r="F680">
        <f>estuary_data!W674*weights!$C$4</f>
        <v>3.9072671629033162E-2</v>
      </c>
      <c r="G680">
        <f>estuary_data!T674*weights!$C$7</f>
        <v>2.3751337176931907E-2</v>
      </c>
      <c r="H680">
        <f>SUM(B680:G680)</f>
        <v>0.18704509258842869</v>
      </c>
      <c r="I680" t="str">
        <f>IF(H680&gt;$L$5/10*9,"1",IF(H680&gt;$L$5/10*8,"2",IF(H680&gt;$L$5/10*7,"3",IF(H680&gt;$L$5/10*6,"4",IF(H680&gt;$L$5/10*5,"5",IF(H680&gt;$L$5/10*4,"6",IF(H680&gt;$L$5/10*3,"7",IF(H680&gt;$L$5/10*2,"8",IF(H680&gt;$L$5/10,"9","10")))))))))</f>
        <v>8</v>
      </c>
    </row>
    <row r="681" spans="1:9" x14ac:dyDescent="0.55000000000000004">
      <c r="A681">
        <v>2068</v>
      </c>
      <c r="B681">
        <f>estuary_data!U675*weights!$C$2</f>
        <v>1.1260210335237652E-2</v>
      </c>
      <c r="C681">
        <f>estuary_data!R675*weights!$C$5</f>
        <v>6.7357681642053913E-2</v>
      </c>
      <c r="D681">
        <f>estuary_data!V675*weights!$C$3</f>
        <v>1.2803805990827782E-2</v>
      </c>
      <c r="E681">
        <f>estuary_data!S675*weights!$C$6</f>
        <v>3.283005571392901E-2</v>
      </c>
      <c r="F681">
        <f>estuary_data!W675*weights!$C$4</f>
        <v>3.9899865351740116E-2</v>
      </c>
      <c r="G681">
        <f>estuary_data!T675*weights!$C$7</f>
        <v>2.8623943638209796E-2</v>
      </c>
      <c r="H681">
        <f>SUM(B681:G681)</f>
        <v>0.19277556267199827</v>
      </c>
      <c r="I681" t="str">
        <f>IF(H681&gt;$L$5/10*9,"1",IF(H681&gt;$L$5/10*8,"2",IF(H681&gt;$L$5/10*7,"3",IF(H681&gt;$L$5/10*6,"4",IF(H681&gt;$L$5/10*5,"5",IF(H681&gt;$L$5/10*4,"6",IF(H681&gt;$L$5/10*3,"7",IF(H681&gt;$L$5/10*2,"8",IF(H681&gt;$L$5/10,"9","10")))))))))</f>
        <v>8</v>
      </c>
    </row>
    <row r="682" spans="1:9" x14ac:dyDescent="0.55000000000000004">
      <c r="A682">
        <v>2069</v>
      </c>
      <c r="B682">
        <f>estuary_data!U676*weights!$C$2</f>
        <v>1.8841734145384762E-2</v>
      </c>
      <c r="C682">
        <f>estuary_data!R676*weights!$C$5</f>
        <v>6.394280548900648E-2</v>
      </c>
      <c r="D682">
        <f>estuary_data!V676*weights!$C$3</f>
        <v>2.1559982925906794E-2</v>
      </c>
      <c r="E682">
        <f>estuary_data!S676*weights!$C$6</f>
        <v>3.3432037173647434E-2</v>
      </c>
      <c r="F682">
        <f>estuary_data!W676*weights!$C$4</f>
        <v>7.1099165751891319E-2</v>
      </c>
      <c r="G682">
        <f>estuary_data!T676*weights!$C$7</f>
        <v>3.2929091099649102E-2</v>
      </c>
      <c r="H682">
        <f>SUM(B682:G682)</f>
        <v>0.24180481658548586</v>
      </c>
      <c r="I682" t="str">
        <f>IF(H682&gt;$L$5/10*9,"1",IF(H682&gt;$L$5/10*8,"2",IF(H682&gt;$L$5/10*7,"3",IF(H682&gt;$L$5/10*6,"4",IF(H682&gt;$L$5/10*5,"5",IF(H682&gt;$L$5/10*4,"6",IF(H682&gt;$L$5/10*3,"7",IF(H682&gt;$L$5/10*2,"8",IF(H682&gt;$L$5/10,"9","10")))))))))</f>
        <v>7</v>
      </c>
    </row>
    <row r="683" spans="1:9" x14ac:dyDescent="0.55000000000000004">
      <c r="A683">
        <v>2070</v>
      </c>
      <c r="B683">
        <f>estuary_data!U677*weights!$C$2</f>
        <v>1.2391043871220621E-2</v>
      </c>
      <c r="C683">
        <f>estuary_data!R677*weights!$C$5</f>
        <v>6.5505489446327586E-2</v>
      </c>
      <c r="D683">
        <f>estuary_data!V677*weights!$C$3</f>
        <v>1.5423972590653113E-2</v>
      </c>
      <c r="E683">
        <f>estuary_data!S677*weights!$C$6</f>
        <v>3.5524028226647533E-2</v>
      </c>
      <c r="F683">
        <f>estuary_data!W677*weights!$C$4</f>
        <v>5.0305091731617499E-2</v>
      </c>
      <c r="G683">
        <f>estuary_data!T677*weights!$C$7</f>
        <v>3.8759767473374694E-2</v>
      </c>
      <c r="H683">
        <f>SUM(B683:G683)</f>
        <v>0.21790939333984108</v>
      </c>
      <c r="I683" t="str">
        <f>IF(H683&gt;$L$5/10*9,"1",IF(H683&gt;$L$5/10*8,"2",IF(H683&gt;$L$5/10*7,"3",IF(H683&gt;$L$5/10*6,"4",IF(H683&gt;$L$5/10*5,"5",IF(H683&gt;$L$5/10*4,"6",IF(H683&gt;$L$5/10*3,"7",IF(H683&gt;$L$5/10*2,"8",IF(H683&gt;$L$5/10,"9","10")))))))))</f>
        <v>7</v>
      </c>
    </row>
    <row r="684" spans="1:9" x14ac:dyDescent="0.55000000000000004">
      <c r="A684">
        <v>2071</v>
      </c>
      <c r="B684">
        <f>estuary_data!U678*weights!$C$2</f>
        <v>1.4294848236924148E-2</v>
      </c>
      <c r="C684">
        <f>estuary_data!R678*weights!$C$5</f>
        <v>6.4631909843240479E-2</v>
      </c>
      <c r="D684">
        <f>estuary_data!V678*weights!$C$3</f>
        <v>1.2972190963644466E-2</v>
      </c>
      <c r="E684">
        <f>estuary_data!S678*weights!$C$6</f>
        <v>3.8305760877519475E-2</v>
      </c>
      <c r="F684">
        <f>estuary_data!W678*weights!$C$4</f>
        <v>5.0637119939173851E-2</v>
      </c>
      <c r="G684">
        <f>estuary_data!T678*weights!$C$7</f>
        <v>4.4900420128666234E-2</v>
      </c>
      <c r="H684">
        <f>SUM(B684:G684)</f>
        <v>0.22574224998916867</v>
      </c>
      <c r="I684" t="str">
        <f>IF(H684&gt;$L$5/10*9,"1",IF(H684&gt;$L$5/10*8,"2",IF(H684&gt;$L$5/10*7,"3",IF(H684&gt;$L$5/10*6,"4",IF(H684&gt;$L$5/10*5,"5",IF(H684&gt;$L$5/10*4,"6",IF(H684&gt;$L$5/10*3,"7",IF(H684&gt;$L$5/10*2,"8",IF(H684&gt;$L$5/10,"9","10")))))))))</f>
        <v>7</v>
      </c>
    </row>
    <row r="685" spans="1:9" x14ac:dyDescent="0.55000000000000004">
      <c r="A685">
        <v>2072</v>
      </c>
      <c r="B685">
        <f>estuary_data!U679*weights!$C$2</f>
        <v>1.5094873521668443E-2</v>
      </c>
      <c r="C685">
        <f>estuary_data!R679*weights!$C$5</f>
        <v>5.6515599463768891E-2</v>
      </c>
      <c r="D685">
        <f>estuary_data!V679*weights!$C$3</f>
        <v>4.7638115632811931E-3</v>
      </c>
      <c r="E685">
        <f>estuary_data!S679*weights!$C$6</f>
        <v>4.8479800846093109E-2</v>
      </c>
      <c r="F685">
        <f>estuary_data!W679*weights!$C$4</f>
        <v>4.7273259063543384E-2</v>
      </c>
      <c r="G685">
        <f>estuary_data!T679*weights!$C$7</f>
        <v>6.8697243137335939E-2</v>
      </c>
      <c r="H685">
        <f>SUM(B685:G685)</f>
        <v>0.24082458759569095</v>
      </c>
      <c r="I685" t="str">
        <f>IF(H685&gt;$L$5/10*9,"1",IF(H685&gt;$L$5/10*8,"2",IF(H685&gt;$L$5/10*7,"3",IF(H685&gt;$L$5/10*6,"4",IF(H685&gt;$L$5/10*5,"5",IF(H685&gt;$L$5/10*4,"6",IF(H685&gt;$L$5/10*3,"7",IF(H685&gt;$L$5/10*2,"8",IF(H685&gt;$L$5/10,"9","10")))))))))</f>
        <v>7</v>
      </c>
    </row>
    <row r="686" spans="1:9" x14ac:dyDescent="0.55000000000000004">
      <c r="A686">
        <v>2073</v>
      </c>
      <c r="B686">
        <f>estuary_data!U680*weights!$C$2</f>
        <v>1.3870108748809609E-2</v>
      </c>
      <c r="C686">
        <f>estuary_data!R680*weights!$C$5</f>
        <v>5.6896350160876408E-2</v>
      </c>
      <c r="D686">
        <f>estuary_data!V680*weights!$C$3</f>
        <v>9.5004202220756746E-3</v>
      </c>
      <c r="E686">
        <f>estuary_data!S680*weights!$C$6</f>
        <v>5.6356503927062797E-2</v>
      </c>
      <c r="F686">
        <f>estuary_data!W680*weights!$C$4</f>
        <v>4.1563783335134066E-2</v>
      </c>
      <c r="G686">
        <f>estuary_data!T680*weights!$C$7</f>
        <v>8.5775338797628733E-2</v>
      </c>
      <c r="H686">
        <f>SUM(B686:G686)</f>
        <v>0.26396250519158726</v>
      </c>
      <c r="I686" t="str">
        <f>IF(H686&gt;$L$5/10*9,"1",IF(H686&gt;$L$5/10*8,"2",IF(H686&gt;$L$5/10*7,"3",IF(H686&gt;$L$5/10*6,"4",IF(H686&gt;$L$5/10*5,"5",IF(H686&gt;$L$5/10*4,"6",IF(H686&gt;$L$5/10*3,"7",IF(H686&gt;$L$5/10*2,"8",IF(H686&gt;$L$5/10,"9","10")))))))))</f>
        <v>7</v>
      </c>
    </row>
    <row r="687" spans="1:9" x14ac:dyDescent="0.55000000000000004">
      <c r="A687">
        <v>2074</v>
      </c>
      <c r="B687">
        <f>estuary_data!U681*weights!$C$2</f>
        <v>1.4582636000613346E-2</v>
      </c>
      <c r="C687">
        <f>estuary_data!R681*weights!$C$5</f>
        <v>4.2408559135648373E-2</v>
      </c>
      <c r="D687">
        <f>estuary_data!V681*weights!$C$3</f>
        <v>7.2117169019817054E-3</v>
      </c>
      <c r="E687">
        <f>estuary_data!S681*weights!$C$6</f>
        <v>7.0251483188043473E-2</v>
      </c>
      <c r="F687">
        <f>estuary_data!W681*weights!$C$4</f>
        <v>4.1937409223951949E-2</v>
      </c>
      <c r="G687">
        <f>estuary_data!T681*weights!$C$7</f>
        <v>0.12002937378838924</v>
      </c>
      <c r="H687">
        <f>SUM(B687:G687)</f>
        <v>0.29642117823862807</v>
      </c>
      <c r="I687" t="str">
        <f>IF(H687&gt;$L$5/10*9,"1",IF(H687&gt;$L$5/10*8,"2",IF(H687&gt;$L$5/10*7,"3",IF(H687&gt;$L$5/10*6,"4",IF(H687&gt;$L$5/10*5,"5",IF(H687&gt;$L$5/10*4,"6",IF(H687&gt;$L$5/10*3,"7",IF(H687&gt;$L$5/10*2,"8",IF(H687&gt;$L$5/10,"9","10")))))))))</f>
        <v>6</v>
      </c>
    </row>
    <row r="688" spans="1:9" x14ac:dyDescent="0.55000000000000004">
      <c r="A688">
        <v>2075</v>
      </c>
      <c r="B688">
        <f>estuary_data!U682*weights!$C$2</f>
        <v>1.4682316021971802E-2</v>
      </c>
      <c r="C688">
        <f>estuary_data!R682*weights!$C$5</f>
        <v>4.372825244982801E-2</v>
      </c>
      <c r="D688">
        <f>estuary_data!V682*weights!$C$3</f>
        <v>5.0682193292205116E-3</v>
      </c>
      <c r="E688">
        <f>estuary_data!S682*weights!$C$6</f>
        <v>6.9957012816689479E-2</v>
      </c>
      <c r="F688">
        <f>estuary_data!W682*weights!$C$4</f>
        <v>4.1875230267363978E-2</v>
      </c>
      <c r="G688">
        <f>estuary_data!T682*weights!$C$7</f>
        <v>0.11897737214750222</v>
      </c>
      <c r="H688">
        <f>SUM(B688:G688)</f>
        <v>0.29428840303257603</v>
      </c>
      <c r="I688" t="str">
        <f>IF(H688&gt;$L$5/10*9,"1",IF(H688&gt;$L$5/10*8,"2",IF(H688&gt;$L$5/10*7,"3",IF(H688&gt;$L$5/10*6,"4",IF(H688&gt;$L$5/10*5,"5",IF(H688&gt;$L$5/10*4,"6",IF(H688&gt;$L$5/10*3,"7",IF(H688&gt;$L$5/10*2,"8",IF(H688&gt;$L$5/10,"9","10")))))))))</f>
        <v>6</v>
      </c>
    </row>
    <row r="689" spans="1:9" x14ac:dyDescent="0.55000000000000004">
      <c r="A689">
        <v>2076</v>
      </c>
      <c r="B689">
        <f>estuary_data!U683*weights!$C$2</f>
        <v>1.4244588912171539E-2</v>
      </c>
      <c r="C689">
        <f>estuary_data!R683*weights!$C$5</f>
        <v>4.5354471778209865E-2</v>
      </c>
      <c r="D689">
        <f>estuary_data!V683*weights!$C$3</f>
        <v>5.9565102207603977E-3</v>
      </c>
      <c r="E689">
        <f>estuary_data!S683*weights!$C$6</f>
        <v>6.9038574255638224E-2</v>
      </c>
      <c r="F689">
        <f>estuary_data!W683*weights!$C$4</f>
        <v>4.3065282073332781E-2</v>
      </c>
      <c r="G689">
        <f>estuary_data!T683*weights!$C$7</f>
        <v>0.11668161180489654</v>
      </c>
      <c r="H689">
        <f>SUM(B689:G689)</f>
        <v>0.29434103904500936</v>
      </c>
      <c r="I689" t="str">
        <f>IF(H689&gt;$L$5/10*9,"1",IF(H689&gt;$L$5/10*8,"2",IF(H689&gt;$L$5/10*7,"3",IF(H689&gt;$L$5/10*6,"4",IF(H689&gt;$L$5/10*5,"5",IF(H689&gt;$L$5/10*4,"6",IF(H689&gt;$L$5/10*3,"7",IF(H689&gt;$L$5/10*2,"8",IF(H689&gt;$L$5/10,"9","10")))))))))</f>
        <v>6</v>
      </c>
    </row>
    <row r="690" spans="1:9" x14ac:dyDescent="0.55000000000000004">
      <c r="A690">
        <v>2077</v>
      </c>
      <c r="B690">
        <f>estuary_data!U684*weights!$C$2</f>
        <v>1.3426556846686276E-2</v>
      </c>
      <c r="C690">
        <f>estuary_data!R684*weights!$C$5</f>
        <v>4.6794289355721747E-2</v>
      </c>
      <c r="D690">
        <f>estuary_data!V684*weights!$C$3</f>
        <v>3.2601095229093744E-3</v>
      </c>
      <c r="E690">
        <f>estuary_data!S684*weights!$C$6</f>
        <v>6.7667142738585942E-2</v>
      </c>
      <c r="F690">
        <f>estuary_data!W684*weights!$C$4</f>
        <v>4.3630836784385799E-2</v>
      </c>
      <c r="G690">
        <f>estuary_data!T684*weights!$C$7</f>
        <v>0.11356537398962697</v>
      </c>
      <c r="H690">
        <f>SUM(B690:G690)</f>
        <v>0.2883443092379161</v>
      </c>
      <c r="I690" t="str">
        <f>IF(H690&gt;$L$5/10*9,"1",IF(H690&gt;$L$5/10*8,"2",IF(H690&gt;$L$5/10*7,"3",IF(H690&gt;$L$5/10*6,"4",IF(H690&gt;$L$5/10*5,"5",IF(H690&gt;$L$5/10*4,"6",IF(H690&gt;$L$5/10*3,"7",IF(H690&gt;$L$5/10*2,"8",IF(H690&gt;$L$5/10,"9","10")))))))))</f>
        <v>6</v>
      </c>
    </row>
    <row r="691" spans="1:9" x14ac:dyDescent="0.55000000000000004">
      <c r="A691">
        <v>2078</v>
      </c>
      <c r="B691">
        <f>estuary_data!U685*weights!$C$2</f>
        <v>1.5434009740162727E-2</v>
      </c>
      <c r="C691">
        <f>estuary_data!R685*weights!$C$5</f>
        <v>4.9414298976780506E-2</v>
      </c>
      <c r="D691">
        <f>estuary_data!V685*weights!$C$3</f>
        <v>4.1140435169982892E-3</v>
      </c>
      <c r="E691">
        <f>estuary_data!S685*weights!$C$6</f>
        <v>6.5102169340082366E-2</v>
      </c>
      <c r="F691">
        <f>estuary_data!W685*weights!$C$4</f>
        <v>4.8237002108037573E-2</v>
      </c>
      <c r="G691">
        <f>estuary_data!T685*weights!$C$7</f>
        <v>0.10764655692950219</v>
      </c>
      <c r="H691">
        <f>SUM(B691:G691)</f>
        <v>0.28994808061156363</v>
      </c>
      <c r="I691" t="str">
        <f>IF(H691&gt;$L$5/10*9,"1",IF(H691&gt;$L$5/10*8,"2",IF(H691&gt;$L$5/10*7,"3",IF(H691&gt;$L$5/10*6,"4",IF(H691&gt;$L$5/10*5,"5",IF(H691&gt;$L$5/10*4,"6",IF(H691&gt;$L$5/10*3,"7",IF(H691&gt;$L$5/10*2,"8",IF(H691&gt;$L$5/10,"9","10")))))))))</f>
        <v>6</v>
      </c>
    </row>
    <row r="692" spans="1:9" x14ac:dyDescent="0.55000000000000004">
      <c r="A692">
        <v>2079</v>
      </c>
      <c r="B692">
        <f>estuary_data!U686*weights!$C$2</f>
        <v>1.5076662192614498E-2</v>
      </c>
      <c r="C692">
        <f>estuary_data!R686*weights!$C$5</f>
        <v>5.2080642454447004E-2</v>
      </c>
      <c r="D692">
        <f>estuary_data!V686*weights!$C$3</f>
        <v>4.687990723518342E-3</v>
      </c>
      <c r="E692">
        <f>estuary_data!S686*weights!$C$6</f>
        <v>6.363640248477459E-2</v>
      </c>
      <c r="F692">
        <f>estuary_data!W686*weights!$C$4</f>
        <v>4.8365877836688373E-2</v>
      </c>
      <c r="G692">
        <f>estuary_data!T686*weights!$C$7</f>
        <v>0.1036197871887614</v>
      </c>
      <c r="H692">
        <f>SUM(B692:G692)</f>
        <v>0.28746736288080421</v>
      </c>
      <c r="I692" t="str">
        <f>IF(H692&gt;$L$5/10*9,"1",IF(H692&gt;$L$5/10*8,"2",IF(H692&gt;$L$5/10*7,"3",IF(H692&gt;$L$5/10*6,"4",IF(H692&gt;$L$5/10*5,"5",IF(H692&gt;$L$5/10*4,"6",IF(H692&gt;$L$5/10*3,"7",IF(H692&gt;$L$5/10*2,"8",IF(H692&gt;$L$5/10,"9","10")))))))))</f>
        <v>6</v>
      </c>
    </row>
    <row r="693" spans="1:9" x14ac:dyDescent="0.55000000000000004">
      <c r="A693">
        <v>2080</v>
      </c>
      <c r="B693">
        <f>estuary_data!U687*weights!$C$2</f>
        <v>1.5248806643685855E-2</v>
      </c>
      <c r="C693">
        <f>estuary_data!R687*weights!$C$5</f>
        <v>5.5391388402366667E-2</v>
      </c>
      <c r="D693">
        <f>estuary_data!V687*weights!$C$3</f>
        <v>4.2328643369582567E-3</v>
      </c>
      <c r="E693">
        <f>estuary_data!S687*weights!$C$6</f>
        <v>6.1212790541229814E-2</v>
      </c>
      <c r="F693">
        <f>estuary_data!W687*weights!$C$4</f>
        <v>5.0084043146163389E-2</v>
      </c>
      <c r="G693">
        <f>estuary_data!T687*weights!$C$7</f>
        <v>9.776679575397923E-2</v>
      </c>
      <c r="H693">
        <f>SUM(B693:G693)</f>
        <v>0.28393668882438322</v>
      </c>
      <c r="I693" t="str">
        <f>IF(H693&gt;$L$5/10*9,"1",IF(H693&gt;$L$5/10*8,"2",IF(H693&gt;$L$5/10*7,"3",IF(H693&gt;$L$5/10*6,"4",IF(H693&gt;$L$5/10*5,"5",IF(H693&gt;$L$5/10*4,"6",IF(H693&gt;$L$5/10*3,"7",IF(H693&gt;$L$5/10*2,"8",IF(H693&gt;$L$5/10,"9","10")))))))))</f>
        <v>6</v>
      </c>
    </row>
    <row r="694" spans="1:9" x14ac:dyDescent="0.55000000000000004">
      <c r="A694">
        <v>2081</v>
      </c>
      <c r="B694">
        <f>estuary_data!U688*weights!$C$2</f>
        <v>1.5172679383680204E-2</v>
      </c>
      <c r="C694">
        <f>estuary_data!R688*weights!$C$5</f>
        <v>5.7406136925765218E-2</v>
      </c>
      <c r="D694">
        <f>estuary_data!V688*weights!$C$3</f>
        <v>3.3308249887692965E-3</v>
      </c>
      <c r="E694">
        <f>estuary_data!S688*weights!$C$6</f>
        <v>6.1070285411943898E-2</v>
      </c>
      <c r="F694">
        <f>estuary_data!W688*weights!$C$4</f>
        <v>4.7600669728876957E-2</v>
      </c>
      <c r="G694">
        <f>estuary_data!T688*weights!$C$7</f>
        <v>9.7241668142710333E-2</v>
      </c>
      <c r="H694">
        <f>SUM(B694:G694)</f>
        <v>0.28182226458174592</v>
      </c>
      <c r="I694" t="str">
        <f>IF(H694&gt;$L$5/10*9,"1",IF(H694&gt;$L$5/10*8,"2",IF(H694&gt;$L$5/10*7,"3",IF(H694&gt;$L$5/10*6,"4",IF(H694&gt;$L$5/10*5,"5",IF(H694&gt;$L$5/10*4,"6",IF(H694&gt;$L$5/10*3,"7",IF(H694&gt;$L$5/10*2,"8",IF(H694&gt;$L$5/10,"9","10")))))))))</f>
        <v>6</v>
      </c>
    </row>
    <row r="695" spans="1:9" x14ac:dyDescent="0.55000000000000004">
      <c r="A695">
        <v>2082</v>
      </c>
      <c r="B695">
        <f>estuary_data!U689*weights!$C$2</f>
        <v>1.4970333005371376E-2</v>
      </c>
      <c r="C695">
        <f>estuary_data!R689*weights!$C$5</f>
        <v>6.1722520860594113E-2</v>
      </c>
      <c r="D695">
        <f>estuary_data!V689*weights!$C$3</f>
        <v>5.3961058830586453E-3</v>
      </c>
      <c r="E695">
        <f>estuary_data!S689*weights!$C$6</f>
        <v>5.9555817323170591E-2</v>
      </c>
      <c r="F695">
        <f>estuary_data!W689*weights!$C$4</f>
        <v>4.8557732273800343E-2</v>
      </c>
      <c r="G695">
        <f>estuary_data!T689*weights!$C$7</f>
        <v>9.3093970655078517E-2</v>
      </c>
      <c r="H695">
        <f>SUM(B695:G695)</f>
        <v>0.28329648000107355</v>
      </c>
      <c r="I695" t="str">
        <f>IF(H695&gt;$L$5/10*9,"1",IF(H695&gt;$L$5/10*8,"2",IF(H695&gt;$L$5/10*7,"3",IF(H695&gt;$L$5/10*6,"4",IF(H695&gt;$L$5/10*5,"5",IF(H695&gt;$L$5/10*4,"6",IF(H695&gt;$L$5/10*3,"7",IF(H695&gt;$L$5/10*2,"8",IF(H695&gt;$L$5/10,"9","10")))))))))</f>
        <v>6</v>
      </c>
    </row>
    <row r="696" spans="1:9" x14ac:dyDescent="0.55000000000000004">
      <c r="A696">
        <v>2083</v>
      </c>
      <c r="B696">
        <f>estuary_data!U690*weights!$C$2</f>
        <v>1.59918874026003E-2</v>
      </c>
      <c r="C696">
        <f>estuary_data!R690*weights!$C$5</f>
        <v>6.5719043894645154E-2</v>
      </c>
      <c r="D696">
        <f>estuary_data!V690*weights!$C$3</f>
        <v>3.3166650765391308E-3</v>
      </c>
      <c r="E696">
        <f>estuary_data!S690*weights!$C$6</f>
        <v>5.9296268593323896E-2</v>
      </c>
      <c r="F696">
        <f>estuary_data!W690*weights!$C$4</f>
        <v>5.1369951288672402E-2</v>
      </c>
      <c r="G696">
        <f>estuary_data!T690*weights!$C$7</f>
        <v>9.1454541454640409E-2</v>
      </c>
      <c r="H696">
        <f>SUM(B696:G696)</f>
        <v>0.28714835771042124</v>
      </c>
      <c r="I696" t="str">
        <f>IF(H696&gt;$L$5/10*9,"1",IF(H696&gt;$L$5/10*8,"2",IF(H696&gt;$L$5/10*7,"3",IF(H696&gt;$L$5/10*6,"4",IF(H696&gt;$L$5/10*5,"5",IF(H696&gt;$L$5/10*4,"6",IF(H696&gt;$L$5/10*3,"7",IF(H696&gt;$L$5/10*2,"8",IF(H696&gt;$L$5/10,"9","10")))))))))</f>
        <v>6</v>
      </c>
    </row>
    <row r="697" spans="1:9" x14ac:dyDescent="0.55000000000000004">
      <c r="A697">
        <v>2084</v>
      </c>
      <c r="B697">
        <f>estuary_data!U691*weights!$C$2</f>
        <v>1.7542740215201358E-2</v>
      </c>
      <c r="C697">
        <f>estuary_data!R691*weights!$C$5</f>
        <v>6.4798959829722697E-2</v>
      </c>
      <c r="D697">
        <f>estuary_data!V691*weights!$C$3</f>
        <v>6.7295949939829205E-3</v>
      </c>
      <c r="E697">
        <f>estuary_data!S691*weights!$C$6</f>
        <v>6.1111195634607436E-2</v>
      </c>
      <c r="F697">
        <f>estuary_data!W691*weights!$C$4</f>
        <v>5.6243569738108457E-2</v>
      </c>
      <c r="G697">
        <f>estuary_data!T691*weights!$C$7</f>
        <v>9.5998781237800895E-2</v>
      </c>
      <c r="H697">
        <f>SUM(B697:G697)</f>
        <v>0.30242484164942374</v>
      </c>
      <c r="I697" t="str">
        <f>IF(H697&gt;$L$5/10*9,"1",IF(H697&gt;$L$5/10*8,"2",IF(H697&gt;$L$5/10*7,"3",IF(H697&gt;$L$5/10*6,"4",IF(H697&gt;$L$5/10*5,"5",IF(H697&gt;$L$5/10*4,"6",IF(H697&gt;$L$5/10*3,"7",IF(H697&gt;$L$5/10*2,"8",IF(H697&gt;$L$5/10,"9","10")))))))))</f>
        <v>6</v>
      </c>
    </row>
    <row r="698" spans="1:9" x14ac:dyDescent="0.55000000000000004">
      <c r="A698">
        <v>2085</v>
      </c>
      <c r="B698">
        <f>estuary_data!U692*weights!$C$2</f>
        <v>1.8356831635506828E-2</v>
      </c>
      <c r="C698">
        <f>estuary_data!R692*weights!$C$5</f>
        <v>5.762183540490548E-2</v>
      </c>
      <c r="D698">
        <f>estuary_data!V692*weights!$C$3</f>
        <v>6.2081832562565714E-3</v>
      </c>
      <c r="E698">
        <f>estuary_data!S692*weights!$C$6</f>
        <v>7.13694825072205E-2</v>
      </c>
      <c r="F698">
        <f>estuary_data!W692*weights!$C$4</f>
        <v>6.1859094074840346E-2</v>
      </c>
      <c r="G698">
        <f>estuary_data!T692*weights!$C$7</f>
        <v>0.11864988357016554</v>
      </c>
      <c r="H698">
        <f>SUM(B698:G698)</f>
        <v>0.33406531044889526</v>
      </c>
      <c r="I698" t="str">
        <f>IF(H698&gt;$L$5/10*9,"1",IF(H698&gt;$L$5/10*8,"2",IF(H698&gt;$L$5/10*7,"3",IF(H698&gt;$L$5/10*6,"4",IF(H698&gt;$L$5/10*5,"5",IF(H698&gt;$L$5/10*4,"6",IF(H698&gt;$L$5/10*3,"7",IF(H698&gt;$L$5/10*2,"8",IF(H698&gt;$L$5/10,"9","10")))))))))</f>
        <v>5</v>
      </c>
    </row>
    <row r="699" spans="1:9" x14ac:dyDescent="0.55000000000000004">
      <c r="A699">
        <v>2086</v>
      </c>
      <c r="B699">
        <f>estuary_data!U693*weights!$C$2</f>
        <v>1.8327135397154155E-2</v>
      </c>
      <c r="C699">
        <f>estuary_data!R693*weights!$C$5</f>
        <v>5.5068150803939932E-2</v>
      </c>
      <c r="D699">
        <f>estuary_data!V693*weights!$C$3</f>
        <v>5.2534444176269776E-3</v>
      </c>
      <c r="E699">
        <f>estuary_data!S693*weights!$C$6</f>
        <v>7.4410519560207333E-2</v>
      </c>
      <c r="F699">
        <f>estuary_data!W693*weights!$C$4</f>
        <v>5.9556826071726042E-2</v>
      </c>
      <c r="G699">
        <f>estuary_data!T693*weights!$C$7</f>
        <v>0.1253100628094854</v>
      </c>
      <c r="H699">
        <f>SUM(B699:G699)</f>
        <v>0.33792613906013985</v>
      </c>
      <c r="I699" t="str">
        <f>IF(H699&gt;$L$5/10*9,"1",IF(H699&gt;$L$5/10*8,"2",IF(H699&gt;$L$5/10*7,"3",IF(H699&gt;$L$5/10*6,"4",IF(H699&gt;$L$5/10*5,"5",IF(H699&gt;$L$5/10*4,"6",IF(H699&gt;$L$5/10*3,"7",IF(H699&gt;$L$5/10*2,"8",IF(H699&gt;$L$5/10,"9","10")))))))))</f>
        <v>5</v>
      </c>
    </row>
    <row r="700" spans="1:9" x14ac:dyDescent="0.55000000000000004">
      <c r="A700">
        <v>2087</v>
      </c>
      <c r="B700">
        <f>estuary_data!U694*weights!$C$2</f>
        <v>1.5896846301729911E-2</v>
      </c>
      <c r="C700">
        <f>estuary_data!R694*weights!$C$5</f>
        <v>5.535083968350113E-2</v>
      </c>
      <c r="D700">
        <f>estuary_data!V694*weights!$C$3</f>
        <v>7.6553419027029241E-3</v>
      </c>
      <c r="E700">
        <f>estuary_data!S694*weights!$C$6</f>
        <v>7.5173599767561758E-2</v>
      </c>
      <c r="F700">
        <f>estuary_data!W694*weights!$C$4</f>
        <v>6.7145138378949934E-2</v>
      </c>
      <c r="G700">
        <f>estuary_data!T694*weights!$C$7</f>
        <v>0.12444636631687619</v>
      </c>
      <c r="H700">
        <f>SUM(B700:G700)</f>
        <v>0.34566813235132188</v>
      </c>
      <c r="I700" t="str">
        <f>IF(H700&gt;$L$5/10*9,"1",IF(H700&gt;$L$5/10*8,"2",IF(H700&gt;$L$5/10*7,"3",IF(H700&gt;$L$5/10*6,"4",IF(H700&gt;$L$5/10*5,"5",IF(H700&gt;$L$5/10*4,"6",IF(H700&gt;$L$5/10*3,"7",IF(H700&gt;$L$5/10*2,"8",IF(H700&gt;$L$5/10,"9","10")))))))))</f>
        <v>5</v>
      </c>
    </row>
    <row r="701" spans="1:9" x14ac:dyDescent="0.55000000000000004">
      <c r="A701">
        <v>2088</v>
      </c>
      <c r="B701">
        <f>estuary_data!U695*weights!$C$2</f>
        <v>1.5300960432711525E-2</v>
      </c>
      <c r="C701">
        <f>estuary_data!R695*weights!$C$5</f>
        <v>5.6551264347292379E-2</v>
      </c>
      <c r="D701">
        <f>estuary_data!V695*weights!$C$3</f>
        <v>8.8436723636882274E-3</v>
      </c>
      <c r="E701">
        <f>estuary_data!S695*weights!$C$6</f>
        <v>7.4438406002939467E-2</v>
      </c>
      <c r="F701">
        <f>estuary_data!W695*weights!$C$4</f>
        <v>6.0886571498878481E-2</v>
      </c>
      <c r="G701">
        <f>estuary_data!T695*weights!$C$7</f>
        <v>0.12129829016015924</v>
      </c>
      <c r="H701">
        <f>SUM(B701:G701)</f>
        <v>0.33731916480566931</v>
      </c>
      <c r="I701" t="str">
        <f>IF(H701&gt;$L$5/10*9,"1",IF(H701&gt;$L$5/10*8,"2",IF(H701&gt;$L$5/10*7,"3",IF(H701&gt;$L$5/10*6,"4",IF(H701&gt;$L$5/10*5,"5",IF(H701&gt;$L$5/10*4,"6",IF(H701&gt;$L$5/10*3,"7",IF(H701&gt;$L$5/10*2,"8",IF(H701&gt;$L$5/10,"9","10")))))))))</f>
        <v>5</v>
      </c>
    </row>
    <row r="702" spans="1:9" x14ac:dyDescent="0.55000000000000004">
      <c r="A702">
        <v>2089</v>
      </c>
      <c r="B702">
        <f>estuary_data!U696*weights!$C$2</f>
        <v>9.0062693481131623E-3</v>
      </c>
      <c r="C702">
        <f>estuary_data!R696*weights!$C$5</f>
        <v>6.0850520717977349E-2</v>
      </c>
      <c r="D702">
        <f>estuary_data!V696*weights!$C$3</f>
        <v>1.2646259666374213E-2</v>
      </c>
      <c r="E702">
        <f>estuary_data!S696*weights!$C$6</f>
        <v>7.10311331170983E-2</v>
      </c>
      <c r="F702">
        <f>estuary_data!W696*weights!$C$4</f>
        <v>6.3793374551644064E-2</v>
      </c>
      <c r="G702">
        <f>estuary_data!T696*weights!$C$7</f>
        <v>0.11015843004362454</v>
      </c>
      <c r="H702">
        <f>SUM(B702:G702)</f>
        <v>0.32748598744483159</v>
      </c>
      <c r="I702" t="str">
        <f>IF(H702&gt;$L$5/10*9,"1",IF(H702&gt;$L$5/10*8,"2",IF(H702&gt;$L$5/10*7,"3",IF(H702&gt;$L$5/10*6,"4",IF(H702&gt;$L$5/10*5,"5",IF(H702&gt;$L$5/10*4,"6",IF(H702&gt;$L$5/10*3,"7",IF(H702&gt;$L$5/10*2,"8",IF(H702&gt;$L$5/10,"9","10")))))))))</f>
        <v>6</v>
      </c>
    </row>
    <row r="703" spans="1:9" x14ac:dyDescent="0.55000000000000004">
      <c r="A703">
        <v>2090</v>
      </c>
      <c r="B703">
        <f>estuary_data!U697*weights!$C$2</f>
        <v>7.6552300335290925E-3</v>
      </c>
      <c r="C703">
        <f>estuary_data!R697*weights!$C$5</f>
        <v>6.1409564844924908E-2</v>
      </c>
      <c r="D703">
        <f>estuary_data!V697*weights!$C$3</f>
        <v>1.3510213917431475E-2</v>
      </c>
      <c r="E703">
        <f>estuary_data!S697*weights!$C$6</f>
        <v>7.0404519425824014E-2</v>
      </c>
      <c r="F703">
        <f>estuary_data!W697*weights!$C$4</f>
        <v>6.4857906754530348E-2</v>
      </c>
      <c r="G703">
        <f>estuary_data!T697*weights!$C$7</f>
        <v>0.10883134993283546</v>
      </c>
      <c r="H703">
        <f>SUM(B703:G703)</f>
        <v>0.3266687849090753</v>
      </c>
      <c r="I703" t="str">
        <f>IF(H703&gt;$L$5/10*9,"1",IF(H703&gt;$L$5/10*8,"2",IF(H703&gt;$L$5/10*7,"3",IF(H703&gt;$L$5/10*6,"4",IF(H703&gt;$L$5/10*5,"5",IF(H703&gt;$L$5/10*4,"6",IF(H703&gt;$L$5/10*3,"7",IF(H703&gt;$L$5/10*2,"8",IF(H703&gt;$L$5/10,"9","10")))))))))</f>
        <v>6</v>
      </c>
    </row>
    <row r="704" spans="1:9" x14ac:dyDescent="0.55000000000000004">
      <c r="A704">
        <v>2091</v>
      </c>
      <c r="B704">
        <f>estuary_data!U698*weights!$C$2</f>
        <v>1.9635219067598978E-3</v>
      </c>
      <c r="C704">
        <f>estuary_data!R698*weights!$C$5</f>
        <v>6.4726308959428588E-2</v>
      </c>
      <c r="D704">
        <f>estuary_data!V698*weights!$C$3</f>
        <v>1.2886527682994569E-2</v>
      </c>
      <c r="E704">
        <f>estuary_data!S698*weights!$C$6</f>
        <v>6.8411126058940466E-2</v>
      </c>
      <c r="F704">
        <f>estuary_data!W698*weights!$C$4</f>
        <v>4.420042111196E-2</v>
      </c>
      <c r="G704">
        <f>estuary_data!T698*weights!$C$7</f>
        <v>0.10519616439660649</v>
      </c>
      <c r="H704">
        <f>SUM(B704:G704)</f>
        <v>0.29738407011669005</v>
      </c>
      <c r="I704" t="str">
        <f>IF(H704&gt;$L$5/10*9,"1",IF(H704&gt;$L$5/10*8,"2",IF(H704&gt;$L$5/10*7,"3",IF(H704&gt;$L$5/10*6,"4",IF(H704&gt;$L$5/10*5,"5",IF(H704&gt;$L$5/10*4,"6",IF(H704&gt;$L$5/10*3,"7",IF(H704&gt;$L$5/10*2,"8",IF(H704&gt;$L$5/10,"9","10")))))))))</f>
        <v>6</v>
      </c>
    </row>
    <row r="705" spans="1:9" x14ac:dyDescent="0.55000000000000004">
      <c r="A705">
        <v>2092</v>
      </c>
      <c r="B705">
        <f>estuary_data!U699*weights!$C$2</f>
        <v>0</v>
      </c>
      <c r="C705">
        <f>estuary_data!R699*weights!$C$5</f>
        <v>6.7054807432290822E-2</v>
      </c>
      <c r="D705">
        <f>estuary_data!V699*weights!$C$3</f>
        <v>1.2826489482558974E-2</v>
      </c>
      <c r="E705">
        <f>estuary_data!S699*weights!$C$6</f>
        <v>6.810852069505223E-2</v>
      </c>
      <c r="F705">
        <f>estuary_data!W699*weights!$C$4</f>
        <v>4.531168029008871E-2</v>
      </c>
      <c r="G705">
        <f>estuary_data!T699*weights!$C$7</f>
        <v>0.10481616771894835</v>
      </c>
      <c r="H705">
        <f>SUM(B705:G705)</f>
        <v>0.2981176656189391</v>
      </c>
      <c r="I705" t="str">
        <f>IF(H705&gt;$L$5/10*9,"1",IF(H705&gt;$L$5/10*8,"2",IF(H705&gt;$L$5/10*7,"3",IF(H705&gt;$L$5/10*6,"4",IF(H705&gt;$L$5/10*5,"5",IF(H705&gt;$L$5/10*4,"6",IF(H705&gt;$L$5/10*3,"7",IF(H705&gt;$L$5/10*2,"8",IF(H705&gt;$L$5/10,"9","10")))))))))</f>
        <v>6</v>
      </c>
    </row>
    <row r="706" spans="1:9" x14ac:dyDescent="0.55000000000000004">
      <c r="A706">
        <v>2093</v>
      </c>
      <c r="B706">
        <f>estuary_data!U700*weights!$C$2</f>
        <v>3.7902606022148433E-3</v>
      </c>
      <c r="C706">
        <f>estuary_data!R700*weights!$C$5</f>
        <v>7.1650027738451638E-2</v>
      </c>
      <c r="D706">
        <f>estuary_data!V700*weights!$C$3</f>
        <v>1.2616371445331134E-2</v>
      </c>
      <c r="E706">
        <f>estuary_data!S700*weights!$C$6</f>
        <v>6.5594401366272842E-2</v>
      </c>
      <c r="F706">
        <f>estuary_data!W700*weights!$C$4</f>
        <v>5.6183109092768045E-2</v>
      </c>
      <c r="G706">
        <f>estuary_data!T700*weights!$C$7</f>
        <v>9.9379238512491308E-2</v>
      </c>
      <c r="H706">
        <f>SUM(B706:G706)</f>
        <v>0.30921340875752978</v>
      </c>
      <c r="I706" t="str">
        <f>IF(H706&gt;$L$5/10*9,"1",IF(H706&gt;$L$5/10*8,"2",IF(H706&gt;$L$5/10*7,"3",IF(H706&gt;$L$5/10*6,"4",IF(H706&gt;$L$5/10*5,"5",IF(H706&gt;$L$5/10*4,"6",IF(H706&gt;$L$5/10*3,"7",IF(H706&gt;$L$5/10*2,"8",IF(H706&gt;$L$5/10,"9","10")))))))))</f>
        <v>6</v>
      </c>
    </row>
    <row r="707" spans="1:9" x14ac:dyDescent="0.55000000000000004">
      <c r="A707">
        <v>2094</v>
      </c>
      <c r="B707">
        <f>estuary_data!U701*weights!$C$2</f>
        <v>7.0796931330860315E-3</v>
      </c>
      <c r="C707">
        <f>estuary_data!R701*weights!$C$5</f>
        <v>7.5248006624340849E-2</v>
      </c>
      <c r="D707">
        <f>estuary_data!V701*weights!$C$3</f>
        <v>1.2589708479489087E-2</v>
      </c>
      <c r="E707">
        <f>estuary_data!S701*weights!$C$6</f>
        <v>6.2509298972978244E-2</v>
      </c>
      <c r="F707">
        <f>estuary_data!W701*weights!$C$4</f>
        <v>6.4663095098842341E-2</v>
      </c>
      <c r="G707">
        <f>estuary_data!T701*weights!$C$7</f>
        <v>9.0781872335260499E-2</v>
      </c>
      <c r="H707">
        <f>SUM(B707:G707)</f>
        <v>0.31287167464399701</v>
      </c>
      <c r="I707" t="str">
        <f>IF(H707&gt;$L$5/10*9,"1",IF(H707&gt;$L$5/10*8,"2",IF(H707&gt;$L$5/10*7,"3",IF(H707&gt;$L$5/10*6,"4",IF(H707&gt;$L$5/10*5,"5",IF(H707&gt;$L$5/10*4,"6",IF(H707&gt;$L$5/10*3,"7",IF(H707&gt;$L$5/10*2,"8",IF(H707&gt;$L$5/10,"9","10")))))))))</f>
        <v>6</v>
      </c>
    </row>
    <row r="708" spans="1:9" x14ac:dyDescent="0.55000000000000004">
      <c r="A708">
        <v>2095</v>
      </c>
      <c r="B708">
        <f>estuary_data!U702*weights!$C$2</f>
        <v>9.9129686215696962E-3</v>
      </c>
      <c r="C708">
        <f>estuary_data!R702*weights!$C$5</f>
        <v>7.7794085693085088E-2</v>
      </c>
      <c r="D708">
        <f>estuary_data!V702*weights!$C$3</f>
        <v>7.3589070100488173E-3</v>
      </c>
      <c r="E708">
        <f>estuary_data!S702*weights!$C$6</f>
        <v>5.9991898762932705E-2</v>
      </c>
      <c r="F708">
        <f>estuary_data!W702*weights!$C$4</f>
        <v>5.5878479355815733E-2</v>
      </c>
      <c r="G708">
        <f>estuary_data!T702*weights!$C$7</f>
        <v>8.3874189714246178E-2</v>
      </c>
      <c r="H708">
        <f>SUM(B708:G708)</f>
        <v>0.29481052915769823</v>
      </c>
      <c r="I708" t="str">
        <f>IF(H708&gt;$L$5/10*9,"1",IF(H708&gt;$L$5/10*8,"2",IF(H708&gt;$L$5/10*7,"3",IF(H708&gt;$L$5/10*6,"4",IF(H708&gt;$L$5/10*5,"5",IF(H708&gt;$L$5/10*4,"6",IF(H708&gt;$L$5/10*3,"7",IF(H708&gt;$L$5/10*2,"8",IF(H708&gt;$L$5/10,"9","10")))))))))</f>
        <v>6</v>
      </c>
    </row>
    <row r="709" spans="1:9" x14ac:dyDescent="0.55000000000000004">
      <c r="A709">
        <v>2096</v>
      </c>
      <c r="B709">
        <f>estuary_data!U703*weights!$C$2</f>
        <v>1.1188584533671515E-2</v>
      </c>
      <c r="C709">
        <f>estuary_data!R703*weights!$C$5</f>
        <v>7.8043921600852162E-2</v>
      </c>
      <c r="D709">
        <f>estuary_data!V703*weights!$C$3</f>
        <v>9.7817474882826404E-3</v>
      </c>
      <c r="E709">
        <f>estuary_data!S703*weights!$C$6</f>
        <v>5.9799053417677238E-2</v>
      </c>
      <c r="F709">
        <f>estuary_data!W703*weights!$C$4</f>
        <v>6.4079816306154239E-2</v>
      </c>
      <c r="G709">
        <f>estuary_data!T703*weights!$C$7</f>
        <v>8.4316475799118551E-2</v>
      </c>
      <c r="H709">
        <f>SUM(B709:G709)</f>
        <v>0.30720959914575635</v>
      </c>
      <c r="I709" t="str">
        <f>IF(H709&gt;$L$5/10*9,"1",IF(H709&gt;$L$5/10*8,"2",IF(H709&gt;$L$5/10*7,"3",IF(H709&gt;$L$5/10*6,"4",IF(H709&gt;$L$5/10*5,"5",IF(H709&gt;$L$5/10*4,"6",IF(H709&gt;$L$5/10*3,"7",IF(H709&gt;$L$5/10*2,"8",IF(H709&gt;$L$5/10,"9","10")))))))))</f>
        <v>6</v>
      </c>
    </row>
    <row r="710" spans="1:9" x14ac:dyDescent="0.55000000000000004">
      <c r="A710">
        <v>2097</v>
      </c>
      <c r="B710">
        <f>estuary_data!U704*weights!$C$2</f>
        <v>1.2656424174649624E-2</v>
      </c>
      <c r="C710">
        <f>estuary_data!R704*weights!$C$5</f>
        <v>7.854860319683285E-2</v>
      </c>
      <c r="D710">
        <f>estuary_data!V704*weights!$C$3</f>
        <v>6.9865099369312463E-3</v>
      </c>
      <c r="E710">
        <f>estuary_data!S704*weights!$C$6</f>
        <v>5.9582409129663075E-2</v>
      </c>
      <c r="F710">
        <f>estuary_data!W704*weights!$C$4</f>
        <v>7.1112150055229931E-2</v>
      </c>
      <c r="G710">
        <f>estuary_data!T704*weights!$C$7</f>
        <v>8.4005012802171278E-2</v>
      </c>
      <c r="H710">
        <f>SUM(B710:G710)</f>
        <v>0.31289110929547798</v>
      </c>
      <c r="I710" t="str">
        <f>IF(H710&gt;$L$5/10*9,"1",IF(H710&gt;$L$5/10*8,"2",IF(H710&gt;$L$5/10*7,"3",IF(H710&gt;$L$5/10*6,"4",IF(H710&gt;$L$5/10*5,"5",IF(H710&gt;$L$5/10*4,"6",IF(H710&gt;$L$5/10*3,"7",IF(H710&gt;$L$5/10*2,"8",IF(H710&gt;$L$5/10,"9","10")))))))))</f>
        <v>6</v>
      </c>
    </row>
    <row r="711" spans="1:9" x14ac:dyDescent="0.55000000000000004">
      <c r="A711">
        <v>2098</v>
      </c>
      <c r="B711">
        <f>estuary_data!U705*weights!$C$2</f>
        <v>1.5923194207805101E-2</v>
      </c>
      <c r="C711">
        <f>estuary_data!R705*weights!$C$5</f>
        <v>8.0497855631258594E-2</v>
      </c>
      <c r="D711">
        <f>estuary_data!V705*weights!$C$3</f>
        <v>8.1534078590936535E-3</v>
      </c>
      <c r="E711">
        <f>estuary_data!S705*weights!$C$6</f>
        <v>5.7723228421604829E-2</v>
      </c>
      <c r="F711">
        <f>estuary_data!W705*weights!$C$4</f>
        <v>8.0781318351396805E-2</v>
      </c>
      <c r="G711">
        <f>estuary_data!T705*weights!$C$7</f>
        <v>7.9634039164222056E-2</v>
      </c>
      <c r="H711">
        <f>SUM(B711:G711)</f>
        <v>0.32271304363538106</v>
      </c>
      <c r="I711" t="str">
        <f>IF(H711&gt;$L$5/10*9,"1",IF(H711&gt;$L$5/10*8,"2",IF(H711&gt;$L$5/10*7,"3",IF(H711&gt;$L$5/10*6,"4",IF(H711&gt;$L$5/10*5,"5",IF(H711&gt;$L$5/10*4,"6",IF(H711&gt;$L$5/10*3,"7",IF(H711&gt;$L$5/10*2,"8",IF(H711&gt;$L$5/10,"9","10")))))))))</f>
        <v>6</v>
      </c>
    </row>
    <row r="712" spans="1:9" x14ac:dyDescent="0.55000000000000004">
      <c r="A712">
        <v>2099</v>
      </c>
      <c r="B712">
        <f>estuary_data!U706*weights!$C$2</f>
        <v>1.7250290853275032E-2</v>
      </c>
      <c r="C712">
        <f>estuary_data!R706*weights!$C$5</f>
        <v>8.055307730508135E-2</v>
      </c>
      <c r="D712">
        <f>estuary_data!V706*weights!$C$3</f>
        <v>6.542536626742289E-3</v>
      </c>
      <c r="E712">
        <f>estuary_data!S706*weights!$C$6</f>
        <v>5.7590254352187786E-2</v>
      </c>
      <c r="F712">
        <f>estuary_data!W706*weights!$C$4</f>
        <v>7.4837438404853546E-2</v>
      </c>
      <c r="G712">
        <f>estuary_data!T706*weights!$C$7</f>
        <v>7.9253264594820461E-2</v>
      </c>
      <c r="H712">
        <f>SUM(B712:G712)</f>
        <v>0.31602686213696046</v>
      </c>
      <c r="I712" t="str">
        <f>IF(H712&gt;$L$5/10*9,"1",IF(H712&gt;$L$5/10*8,"2",IF(H712&gt;$L$5/10*7,"3",IF(H712&gt;$L$5/10*6,"4",IF(H712&gt;$L$5/10*5,"5",IF(H712&gt;$L$5/10*4,"6",IF(H712&gt;$L$5/10*3,"7",IF(H712&gt;$L$5/10*2,"8",IF(H712&gt;$L$5/10,"9","10")))))))))</f>
        <v>6</v>
      </c>
    </row>
    <row r="713" spans="1:9" x14ac:dyDescent="0.55000000000000004">
      <c r="A713">
        <v>2100</v>
      </c>
      <c r="B713">
        <f>estuary_data!U707*weights!$C$2</f>
        <v>8.826603779179451E-2</v>
      </c>
      <c r="C713">
        <f>estuary_data!R707*weights!$C$5</f>
        <v>0.12265385126649928</v>
      </c>
      <c r="D713">
        <f>estuary_data!V707*weights!$C$3</f>
        <v>2.3926055686437252E-2</v>
      </c>
      <c r="E713">
        <f>estuary_data!S707*weights!$C$6</f>
        <v>2.4815485301512074E-2</v>
      </c>
      <c r="F713">
        <f>estuary_data!W707*weights!$C$4</f>
        <v>4.7977359867369812E-2</v>
      </c>
      <c r="G713">
        <f>estuary_data!T707*weights!$C$7</f>
        <v>3.0147111822155074E-2</v>
      </c>
      <c r="H713">
        <f>SUM(B713:G713)</f>
        <v>0.337785901735768</v>
      </c>
      <c r="I713" t="str">
        <f>IF(H713&gt;$L$5/10*9,"1",IF(H713&gt;$L$5/10*8,"2",IF(H713&gt;$L$5/10*7,"3",IF(H713&gt;$L$5/10*6,"4",IF(H713&gt;$L$5/10*5,"5",IF(H713&gt;$L$5/10*4,"6",IF(H713&gt;$L$5/10*3,"7",IF(H713&gt;$L$5/10*2,"8",IF(H713&gt;$L$5/10,"9","10")))))))))</f>
        <v>5</v>
      </c>
    </row>
    <row r="714" spans="1:9" x14ac:dyDescent="0.55000000000000004">
      <c r="A714">
        <v>2101</v>
      </c>
      <c r="B714">
        <f>estuary_data!U708*weights!$C$2</f>
        <v>1.9130738532933539E-2</v>
      </c>
      <c r="C714">
        <f>estuary_data!R708*weights!$C$5</f>
        <v>8.2215774232068675E-2</v>
      </c>
      <c r="D714">
        <f>estuary_data!V708*weights!$C$3</f>
        <v>1.2048871688759566E-2</v>
      </c>
      <c r="E714">
        <f>estuary_data!S708*weights!$C$6</f>
        <v>5.4322653770052076E-2</v>
      </c>
      <c r="F714">
        <f>estuary_data!W708*weights!$C$4</f>
        <v>8.4971343483483508E-2</v>
      </c>
      <c r="G714">
        <f>estuary_data!T708*weights!$C$7</f>
        <v>7.1524797145200339E-2</v>
      </c>
      <c r="H714">
        <f>SUM(B714:G714)</f>
        <v>0.3242141788524977</v>
      </c>
      <c r="I714" t="str">
        <f>IF(H714&gt;$L$5/10*9,"1",IF(H714&gt;$L$5/10*8,"2",IF(H714&gt;$L$5/10*7,"3",IF(H714&gt;$L$5/10*6,"4",IF(H714&gt;$L$5/10*5,"5",IF(H714&gt;$L$5/10*4,"6",IF(H714&gt;$L$5/10*3,"7",IF(H714&gt;$L$5/10*2,"8",IF(H714&gt;$L$5/10,"9","10")))))))))</f>
        <v>6</v>
      </c>
    </row>
    <row r="715" spans="1:9" x14ac:dyDescent="0.55000000000000004">
      <c r="A715">
        <v>2102</v>
      </c>
      <c r="B715">
        <f>estuary_data!U709*weights!$C$2</f>
        <v>8.826603779179451E-2</v>
      </c>
      <c r="C715">
        <f>estuary_data!R709*weights!$C$5</f>
        <v>0.12265385126649928</v>
      </c>
      <c r="D715">
        <f>estuary_data!V709*weights!$C$3</f>
        <v>2.3926055686437252E-2</v>
      </c>
      <c r="E715">
        <f>estuary_data!S709*weights!$C$6</f>
        <v>2.4815485301512074E-2</v>
      </c>
      <c r="F715">
        <f>estuary_data!W709*weights!$C$4</f>
        <v>4.7977359867369812E-2</v>
      </c>
      <c r="G715">
        <f>estuary_data!T709*weights!$C$7</f>
        <v>3.0147111822155074E-2</v>
      </c>
      <c r="H715">
        <f>SUM(B715:G715)</f>
        <v>0.337785901735768</v>
      </c>
      <c r="I715" t="str">
        <f>IF(H715&gt;$L$5/10*9,"1",IF(H715&gt;$L$5/10*8,"2",IF(H715&gt;$L$5/10*7,"3",IF(H715&gt;$L$5/10*6,"4",IF(H715&gt;$L$5/10*5,"5",IF(H715&gt;$L$5/10*4,"6",IF(H715&gt;$L$5/10*3,"7",IF(H715&gt;$L$5/10*2,"8",IF(H715&gt;$L$5/10,"9","10")))))))))</f>
        <v>5</v>
      </c>
    </row>
    <row r="716" spans="1:9" x14ac:dyDescent="0.55000000000000004">
      <c r="A716">
        <v>2103</v>
      </c>
      <c r="B716">
        <f>estuary_data!U710*weights!$C$2</f>
        <v>8.826603779179451E-2</v>
      </c>
      <c r="C716">
        <f>estuary_data!R710*weights!$C$5</f>
        <v>0.12265385126649928</v>
      </c>
      <c r="D716">
        <f>estuary_data!V710*weights!$C$3</f>
        <v>2.3926055686437252E-2</v>
      </c>
      <c r="E716">
        <f>estuary_data!S710*weights!$C$6</f>
        <v>2.4815485301512074E-2</v>
      </c>
      <c r="F716">
        <f>estuary_data!W710*weights!$C$4</f>
        <v>4.7977359867369812E-2</v>
      </c>
      <c r="G716">
        <f>estuary_data!T710*weights!$C$7</f>
        <v>3.0147111822155074E-2</v>
      </c>
      <c r="H716">
        <f>SUM(B716:G716)</f>
        <v>0.337785901735768</v>
      </c>
      <c r="I716" t="str">
        <f>IF(H716&gt;$L$5/10*9,"1",IF(H716&gt;$L$5/10*8,"2",IF(H716&gt;$L$5/10*7,"3",IF(H716&gt;$L$5/10*6,"4",IF(H716&gt;$L$5/10*5,"5",IF(H716&gt;$L$5/10*4,"6",IF(H716&gt;$L$5/10*3,"7",IF(H716&gt;$L$5/10*2,"8",IF(H716&gt;$L$5/10,"9","10")))))))))</f>
        <v>5</v>
      </c>
    </row>
    <row r="717" spans="1:9" x14ac:dyDescent="0.55000000000000004">
      <c r="A717">
        <v>2104</v>
      </c>
      <c r="B717">
        <f>estuary_data!U711*weights!$C$2</f>
        <v>8.826603779179451E-2</v>
      </c>
      <c r="C717">
        <f>estuary_data!R711*weights!$C$5</f>
        <v>0.12265385126649928</v>
      </c>
      <c r="D717">
        <f>estuary_data!V711*weights!$C$3</f>
        <v>2.3926055686437252E-2</v>
      </c>
      <c r="E717">
        <f>estuary_data!S711*weights!$C$6</f>
        <v>2.4815485301512074E-2</v>
      </c>
      <c r="F717">
        <f>estuary_data!W711*weights!$C$4</f>
        <v>4.7977359867369812E-2</v>
      </c>
      <c r="G717">
        <f>estuary_data!T711*weights!$C$7</f>
        <v>3.0147111822155074E-2</v>
      </c>
      <c r="H717">
        <f>SUM(B717:G717)</f>
        <v>0.337785901735768</v>
      </c>
      <c r="I717" t="str">
        <f>IF(H717&gt;$L$5/10*9,"1",IF(H717&gt;$L$5/10*8,"2",IF(H717&gt;$L$5/10*7,"3",IF(H717&gt;$L$5/10*6,"4",IF(H717&gt;$L$5/10*5,"5",IF(H717&gt;$L$5/10*4,"6",IF(H717&gt;$L$5/10*3,"7",IF(H717&gt;$L$5/10*2,"8",IF(H717&gt;$L$5/10,"9","10")))))))))</f>
        <v>5</v>
      </c>
    </row>
    <row r="718" spans="1:9" x14ac:dyDescent="0.55000000000000004">
      <c r="A718">
        <v>2105</v>
      </c>
      <c r="B718">
        <f>estuary_data!U712*weights!$C$2</f>
        <v>2.0970756321451938E-2</v>
      </c>
      <c r="C718">
        <f>estuary_data!R712*weights!$C$5</f>
        <v>8.3648805330115331E-2</v>
      </c>
      <c r="D718">
        <f>estuary_data!V712*weights!$C$3</f>
        <v>8.4991182814448119E-3</v>
      </c>
      <c r="E718">
        <f>estuary_data!S712*weights!$C$6</f>
        <v>5.1918146323117663E-2</v>
      </c>
      <c r="F718">
        <f>estuary_data!W712*weights!$C$4</f>
        <v>8.4845814787229662E-2</v>
      </c>
      <c r="G718">
        <f>estuary_data!T712*weights!$C$7</f>
        <v>6.6110203955626043E-2</v>
      </c>
      <c r="H718">
        <f>SUM(B718:G718)</f>
        <v>0.31599284499898544</v>
      </c>
      <c r="I718" t="str">
        <f>IF(H718&gt;$L$5/10*9,"1",IF(H718&gt;$L$5/10*8,"2",IF(H718&gt;$L$5/10*7,"3",IF(H718&gt;$L$5/10*6,"4",IF(H718&gt;$L$5/10*5,"5",IF(H718&gt;$L$5/10*4,"6",IF(H718&gt;$L$5/10*3,"7",IF(H718&gt;$L$5/10*2,"8",IF(H718&gt;$L$5/10,"9","10")))))))))</f>
        <v>6</v>
      </c>
    </row>
    <row r="719" spans="1:9" x14ac:dyDescent="0.55000000000000004">
      <c r="A719">
        <v>2106</v>
      </c>
      <c r="B719">
        <f>estuary_data!U713*weights!$C$2</f>
        <v>2.116735705527421E-2</v>
      </c>
      <c r="C719">
        <f>estuary_data!R713*weights!$C$5</f>
        <v>8.2671298004119612E-2</v>
      </c>
      <c r="D719">
        <f>estuary_data!V713*weights!$C$3</f>
        <v>9.4091135845826169E-3</v>
      </c>
      <c r="E719">
        <f>estuary_data!S713*weights!$C$6</f>
        <v>5.2512837060632714E-2</v>
      </c>
      <c r="F719">
        <f>estuary_data!W713*weights!$C$4</f>
        <v>8.5911924580810109E-2</v>
      </c>
      <c r="G719">
        <f>estuary_data!T713*weights!$C$7</f>
        <v>6.8002964106090677E-2</v>
      </c>
      <c r="H719">
        <f>SUM(B719:G719)</f>
        <v>0.31967549439150994</v>
      </c>
      <c r="I719" t="str">
        <f>IF(H719&gt;$L$5/10*9,"1",IF(H719&gt;$L$5/10*8,"2",IF(H719&gt;$L$5/10*7,"3",IF(H719&gt;$L$5/10*6,"4",IF(H719&gt;$L$5/10*5,"5",IF(H719&gt;$L$5/10*4,"6",IF(H719&gt;$L$5/10*3,"7",IF(H719&gt;$L$5/10*2,"8",IF(H719&gt;$L$5/10,"9","10")))))))))</f>
        <v>6</v>
      </c>
    </row>
    <row r="720" spans="1:9" x14ac:dyDescent="0.55000000000000004">
      <c r="A720">
        <v>2107</v>
      </c>
      <c r="B720">
        <f>estuary_data!U714*weights!$C$2</f>
        <v>2.1963209434814772E-2</v>
      </c>
      <c r="C720">
        <f>estuary_data!R714*weights!$C$5</f>
        <v>8.1164983507884064E-2</v>
      </c>
      <c r="D720">
        <f>estuary_data!V714*weights!$C$3</f>
        <v>9.1747013016178058E-3</v>
      </c>
      <c r="E720">
        <f>estuary_data!S714*weights!$C$6</f>
        <v>5.3045908089001018E-2</v>
      </c>
      <c r="F720">
        <f>estuary_data!W714*weights!$C$4</f>
        <v>8.1858080720673854E-2</v>
      </c>
      <c r="G720">
        <f>estuary_data!T714*weights!$C$7</f>
        <v>6.9933028210418524E-2</v>
      </c>
      <c r="H720">
        <f>SUM(B720:G720)</f>
        <v>0.31713991126441005</v>
      </c>
      <c r="I720" t="str">
        <f>IF(H720&gt;$L$5/10*9,"1",IF(H720&gt;$L$5/10*8,"2",IF(H720&gt;$L$5/10*7,"3",IF(H720&gt;$L$5/10*6,"4",IF(H720&gt;$L$5/10*5,"5",IF(H720&gt;$L$5/10*4,"6",IF(H720&gt;$L$5/10*3,"7",IF(H720&gt;$L$5/10*2,"8",IF(H720&gt;$L$5/10,"9","10")))))))))</f>
        <v>6</v>
      </c>
    </row>
    <row r="721" spans="1:9" x14ac:dyDescent="0.55000000000000004">
      <c r="A721">
        <v>2108</v>
      </c>
      <c r="B721">
        <f>estuary_data!U715*weights!$C$2</f>
        <v>2.1209804468627129E-2</v>
      </c>
      <c r="C721">
        <f>estuary_data!R715*weights!$C$5</f>
        <v>7.9362801273011069E-2</v>
      </c>
      <c r="D721">
        <f>estuary_data!V715*weights!$C$3</f>
        <v>2.5081125657442083E-3</v>
      </c>
      <c r="E721">
        <f>estuary_data!S715*weights!$C$6</f>
        <v>5.2726913993668155E-2</v>
      </c>
      <c r="F721">
        <f>estuary_data!W715*weights!$C$4</f>
        <v>7.1183389089982091E-2</v>
      </c>
      <c r="G721">
        <f>estuary_data!T715*weights!$C$7</f>
        <v>7.0982888671125413E-2</v>
      </c>
      <c r="H721">
        <f>SUM(B721:G721)</f>
        <v>0.29797391006215806</v>
      </c>
      <c r="I721" t="str">
        <f>IF(H721&gt;$L$5/10*9,"1",IF(H721&gt;$L$5/10*8,"2",IF(H721&gt;$L$5/10*7,"3",IF(H721&gt;$L$5/10*6,"4",IF(H721&gt;$L$5/10*5,"5",IF(H721&gt;$L$5/10*4,"6",IF(H721&gt;$L$5/10*3,"7",IF(H721&gt;$L$5/10*2,"8",IF(H721&gt;$L$5/10,"9","10")))))))))</f>
        <v>6</v>
      </c>
    </row>
    <row r="722" spans="1:9" x14ac:dyDescent="0.55000000000000004">
      <c r="A722">
        <v>2109</v>
      </c>
      <c r="B722">
        <f>estuary_data!U716*weights!$C$2</f>
        <v>2.3111275269025133E-2</v>
      </c>
      <c r="C722">
        <f>estuary_data!R716*weights!$C$5</f>
        <v>7.0359706186076287E-2</v>
      </c>
      <c r="D722">
        <f>estuary_data!V716*weights!$C$3</f>
        <v>2.2261673155957798E-3</v>
      </c>
      <c r="E722">
        <f>estuary_data!S716*weights!$C$6</f>
        <v>5.7186400205036243E-2</v>
      </c>
      <c r="F722">
        <f>estuary_data!W716*weights!$C$4</f>
        <v>7.1581504230847165E-2</v>
      </c>
      <c r="G722">
        <f>estuary_data!T716*weights!$C$7</f>
        <v>8.7023246454345254E-2</v>
      </c>
      <c r="H722">
        <f>SUM(B722:G722)</f>
        <v>0.31148829966092584</v>
      </c>
      <c r="I722" t="str">
        <f>IF(H722&gt;$L$5/10*9,"1",IF(H722&gt;$L$5/10*8,"2",IF(H722&gt;$L$5/10*7,"3",IF(H722&gt;$L$5/10*6,"4",IF(H722&gt;$L$5/10*5,"5",IF(H722&gt;$L$5/10*4,"6",IF(H722&gt;$L$5/10*3,"7",IF(H722&gt;$L$5/10*2,"8",IF(H722&gt;$L$5/10,"9","10")))))))))</f>
        <v>6</v>
      </c>
    </row>
    <row r="723" spans="1:9" x14ac:dyDescent="0.55000000000000004">
      <c r="A723">
        <v>3000</v>
      </c>
      <c r="B723">
        <f>estuary_data!U717*weights!$C$2</f>
        <v>2.2224062462059099E-2</v>
      </c>
      <c r="C723">
        <f>estuary_data!R717*weights!$C$5</f>
        <v>6.9541155216433698E-2</v>
      </c>
      <c r="D723">
        <f>estuary_data!V717*weights!$C$3</f>
        <v>5.3769009065210444E-3</v>
      </c>
      <c r="E723">
        <f>estuary_data!S717*weights!$C$6</f>
        <v>5.6038044965053949E-2</v>
      </c>
      <c r="F723">
        <f>estuary_data!W717*weights!$C$4</f>
        <v>6.9664478717478107E-2</v>
      </c>
      <c r="G723">
        <f>estuary_data!T717*weights!$C$7</f>
        <v>8.5979452998070721E-2</v>
      </c>
      <c r="H723">
        <f>SUM(B723:G723)</f>
        <v>0.3088240952656166</v>
      </c>
      <c r="I723" t="str">
        <f>IF(H723&gt;$L$5/10*9,"1",IF(H723&gt;$L$5/10*8,"2",IF(H723&gt;$L$5/10*7,"3",IF(H723&gt;$L$5/10*6,"4",IF(H723&gt;$L$5/10*5,"5",IF(H723&gt;$L$5/10*4,"6",IF(H723&gt;$L$5/10*3,"7",IF(H723&gt;$L$5/10*2,"8",IF(H723&gt;$L$5/10,"9","10")))))))))</f>
        <v>6</v>
      </c>
    </row>
    <row r="724" spans="1:9" x14ac:dyDescent="0.55000000000000004">
      <c r="A724">
        <v>3001</v>
      </c>
      <c r="B724">
        <f>estuary_data!U718*weights!$C$2</f>
        <v>2.3156246890299846E-2</v>
      </c>
      <c r="C724">
        <f>estuary_data!R718*weights!$C$5</f>
        <v>6.7890255740366529E-2</v>
      </c>
      <c r="D724">
        <f>estuary_data!V718*weights!$C$3</f>
        <v>0</v>
      </c>
      <c r="E724">
        <f>estuary_data!S718*weights!$C$6</f>
        <v>5.6513419608042612E-2</v>
      </c>
      <c r="F724">
        <f>estuary_data!W718*weights!$C$4</f>
        <v>7.7328356322056868E-2</v>
      </c>
      <c r="G724">
        <f>estuary_data!T718*weights!$C$7</f>
        <v>8.8488465085036966E-2</v>
      </c>
      <c r="H724">
        <f>SUM(B724:G724)</f>
        <v>0.31337674364580281</v>
      </c>
      <c r="I724" t="str">
        <f>IF(H724&gt;$L$5/10*9,"1",IF(H724&gt;$L$5/10*8,"2",IF(H724&gt;$L$5/10*7,"3",IF(H724&gt;$L$5/10*6,"4",IF(H724&gt;$L$5/10*5,"5",IF(H724&gt;$L$5/10*4,"6",IF(H724&gt;$L$5/10*3,"7",IF(H724&gt;$L$5/10*2,"8",IF(H724&gt;$L$5/10,"9","10")))))))))</f>
        <v>6</v>
      </c>
    </row>
    <row r="725" spans="1:9" x14ac:dyDescent="0.55000000000000004">
      <c r="A725">
        <v>3002</v>
      </c>
      <c r="B725">
        <f>estuary_data!U719*weights!$C$2</f>
        <v>1.962920826789186E-2</v>
      </c>
      <c r="C725">
        <f>estuary_data!R719*weights!$C$5</f>
        <v>7.629040758303117E-2</v>
      </c>
      <c r="D725">
        <f>estuary_data!V719*weights!$C$3</f>
        <v>7.8067892956822996E-3</v>
      </c>
      <c r="E725">
        <f>estuary_data!S719*weights!$C$6</f>
        <v>4.4531068685134498E-2</v>
      </c>
      <c r="F725">
        <f>estuary_data!W719*weights!$C$4</f>
        <v>6.2229977403553342E-2</v>
      </c>
      <c r="G725">
        <f>estuary_data!T719*weights!$C$7</f>
        <v>6.0790953895207771E-2</v>
      </c>
      <c r="H725">
        <f>SUM(B725:G725)</f>
        <v>0.27127840513050094</v>
      </c>
      <c r="I725" t="str">
        <f>IF(H725&gt;$L$5/10*9,"1",IF(H725&gt;$L$5/10*8,"2",IF(H725&gt;$L$5/10*7,"3",IF(H725&gt;$L$5/10*6,"4",IF(H725&gt;$L$5/10*5,"5",IF(H725&gt;$L$5/10*4,"6",IF(H725&gt;$L$5/10*3,"7",IF(H725&gt;$L$5/10*2,"8",IF(H725&gt;$L$5/10,"9","10")))))))))</f>
        <v>6</v>
      </c>
    </row>
    <row r="726" spans="1:9" x14ac:dyDescent="0.55000000000000004">
      <c r="A726">
        <v>3003</v>
      </c>
      <c r="B726">
        <f>estuary_data!U720*weights!$C$2</f>
        <v>1.4329176417995828E-2</v>
      </c>
      <c r="C726">
        <f>estuary_data!R720*weights!$C$5</f>
        <v>9.5060623226814883E-2</v>
      </c>
      <c r="D726">
        <f>estuary_data!V720*weights!$C$3</f>
        <v>5.5870441551677105E-3</v>
      </c>
      <c r="E726">
        <f>estuary_data!S720*weights!$C$6</f>
        <v>2.2852952281473379E-2</v>
      </c>
      <c r="F726">
        <f>estuary_data!W720*weights!$C$4</f>
        <v>6.7009066523192537E-2</v>
      </c>
      <c r="G726">
        <f>estuary_data!T720*weights!$C$7</f>
        <v>8.5328864441184017E-3</v>
      </c>
      <c r="H726">
        <f>SUM(B726:G726)</f>
        <v>0.21337174904876274</v>
      </c>
      <c r="I726" t="str">
        <f>IF(H726&gt;$L$5/10*9,"1",IF(H726&gt;$L$5/10*8,"2",IF(H726&gt;$L$5/10*7,"3",IF(H726&gt;$L$5/10*6,"4",IF(H726&gt;$L$5/10*5,"5",IF(H726&gt;$L$5/10*4,"6",IF(H726&gt;$L$5/10*3,"7",IF(H726&gt;$L$5/10*2,"8",IF(H726&gt;$L$5/10,"9","10")))))))))</f>
        <v>7</v>
      </c>
    </row>
    <row r="727" spans="1:9" x14ac:dyDescent="0.55000000000000004">
      <c r="A727">
        <v>3004</v>
      </c>
      <c r="B727">
        <f>estuary_data!U721*weights!$C$2</f>
        <v>1.2690807380413695E-2</v>
      </c>
      <c r="C727">
        <f>estuary_data!R721*weights!$C$5</f>
        <v>0.10171197286441885</v>
      </c>
      <c r="D727">
        <f>estuary_data!V721*weights!$C$3</f>
        <v>2.9757378668394375E-3</v>
      </c>
      <c r="E727">
        <f>estuary_data!S721*weights!$C$6</f>
        <v>1.4127354992362834E-2</v>
      </c>
      <c r="F727">
        <f>estuary_data!W721*weights!$C$4</f>
        <v>6.3900295637958626E-2</v>
      </c>
      <c r="G727">
        <f>estuary_data!T721*weights!$C$7</f>
        <v>1.1580683829232006E-2</v>
      </c>
      <c r="H727">
        <f>SUM(B727:G727)</f>
        <v>0.20698685257122545</v>
      </c>
      <c r="I727" t="str">
        <f>IF(H727&gt;$L$5/10*9,"1",IF(H727&gt;$L$5/10*8,"2",IF(H727&gt;$L$5/10*7,"3",IF(H727&gt;$L$5/10*6,"4",IF(H727&gt;$L$5/10*5,"5",IF(H727&gt;$L$5/10*4,"6",IF(H727&gt;$L$5/10*3,"7",IF(H727&gt;$L$5/10*2,"8",IF(H727&gt;$L$5/10,"9","10")))))))))</f>
        <v>7</v>
      </c>
    </row>
    <row r="728" spans="1:9" x14ac:dyDescent="0.55000000000000004">
      <c r="A728">
        <v>3005</v>
      </c>
      <c r="B728">
        <f>estuary_data!U722*weights!$C$2</f>
        <v>1.3167073954218744E-2</v>
      </c>
      <c r="C728">
        <f>estuary_data!R722*weights!$C$5</f>
        <v>0.10553594884201034</v>
      </c>
      <c r="D728">
        <f>estuary_data!V722*weights!$C$3</f>
        <v>7.571655230882616E-3</v>
      </c>
      <c r="E728">
        <f>estuary_data!S722*weights!$C$6</f>
        <v>9.7856190956468747E-3</v>
      </c>
      <c r="F728">
        <f>estuary_data!W722*weights!$C$4</f>
        <v>5.8741158167301209E-2</v>
      </c>
      <c r="G728">
        <f>estuary_data!T722*weights!$C$7</f>
        <v>2.2369473771698387E-2</v>
      </c>
      <c r="H728">
        <f>SUM(B728:G728)</f>
        <v>0.21717092906175817</v>
      </c>
      <c r="I728" t="str">
        <f>IF(H728&gt;$L$5/10*9,"1",IF(H728&gt;$L$5/10*8,"2",IF(H728&gt;$L$5/10*7,"3",IF(H728&gt;$L$5/10*6,"4",IF(H728&gt;$L$5/10*5,"5",IF(H728&gt;$L$5/10*4,"6",IF(H728&gt;$L$5/10*3,"7",IF(H728&gt;$L$5/10*2,"8",IF(H728&gt;$L$5/10,"9","10")))))))))</f>
        <v>7</v>
      </c>
    </row>
    <row r="729" spans="1:9" x14ac:dyDescent="0.55000000000000004">
      <c r="A729">
        <v>3006</v>
      </c>
      <c r="B729">
        <f>estuary_data!U723*weights!$C$2</f>
        <v>1.3899381037856567E-2</v>
      </c>
      <c r="C729">
        <f>estuary_data!R723*weights!$C$5</f>
        <v>0.1113072178025728</v>
      </c>
      <c r="D729">
        <f>estuary_data!V723*weights!$C$3</f>
        <v>5.7404148789596769E-3</v>
      </c>
      <c r="E729">
        <f>estuary_data!S723*weights!$C$6</f>
        <v>3.8035348198462477E-3</v>
      </c>
      <c r="F729">
        <f>estuary_data!W723*weights!$C$4</f>
        <v>6.1236835987032646E-2</v>
      </c>
      <c r="G729">
        <f>estuary_data!T723*weights!$C$7</f>
        <v>3.7137224626796479E-2</v>
      </c>
      <c r="H729">
        <f>SUM(B729:G729)</f>
        <v>0.2331246091530644</v>
      </c>
      <c r="I729" t="str">
        <f>IF(H729&gt;$L$5/10*9,"1",IF(H729&gt;$L$5/10*8,"2",IF(H729&gt;$L$5/10*7,"3",IF(H729&gt;$L$5/10*6,"4",IF(H729&gt;$L$5/10*5,"5",IF(H729&gt;$L$5/10*4,"6",IF(H729&gt;$L$5/10*3,"7",IF(H729&gt;$L$5/10*2,"8",IF(H729&gt;$L$5/10,"9","10")))))))))</f>
        <v>7</v>
      </c>
    </row>
    <row r="730" spans="1:9" x14ac:dyDescent="0.55000000000000004">
      <c r="A730">
        <v>3007</v>
      </c>
      <c r="B730">
        <f>estuary_data!U724*weights!$C$2</f>
        <v>1.4213014507620534E-2</v>
      </c>
      <c r="C730">
        <f>estuary_data!R724*weights!$C$5</f>
        <v>0.11337941540121002</v>
      </c>
      <c r="D730">
        <f>estuary_data!V724*weights!$C$3</f>
        <v>2.8320044327781796E-3</v>
      </c>
      <c r="E730">
        <f>estuary_data!S724*weights!$C$6</f>
        <v>3.6532127250630377E-3</v>
      </c>
      <c r="F730">
        <f>estuary_data!W724*weights!$C$4</f>
        <v>6.6095215026636941E-2</v>
      </c>
      <c r="G730">
        <f>estuary_data!T724*weights!$C$7</f>
        <v>3.8954634424714134E-2</v>
      </c>
      <c r="H730">
        <f>SUM(B730:G730)</f>
        <v>0.23912749651802284</v>
      </c>
      <c r="I730" t="str">
        <f>IF(H730&gt;$L$5/10*9,"1",IF(H730&gt;$L$5/10*8,"2",IF(H730&gt;$L$5/10*7,"3",IF(H730&gt;$L$5/10*6,"4",IF(H730&gt;$L$5/10*5,"5",IF(H730&gt;$L$5/10*4,"6",IF(H730&gt;$L$5/10*3,"7",IF(H730&gt;$L$5/10*2,"8",IF(H730&gt;$L$5/10,"9","10")))))))))</f>
        <v>7</v>
      </c>
    </row>
    <row r="731" spans="1:9" x14ac:dyDescent="0.55000000000000004">
      <c r="A731">
        <v>3008</v>
      </c>
      <c r="B731">
        <f>estuary_data!U725*weights!$C$2</f>
        <v>1.0063677266708773E-2</v>
      </c>
      <c r="C731">
        <f>estuary_data!R725*weights!$C$5</f>
        <v>0.11597150819318441</v>
      </c>
      <c r="D731">
        <f>estuary_data!V725*weights!$C$3</f>
        <v>2.5724949616269449E-2</v>
      </c>
      <c r="E731">
        <f>estuary_data!S725*weights!$C$6</f>
        <v>2.1725550887602994E-2</v>
      </c>
      <c r="F731">
        <f>estuary_data!W725*weights!$C$4</f>
        <v>9.6369809366877585E-2</v>
      </c>
      <c r="G731">
        <f>estuary_data!T725*weights!$C$7</f>
        <v>8.2363123835584755E-4</v>
      </c>
      <c r="H731">
        <f>SUM(B731:G731)</f>
        <v>0.27067912656899906</v>
      </c>
      <c r="I731" t="str">
        <f>IF(H731&gt;$L$5/10*9,"1",IF(H731&gt;$L$5/10*8,"2",IF(H731&gt;$L$5/10*7,"3",IF(H731&gt;$L$5/10*6,"4",IF(H731&gt;$L$5/10*5,"5",IF(H731&gt;$L$5/10*4,"6",IF(H731&gt;$L$5/10*3,"7",IF(H731&gt;$L$5/10*2,"8",IF(H731&gt;$L$5/10,"9","10")))))))))</f>
        <v>6</v>
      </c>
    </row>
    <row r="732" spans="1:9" x14ac:dyDescent="0.55000000000000004">
      <c r="A732">
        <v>3009</v>
      </c>
      <c r="B732">
        <f>estuary_data!U726*weights!$C$2</f>
        <v>1.0758185127946221E-2</v>
      </c>
      <c r="C732">
        <f>estuary_data!R726*weights!$C$5</f>
        <v>0.11470116411039165</v>
      </c>
      <c r="D732">
        <f>estuary_data!V726*weights!$C$3</f>
        <v>2.7407033634444123E-2</v>
      </c>
      <c r="E732">
        <f>estuary_data!S726*weights!$C$6</f>
        <v>2.4128371958285755E-2</v>
      </c>
      <c r="F732">
        <f>estuary_data!W726*weights!$C$4</f>
        <v>9.2485750816999002E-2</v>
      </c>
      <c r="G732">
        <f>estuary_data!T726*weights!$C$7</f>
        <v>6.8168838402325946E-3</v>
      </c>
      <c r="H732">
        <f>SUM(B732:G732)</f>
        <v>0.27629738948829941</v>
      </c>
      <c r="I732" t="str">
        <f>IF(H732&gt;$L$5/10*9,"1",IF(H732&gt;$L$5/10*8,"2",IF(H732&gt;$L$5/10*7,"3",IF(H732&gt;$L$5/10*6,"4",IF(H732&gt;$L$5/10*5,"5",IF(H732&gt;$L$5/10*4,"6",IF(H732&gt;$L$5/10*3,"7",IF(H732&gt;$L$5/10*2,"8",IF(H732&gt;$L$5/10,"9","10")))))))))</f>
        <v>6</v>
      </c>
    </row>
    <row r="733" spans="1:9" x14ac:dyDescent="0.55000000000000004">
      <c r="A733">
        <v>3010</v>
      </c>
      <c r="B733">
        <f>estuary_data!U727*weights!$C$2</f>
        <v>8.7318977408063249E-3</v>
      </c>
      <c r="C733">
        <f>estuary_data!R727*weights!$C$5</f>
        <v>0.11194004824585807</v>
      </c>
      <c r="D733">
        <f>estuary_data!V727*weights!$C$3</f>
        <v>2.500119206828251E-2</v>
      </c>
      <c r="E733">
        <f>estuary_data!S727*weights!$C$6</f>
        <v>2.674224981697701E-2</v>
      </c>
      <c r="F733">
        <f>estuary_data!W727*weights!$C$4</f>
        <v>0.10479269055504273</v>
      </c>
      <c r="G733">
        <f>estuary_data!T727*weights!$C$7</f>
        <v>1.3809526937424248E-2</v>
      </c>
      <c r="H733">
        <f>SUM(B733:G733)</f>
        <v>0.29101760536439092</v>
      </c>
      <c r="I733" t="str">
        <f>IF(H733&gt;$L$5/10*9,"1",IF(H733&gt;$L$5/10*8,"2",IF(H733&gt;$L$5/10*7,"3",IF(H733&gt;$L$5/10*6,"4",IF(H733&gt;$L$5/10*5,"5",IF(H733&gt;$L$5/10*4,"6",IF(H733&gt;$L$5/10*3,"7",IF(H733&gt;$L$5/10*2,"8",IF(H733&gt;$L$5/10,"9","10")))))))))</f>
        <v>6</v>
      </c>
    </row>
    <row r="734" spans="1:9" x14ac:dyDescent="0.55000000000000004">
      <c r="A734">
        <v>3011</v>
      </c>
      <c r="B734">
        <f>estuary_data!U728*weights!$C$2</f>
        <v>7.4233828442398031E-3</v>
      </c>
      <c r="C734">
        <f>estuary_data!R728*weights!$C$5</f>
        <v>0.10681819347071041</v>
      </c>
      <c r="D734">
        <f>estuary_data!V728*weights!$C$3</f>
        <v>2.9074148967028809E-2</v>
      </c>
      <c r="E734">
        <f>estuary_data!S728*weights!$C$6</f>
        <v>3.3580310123366819E-2</v>
      </c>
      <c r="F734">
        <f>estuary_data!W728*weights!$C$4</f>
        <v>0.11056553868151207</v>
      </c>
      <c r="G734">
        <f>estuary_data!T728*weights!$C$7</f>
        <v>3.0927401957090473E-2</v>
      </c>
      <c r="H734">
        <f>SUM(B734:G734)</f>
        <v>0.31838897604394839</v>
      </c>
      <c r="I734" t="str">
        <f>IF(H734&gt;$L$5/10*9,"1",IF(H734&gt;$L$5/10*8,"2",IF(H734&gt;$L$5/10*7,"3",IF(H734&gt;$L$5/10*6,"4",IF(H734&gt;$L$5/10*5,"5",IF(H734&gt;$L$5/10*4,"6",IF(H734&gt;$L$5/10*3,"7",IF(H734&gt;$L$5/10*2,"8",IF(H734&gt;$L$5/10,"9","10")))))))))</f>
        <v>6</v>
      </c>
    </row>
    <row r="735" spans="1:9" x14ac:dyDescent="0.55000000000000004">
      <c r="A735">
        <v>3012</v>
      </c>
      <c r="B735">
        <f>estuary_data!U729*weights!$C$2</f>
        <v>7.8844369845669504E-3</v>
      </c>
      <c r="C735">
        <f>estuary_data!R729*weights!$C$5</f>
        <v>0.10461164720589879</v>
      </c>
      <c r="D735">
        <f>estuary_data!V729*weights!$C$3</f>
        <v>2.9958647072122053E-2</v>
      </c>
      <c r="E735">
        <f>estuary_data!S729*weights!$C$6</f>
        <v>3.6810757078674511E-2</v>
      </c>
      <c r="F735">
        <f>estuary_data!W729*weights!$C$4</f>
        <v>0.11404726420063642</v>
      </c>
      <c r="G735">
        <f>estuary_data!T729*weights!$C$7</f>
        <v>3.837762904140412E-2</v>
      </c>
      <c r="H735">
        <f>SUM(B735:G735)</f>
        <v>0.33169038158330283</v>
      </c>
      <c r="I735" t="str">
        <f>IF(H735&gt;$L$5/10*9,"1",IF(H735&gt;$L$5/10*8,"2",IF(H735&gt;$L$5/10*7,"3",IF(H735&gt;$L$5/10*6,"4",IF(H735&gt;$L$5/10*5,"5",IF(H735&gt;$L$5/10*4,"6",IF(H735&gt;$L$5/10*3,"7",IF(H735&gt;$L$5/10*2,"8",IF(H735&gt;$L$5/10,"9","10")))))))))</f>
        <v>6</v>
      </c>
    </row>
    <row r="736" spans="1:9" x14ac:dyDescent="0.55000000000000004">
      <c r="A736">
        <v>3013</v>
      </c>
      <c r="B736">
        <f>estuary_data!U730*weights!$C$2</f>
        <v>7.6158472064628818E-3</v>
      </c>
      <c r="C736">
        <f>estuary_data!R730*weights!$C$5</f>
        <v>0.10119888382643819</v>
      </c>
      <c r="D736">
        <f>estuary_data!V730*weights!$C$3</f>
        <v>3.2001087910089467E-2</v>
      </c>
      <c r="E736">
        <f>estuary_data!S730*weights!$C$6</f>
        <v>4.1775679188759386E-2</v>
      </c>
      <c r="F736">
        <f>estuary_data!W730*weights!$C$4</f>
        <v>0.11511705076587628</v>
      </c>
      <c r="G736">
        <f>estuary_data!T730*weights!$C$7</f>
        <v>5.0265919984117897E-2</v>
      </c>
      <c r="H736">
        <f>SUM(B736:G736)</f>
        <v>0.3479744688817441</v>
      </c>
      <c r="I736" t="str">
        <f>IF(H736&gt;$L$5/10*9,"1",IF(H736&gt;$L$5/10*8,"2",IF(H736&gt;$L$5/10*7,"3",IF(H736&gt;$L$5/10*6,"4",IF(H736&gt;$L$5/10*5,"5",IF(H736&gt;$L$5/10*4,"6",IF(H736&gt;$L$5/10*3,"7",IF(H736&gt;$L$5/10*2,"8",IF(H736&gt;$L$5/10,"9","10")))))))))</f>
        <v>5</v>
      </c>
    </row>
    <row r="737" spans="1:9" x14ac:dyDescent="0.55000000000000004">
      <c r="A737">
        <v>3014</v>
      </c>
      <c r="B737">
        <f>estuary_data!U731*weights!$C$2</f>
        <v>8.4829000427100801E-3</v>
      </c>
      <c r="C737">
        <f>estuary_data!R731*weights!$C$5</f>
        <v>0.10020401908783028</v>
      </c>
      <c r="D737">
        <f>estuary_data!V731*weights!$C$3</f>
        <v>3.1891159189288219E-2</v>
      </c>
      <c r="E737">
        <f>estuary_data!S731*weights!$C$6</f>
        <v>4.3323528907038236E-2</v>
      </c>
      <c r="F737">
        <f>estuary_data!W731*weights!$C$4</f>
        <v>0.11099399430658245</v>
      </c>
      <c r="G737">
        <f>estuary_data!T731*weights!$C$7</f>
        <v>5.3869472155584193E-2</v>
      </c>
      <c r="H737">
        <f>SUM(B737:G737)</f>
        <v>0.34876507368903348</v>
      </c>
      <c r="I737" t="str">
        <f>IF(H737&gt;$L$5/10*9,"1",IF(H737&gt;$L$5/10*8,"2",IF(H737&gt;$L$5/10*7,"3",IF(H737&gt;$L$5/10*6,"4",IF(H737&gt;$L$5/10*5,"5",IF(H737&gt;$L$5/10*4,"6",IF(H737&gt;$L$5/10*3,"7",IF(H737&gt;$L$5/10*2,"8",IF(H737&gt;$L$5/10,"9","10")))))))))</f>
        <v>5</v>
      </c>
    </row>
    <row r="738" spans="1:9" x14ac:dyDescent="0.55000000000000004">
      <c r="A738">
        <v>3015</v>
      </c>
      <c r="B738">
        <f>estuary_data!U732*weights!$C$2</f>
        <v>8.3115727880665145E-3</v>
      </c>
      <c r="C738">
        <f>estuary_data!R732*weights!$C$5</f>
        <v>9.9944446497156114E-2</v>
      </c>
      <c r="D738">
        <f>estuary_data!V732*weights!$C$3</f>
        <v>3.1177594198070039E-2</v>
      </c>
      <c r="E738">
        <f>estuary_data!S732*weights!$C$6</f>
        <v>4.4005544918531293E-2</v>
      </c>
      <c r="F738">
        <f>estuary_data!W732*weights!$C$4</f>
        <v>0.11852628582117618</v>
      </c>
      <c r="G738">
        <f>estuary_data!T732*weights!$C$7</f>
        <v>5.5601429491943376E-2</v>
      </c>
      <c r="H738">
        <f>SUM(B738:G738)</f>
        <v>0.3575668737149435</v>
      </c>
      <c r="I738" t="str">
        <f>IF(H738&gt;$L$5/10*9,"1",IF(H738&gt;$L$5/10*8,"2",IF(H738&gt;$L$5/10*7,"3",IF(H738&gt;$L$5/10*6,"4",IF(H738&gt;$L$5/10*5,"5",IF(H738&gt;$L$5/10*4,"6",IF(H738&gt;$L$5/10*3,"7",IF(H738&gt;$L$5/10*2,"8",IF(H738&gt;$L$5/10,"9","10")))))))))</f>
        <v>5</v>
      </c>
    </row>
    <row r="739" spans="1:9" x14ac:dyDescent="0.55000000000000004">
      <c r="A739">
        <v>3016</v>
      </c>
      <c r="B739">
        <f>estuary_data!U733*weights!$C$2</f>
        <v>9.6653973788139915E-3</v>
      </c>
      <c r="C739">
        <f>estuary_data!R733*weights!$C$5</f>
        <v>9.7932901678772707E-2</v>
      </c>
      <c r="D739">
        <f>estuary_data!V733*weights!$C$3</f>
        <v>3.2609614273898413E-2</v>
      </c>
      <c r="E739">
        <f>estuary_data!S733*weights!$C$6</f>
        <v>4.6617431118892459E-2</v>
      </c>
      <c r="F739">
        <f>estuary_data!W733*weights!$C$4</f>
        <v>0.11971530294350061</v>
      </c>
      <c r="G739">
        <f>estuary_data!T733*weights!$C$7</f>
        <v>6.1701474820305961E-2</v>
      </c>
      <c r="H739">
        <f>SUM(B739:G739)</f>
        <v>0.36824212221418418</v>
      </c>
      <c r="I739" t="str">
        <f>IF(H739&gt;$L$5/10*9,"1",IF(H739&gt;$L$5/10*8,"2",IF(H739&gt;$L$5/10*7,"3",IF(H739&gt;$L$5/10*6,"4",IF(H739&gt;$L$5/10*5,"5",IF(H739&gt;$L$5/10*4,"6",IF(H739&gt;$L$5/10*3,"7",IF(H739&gt;$L$5/10*2,"8",IF(H739&gt;$L$5/10,"9","10")))))))))</f>
        <v>5</v>
      </c>
    </row>
    <row r="740" spans="1:9" x14ac:dyDescent="0.55000000000000004">
      <c r="A740">
        <v>3017</v>
      </c>
      <c r="B740">
        <f>estuary_data!U734*weights!$C$2</f>
        <v>1.0057196763468151E-2</v>
      </c>
      <c r="C740">
        <f>estuary_data!R734*weights!$C$5</f>
        <v>9.707020913266122E-2</v>
      </c>
      <c r="D740">
        <f>estuary_data!V734*weights!$C$3</f>
        <v>3.308722394627836E-2</v>
      </c>
      <c r="E740">
        <f>estuary_data!S734*weights!$C$6</f>
        <v>4.7847570487677599E-2</v>
      </c>
      <c r="F740">
        <f>estuary_data!W734*weights!$C$4</f>
        <v>0.12222023209613102</v>
      </c>
      <c r="G740">
        <f>estuary_data!T734*weights!$C$7</f>
        <v>6.4577377053499224E-2</v>
      </c>
      <c r="H740">
        <f>SUM(B740:G740)</f>
        <v>0.37485980947971553</v>
      </c>
      <c r="I740" t="str">
        <f>IF(H740&gt;$L$5/10*9,"1",IF(H740&gt;$L$5/10*8,"2",IF(H740&gt;$L$5/10*7,"3",IF(H740&gt;$L$5/10*6,"4",IF(H740&gt;$L$5/10*5,"5",IF(H740&gt;$L$5/10*4,"6",IF(H740&gt;$L$5/10*3,"7",IF(H740&gt;$L$5/10*2,"8",IF(H740&gt;$L$5/10,"9","10")))))))))</f>
        <v>5</v>
      </c>
    </row>
    <row r="741" spans="1:9" x14ac:dyDescent="0.55000000000000004">
      <c r="A741">
        <v>3018</v>
      </c>
      <c r="B741">
        <f>estuary_data!U735*weights!$C$2</f>
        <v>1.0707778721792127E-2</v>
      </c>
      <c r="C741">
        <f>estuary_data!R735*weights!$C$5</f>
        <v>9.5848696505140732E-2</v>
      </c>
      <c r="D741">
        <f>estuary_data!V735*weights!$C$3</f>
        <v>3.2399626701564418E-2</v>
      </c>
      <c r="E741">
        <f>estuary_data!S735*weights!$C$6</f>
        <v>4.9693821784087468E-2</v>
      </c>
      <c r="F741">
        <f>estuary_data!W735*weights!$C$4</f>
        <v>0.14926262216007122</v>
      </c>
      <c r="G741">
        <f>estuary_data!T735*weights!$C$7</f>
        <v>6.8852939217592862E-2</v>
      </c>
      <c r="H741">
        <f>SUM(B741:G741)</f>
        <v>0.40676548509024879</v>
      </c>
      <c r="I741" t="str">
        <f>IF(H741&gt;$L$5/10*9,"1",IF(H741&gt;$L$5/10*8,"2",IF(H741&gt;$L$5/10*7,"3",IF(H741&gt;$L$5/10*6,"4",IF(H741&gt;$L$5/10*5,"5",IF(H741&gt;$L$5/10*4,"6",IF(H741&gt;$L$5/10*3,"7",IF(H741&gt;$L$5/10*2,"8",IF(H741&gt;$L$5/10,"9","10")))))))))</f>
        <v>4</v>
      </c>
    </row>
    <row r="742" spans="1:9" x14ac:dyDescent="0.55000000000000004">
      <c r="A742">
        <v>3019</v>
      </c>
      <c r="B742">
        <f>estuary_data!U736*weights!$C$2</f>
        <v>1.1046262419206084E-2</v>
      </c>
      <c r="C742">
        <f>estuary_data!R736*weights!$C$5</f>
        <v>9.4445821741689626E-2</v>
      </c>
      <c r="D742">
        <f>estuary_data!V736*weights!$C$3</f>
        <v>3.241247525798429E-2</v>
      </c>
      <c r="E742">
        <f>estuary_data!S736*weights!$C$6</f>
        <v>5.1896343968987756E-2</v>
      </c>
      <c r="F742">
        <f>estuary_data!W736*weights!$C$4</f>
        <v>0.1205463028292233</v>
      </c>
      <c r="G742">
        <f>estuary_data!T736*weights!$C$7</f>
        <v>7.4014706796837165E-2</v>
      </c>
      <c r="H742">
        <f>SUM(B742:G742)</f>
        <v>0.38436191301392819</v>
      </c>
      <c r="I742" t="str">
        <f>IF(H742&gt;$L$5/10*9,"1",IF(H742&gt;$L$5/10*8,"2",IF(H742&gt;$L$5/10*7,"3",IF(H742&gt;$L$5/10*6,"4",IF(H742&gt;$L$5/10*5,"5",IF(H742&gt;$L$5/10*4,"6",IF(H742&gt;$L$5/10*3,"7",IF(H742&gt;$L$5/10*2,"8",IF(H742&gt;$L$5/10,"9","10")))))))))</f>
        <v>5</v>
      </c>
    </row>
    <row r="743" spans="1:9" x14ac:dyDescent="0.55000000000000004">
      <c r="A743">
        <v>3020</v>
      </c>
      <c r="B743">
        <f>estuary_data!U737*weights!$C$2</f>
        <v>1.1484485797903139E-2</v>
      </c>
      <c r="C743">
        <f>estuary_data!R737*weights!$C$5</f>
        <v>9.4063896203642611E-2</v>
      </c>
      <c r="D743">
        <f>estuary_data!V737*weights!$C$3</f>
        <v>3.5491084850375762E-2</v>
      </c>
      <c r="E743">
        <f>estuary_data!S737*weights!$C$6</f>
        <v>5.2193881970249233E-2</v>
      </c>
      <c r="F743">
        <f>estuary_data!W737*weights!$C$4</f>
        <v>0.12613519281988064</v>
      </c>
      <c r="G743">
        <f>estuary_data!T737*weights!$C$7</f>
        <v>7.4978896223849928E-2</v>
      </c>
      <c r="H743">
        <f>SUM(B743:G743)</f>
        <v>0.39434743786590132</v>
      </c>
      <c r="I743" t="str">
        <f>IF(H743&gt;$L$5/10*9,"1",IF(H743&gt;$L$5/10*8,"2",IF(H743&gt;$L$5/10*7,"3",IF(H743&gt;$L$5/10*6,"4",IF(H743&gt;$L$5/10*5,"5",IF(H743&gt;$L$5/10*4,"6",IF(H743&gt;$L$5/10*3,"7",IF(H743&gt;$L$5/10*2,"8",IF(H743&gt;$L$5/10,"9","10")))))))))</f>
        <v>5</v>
      </c>
    </row>
    <row r="744" spans="1:9" x14ac:dyDescent="0.55000000000000004">
      <c r="A744">
        <v>3021</v>
      </c>
      <c r="B744">
        <f>estuary_data!U738*weights!$C$2</f>
        <v>1.1484485797903139E-2</v>
      </c>
      <c r="C744">
        <f>estuary_data!R738*weights!$C$5</f>
        <v>9.4063896203642611E-2</v>
      </c>
      <c r="D744">
        <f>estuary_data!V738*weights!$C$3</f>
        <v>3.5491084850375762E-2</v>
      </c>
      <c r="E744">
        <f>estuary_data!S738*weights!$C$6</f>
        <v>5.2193881970249233E-2</v>
      </c>
      <c r="F744">
        <f>estuary_data!W738*weights!$C$4</f>
        <v>0.12613519281988064</v>
      </c>
      <c r="G744">
        <f>estuary_data!T738*weights!$C$7</f>
        <v>7.4978896223849928E-2</v>
      </c>
      <c r="H744">
        <f>SUM(B744:G744)</f>
        <v>0.39434743786590132</v>
      </c>
      <c r="I744" t="str">
        <f>IF(H744&gt;$L$5/10*9,"1",IF(H744&gt;$L$5/10*8,"2",IF(H744&gt;$L$5/10*7,"3",IF(H744&gt;$L$5/10*6,"4",IF(H744&gt;$L$5/10*5,"5",IF(H744&gt;$L$5/10*4,"6",IF(H744&gt;$L$5/10*3,"7",IF(H744&gt;$L$5/10*2,"8",IF(H744&gt;$L$5/10,"9","10")))))))))</f>
        <v>5</v>
      </c>
    </row>
    <row r="745" spans="1:9" x14ac:dyDescent="0.55000000000000004">
      <c r="A745">
        <v>3022</v>
      </c>
      <c r="B745">
        <f>estuary_data!U739*weights!$C$2</f>
        <v>1.2245761039543637E-2</v>
      </c>
      <c r="C745">
        <f>estuary_data!R739*weights!$C$5</f>
        <v>9.1733467434781849E-2</v>
      </c>
      <c r="D745">
        <f>estuary_data!V739*weights!$C$3</f>
        <v>3.3417847075536931E-2</v>
      </c>
      <c r="E745">
        <f>estuary_data!S739*weights!$C$6</f>
        <v>5.4812207987996082E-2</v>
      </c>
      <c r="F745">
        <f>estuary_data!W739*weights!$C$4</f>
        <v>0.12346508665697507</v>
      </c>
      <c r="G745">
        <f>estuary_data!T739*weights!$C$7</f>
        <v>8.1557607731829213E-2</v>
      </c>
      <c r="H745">
        <f>SUM(B745:G745)</f>
        <v>0.39723197792666276</v>
      </c>
      <c r="I745" t="str">
        <f>IF(H745&gt;$L$5/10*9,"1",IF(H745&gt;$L$5/10*8,"2",IF(H745&gt;$L$5/10*7,"3",IF(H745&gt;$L$5/10*6,"4",IF(H745&gt;$L$5/10*5,"5",IF(H745&gt;$L$5/10*4,"6",IF(H745&gt;$L$5/10*3,"7",IF(H745&gt;$L$5/10*2,"8",IF(H745&gt;$L$5/10,"9","10")))))))))</f>
        <v>5</v>
      </c>
    </row>
    <row r="746" spans="1:9" x14ac:dyDescent="0.55000000000000004">
      <c r="A746">
        <v>3023</v>
      </c>
      <c r="B746">
        <f>estuary_data!U740*weights!$C$2</f>
        <v>1.2571764847646246E-2</v>
      </c>
      <c r="C746">
        <f>estuary_data!R740*weights!$C$5</f>
        <v>9.0273123548347406E-2</v>
      </c>
      <c r="D746">
        <f>estuary_data!V740*weights!$C$3</f>
        <v>3.1610325794436032E-2</v>
      </c>
      <c r="E746">
        <f>estuary_data!S740*weights!$C$6</f>
        <v>5.6661290196192003E-2</v>
      </c>
      <c r="F746">
        <f>estuary_data!W740*weights!$C$4</f>
        <v>0.11803843255740216</v>
      </c>
      <c r="G746">
        <f>estuary_data!T740*weights!$C$7</f>
        <v>8.5671724111145431E-2</v>
      </c>
      <c r="H746">
        <f>SUM(B746:G746)</f>
        <v>0.39482666105516928</v>
      </c>
      <c r="I746" t="str">
        <f>IF(H746&gt;$L$5/10*9,"1",IF(H746&gt;$L$5/10*8,"2",IF(H746&gt;$L$5/10*7,"3",IF(H746&gt;$L$5/10*6,"4",IF(H746&gt;$L$5/10*5,"5",IF(H746&gt;$L$5/10*4,"6",IF(H746&gt;$L$5/10*3,"7",IF(H746&gt;$L$5/10*2,"8",IF(H746&gt;$L$5/10,"9","10")))))))))</f>
        <v>5</v>
      </c>
    </row>
    <row r="747" spans="1:9" x14ac:dyDescent="0.55000000000000004">
      <c r="A747">
        <v>3024</v>
      </c>
      <c r="B747">
        <f>estuary_data!U741*weights!$C$2</f>
        <v>1.344338867081654E-2</v>
      </c>
      <c r="C747">
        <f>estuary_data!R741*weights!$C$5</f>
        <v>8.9439427962834758E-2</v>
      </c>
      <c r="D747">
        <f>estuary_data!V741*weights!$C$3</f>
        <v>2.9614087096639454E-2</v>
      </c>
      <c r="E747">
        <f>estuary_data!S741*weights!$C$6</f>
        <v>5.7841963223912649E-2</v>
      </c>
      <c r="F747">
        <f>estuary_data!W741*weights!$C$4</f>
        <v>0.1136117325975758</v>
      </c>
      <c r="G747">
        <f>estuary_data!T741*weights!$C$7</f>
        <v>8.843212870552708E-2</v>
      </c>
      <c r="H747">
        <f>SUM(B747:G747)</f>
        <v>0.39238272825730625</v>
      </c>
      <c r="I747" t="str">
        <f>IF(H747&gt;$L$5/10*9,"1",IF(H747&gt;$L$5/10*8,"2",IF(H747&gt;$L$5/10*7,"3",IF(H747&gt;$L$5/10*6,"4",IF(H747&gt;$L$5/10*5,"5",IF(H747&gt;$L$5/10*4,"6",IF(H747&gt;$L$5/10*3,"7",IF(H747&gt;$L$5/10*2,"8",IF(H747&gt;$L$5/10,"9","10")))))))))</f>
        <v>5</v>
      </c>
    </row>
    <row r="748" spans="1:9" x14ac:dyDescent="0.55000000000000004">
      <c r="A748">
        <v>3025</v>
      </c>
      <c r="B748">
        <f>estuary_data!U742*weights!$C$2</f>
        <v>1.3973323558400353E-2</v>
      </c>
      <c r="C748">
        <f>estuary_data!R742*weights!$C$5</f>
        <v>8.9525744442818148E-2</v>
      </c>
      <c r="D748">
        <f>estuary_data!V742*weights!$C$3</f>
        <v>3.2058186294865711E-2</v>
      </c>
      <c r="E748">
        <f>estuary_data!S742*weights!$C$6</f>
        <v>5.7133630609539472E-2</v>
      </c>
      <c r="F748">
        <f>estuary_data!W742*weights!$C$4</f>
        <v>0.11990642992690517</v>
      </c>
      <c r="G748">
        <f>estuary_data!T742*weights!$C$7</f>
        <v>8.739785261608185E-2</v>
      </c>
      <c r="H748">
        <f>SUM(B748:G748)</f>
        <v>0.39999516744861069</v>
      </c>
      <c r="I748" t="str">
        <f>IF(H748&gt;$L$5/10*9,"1",IF(H748&gt;$L$5/10*8,"2",IF(H748&gt;$L$5/10*7,"3",IF(H748&gt;$L$5/10*6,"4",IF(H748&gt;$L$5/10*5,"5",IF(H748&gt;$L$5/10*4,"6",IF(H748&gt;$L$5/10*3,"7",IF(H748&gt;$L$5/10*2,"8",IF(H748&gt;$L$5/10,"9","10")))))))))</f>
        <v>4</v>
      </c>
    </row>
    <row r="749" spans="1:9" x14ac:dyDescent="0.55000000000000004">
      <c r="A749">
        <v>3026</v>
      </c>
      <c r="B749">
        <f>estuary_data!U743*weights!$C$2</f>
        <v>1.474456654300242E-2</v>
      </c>
      <c r="C749">
        <f>estuary_data!R743*weights!$C$5</f>
        <v>8.8993449072823694E-2</v>
      </c>
      <c r="D749">
        <f>estuary_data!V743*weights!$C$3</f>
        <v>2.9824115925379698E-2</v>
      </c>
      <c r="E749">
        <f>estuary_data!S743*weights!$C$6</f>
        <v>5.736066616236881E-2</v>
      </c>
      <c r="F749">
        <f>estuary_data!W743*weights!$C$4</f>
        <v>0.11225864962070084</v>
      </c>
      <c r="G749">
        <f>estuary_data!T743*weights!$C$7</f>
        <v>8.799012791843705E-2</v>
      </c>
      <c r="H749">
        <f>SUM(B749:G749)</f>
        <v>0.39117157524271251</v>
      </c>
      <c r="I749" t="str">
        <f>IF(H749&gt;$L$5/10*9,"1",IF(H749&gt;$L$5/10*8,"2",IF(H749&gt;$L$5/10*7,"3",IF(H749&gt;$L$5/10*6,"4",IF(H749&gt;$L$5/10*5,"5",IF(H749&gt;$L$5/10*4,"6",IF(H749&gt;$L$5/10*3,"7",IF(H749&gt;$L$5/10*2,"8",IF(H749&gt;$L$5/10,"9","10")))))))))</f>
        <v>5</v>
      </c>
    </row>
    <row r="750" spans="1:9" x14ac:dyDescent="0.55000000000000004">
      <c r="A750">
        <v>3027</v>
      </c>
      <c r="B750">
        <f>estuary_data!U744*weights!$C$2</f>
        <v>1.4604565982111711E-2</v>
      </c>
      <c r="C750">
        <f>estuary_data!R744*weights!$C$5</f>
        <v>8.9672338670115037E-2</v>
      </c>
      <c r="D750">
        <f>estuary_data!V744*weights!$C$3</f>
        <v>3.3018965696149441E-2</v>
      </c>
      <c r="E750">
        <f>estuary_data!S744*weights!$C$6</f>
        <v>5.5967717856627734E-2</v>
      </c>
      <c r="F750">
        <f>estuary_data!W744*weights!$C$4</f>
        <v>0.12441266427884376</v>
      </c>
      <c r="G750">
        <f>estuary_data!T744*weights!$C$7</f>
        <v>8.5274943608159126E-2</v>
      </c>
      <c r="H750">
        <f>SUM(B750:G750)</f>
        <v>0.4029511960920068</v>
      </c>
      <c r="I750" t="str">
        <f>IF(H750&gt;$L$5/10*9,"1",IF(H750&gt;$L$5/10*8,"2",IF(H750&gt;$L$5/10*7,"3",IF(H750&gt;$L$5/10*6,"4",IF(H750&gt;$L$5/10*5,"5",IF(H750&gt;$L$5/10*4,"6",IF(H750&gt;$L$5/10*3,"7",IF(H750&gt;$L$5/10*2,"8",IF(H750&gt;$L$5/10,"9","10")))))))))</f>
        <v>4</v>
      </c>
    </row>
    <row r="751" spans="1:9" x14ac:dyDescent="0.55000000000000004">
      <c r="A751">
        <v>3028</v>
      </c>
      <c r="B751">
        <f>estuary_data!U745*weights!$C$2</f>
        <v>1.6301769623770546E-2</v>
      </c>
      <c r="C751">
        <f>estuary_data!R745*weights!$C$5</f>
        <v>8.916354292128309E-2</v>
      </c>
      <c r="D751">
        <f>estuary_data!V745*weights!$C$3</f>
        <v>3.0112582804151633E-2</v>
      </c>
      <c r="E751">
        <f>estuary_data!S745*weights!$C$6</f>
        <v>5.6032831242734095E-2</v>
      </c>
      <c r="F751">
        <f>estuary_data!W745*weights!$C$4</f>
        <v>0.11345950292168067</v>
      </c>
      <c r="G751">
        <f>estuary_data!T745*weights!$C$7</f>
        <v>8.5274248816312861E-2</v>
      </c>
      <c r="H751">
        <f>SUM(B751:G751)</f>
        <v>0.39034447832993291</v>
      </c>
      <c r="I751" t="str">
        <f>IF(H751&gt;$L$5/10*9,"1",IF(H751&gt;$L$5/10*8,"2",IF(H751&gt;$L$5/10*7,"3",IF(H751&gt;$L$5/10*6,"4",IF(H751&gt;$L$5/10*5,"5",IF(H751&gt;$L$5/10*4,"6",IF(H751&gt;$L$5/10*3,"7",IF(H751&gt;$L$5/10*2,"8",IF(H751&gt;$L$5/10,"9","10")))))))))</f>
        <v>5</v>
      </c>
    </row>
    <row r="752" spans="1:9" x14ac:dyDescent="0.55000000000000004">
      <c r="A752">
        <v>3029</v>
      </c>
      <c r="B752">
        <f>estuary_data!U746*weights!$C$2</f>
        <v>1.7602631951275663E-2</v>
      </c>
      <c r="C752">
        <f>estuary_data!R746*weights!$C$5</f>
        <v>9.0101221091542727E-2</v>
      </c>
      <c r="D752">
        <f>estuary_data!V746*weights!$C$3</f>
        <v>3.2026318079832986E-2</v>
      </c>
      <c r="E752">
        <f>estuary_data!S746*weights!$C$6</f>
        <v>5.3061894786954687E-2</v>
      </c>
      <c r="F752">
        <f>estuary_data!W746*weights!$C$4</f>
        <v>0.12755694787395749</v>
      </c>
      <c r="G752">
        <f>estuary_data!T746*weights!$C$7</f>
        <v>7.8976236911586908E-2</v>
      </c>
      <c r="H752">
        <f>SUM(B752:G752)</f>
        <v>0.39932525069515046</v>
      </c>
      <c r="I752" t="str">
        <f>IF(H752&gt;$L$5/10*9,"1",IF(H752&gt;$L$5/10*8,"2",IF(H752&gt;$L$5/10*7,"3",IF(H752&gt;$L$5/10*6,"4",IF(H752&gt;$L$5/10*5,"5",IF(H752&gt;$L$5/10*4,"6",IF(H752&gt;$L$5/10*3,"7",IF(H752&gt;$L$5/10*2,"8",IF(H752&gt;$L$5/10,"9","10")))))))))</f>
        <v>4</v>
      </c>
    </row>
    <row r="753" spans="1:9" x14ac:dyDescent="0.55000000000000004">
      <c r="A753">
        <v>3030</v>
      </c>
      <c r="B753">
        <f>estuary_data!U747*weights!$C$2</f>
        <v>1.7786516648148527E-2</v>
      </c>
      <c r="C753">
        <f>estuary_data!R747*weights!$C$5</f>
        <v>8.9963845108169474E-2</v>
      </c>
      <c r="D753">
        <f>estuary_data!V747*weights!$C$3</f>
        <v>3.1745012796639625E-2</v>
      </c>
      <c r="E753">
        <f>estuary_data!S747*weights!$C$6</f>
        <v>5.3070114806633206E-2</v>
      </c>
      <c r="F753">
        <f>estuary_data!W747*weights!$C$4</f>
        <v>0.13048208559245367</v>
      </c>
      <c r="G753">
        <f>estuary_data!T747*weights!$C$7</f>
        <v>7.8954028673570958E-2</v>
      </c>
      <c r="H753">
        <f>SUM(B753:G753)</f>
        <v>0.40200160362561543</v>
      </c>
      <c r="I753" t="str">
        <f>IF(H753&gt;$L$5/10*9,"1",IF(H753&gt;$L$5/10*8,"2",IF(H753&gt;$L$5/10*7,"3",IF(H753&gt;$L$5/10*6,"4",IF(H753&gt;$L$5/10*5,"5",IF(H753&gt;$L$5/10*4,"6",IF(H753&gt;$L$5/10*3,"7",IF(H753&gt;$L$5/10*2,"8",IF(H753&gt;$L$5/10,"9","10")))))))))</f>
        <v>4</v>
      </c>
    </row>
  </sheetData>
  <sortState xmlns:xlrd2="http://schemas.microsoft.com/office/spreadsheetml/2017/richdata2" ref="A2:I754">
    <sortCondition ref="A1:A75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857CA-1F91-48E3-8435-06AA9D46F11C}">
  <dimension ref="A1:H753"/>
  <sheetViews>
    <sheetView workbookViewId="0">
      <selection activeCell="I8" sqref="I8"/>
    </sheetView>
  </sheetViews>
  <sheetFormatPr defaultRowHeight="14.4" x14ac:dyDescent="0.55000000000000004"/>
  <cols>
    <col min="5" max="5" width="8.83984375" style="2"/>
  </cols>
  <sheetData>
    <row r="1" spans="1:8" x14ac:dyDescent="0.55000000000000004">
      <c r="A1" t="s">
        <v>0</v>
      </c>
      <c r="B1" t="s">
        <v>14</v>
      </c>
      <c r="C1" t="s">
        <v>41</v>
      </c>
      <c r="D1" t="s">
        <v>38</v>
      </c>
    </row>
    <row r="2" spans="1:8" x14ac:dyDescent="0.55000000000000004">
      <c r="A2">
        <v>2030</v>
      </c>
      <c r="B2">
        <f>estuary_data!Y643*weights!$C$9</f>
        <v>8.3438114586130638E-2</v>
      </c>
      <c r="C2">
        <f>estuary_data!X643*weights!$C$10</f>
        <v>0.90932000000000002</v>
      </c>
      <c r="D2">
        <f>SUM(B2:C2)</f>
        <v>0.99275811458613061</v>
      </c>
      <c r="E2" s="2" t="str">
        <f>IF(D2&gt;$H$6/10*9,"1",IF(D2&gt;$H$6/10*8,"2",IF(D2&gt;$H$6/10*7,"3",IF(D2&gt;$H$6/10*6,"4",IF(D2&gt;$H$6/10*5,"5",IF(D2&gt;$H$6/10*4,"6",IF(D2&gt;$H$6/10*3,"7",IF(D2&gt;$H$6/10*2,"8",IF(D2&gt;$H$6/10,"9","10")))))))))</f>
        <v>1</v>
      </c>
    </row>
    <row r="3" spans="1:8" x14ac:dyDescent="0.55000000000000004">
      <c r="A3">
        <v>19</v>
      </c>
      <c r="B3">
        <f>estuary_data!Y20*weights!$C$9</f>
        <v>2.0689734563820426E-2</v>
      </c>
      <c r="C3">
        <f>estuary_data!X20*weights!$C$10</f>
        <v>7.7385750724354191E-2</v>
      </c>
      <c r="D3">
        <f>SUM(B3:C3)</f>
        <v>9.8075485288174613E-2</v>
      </c>
      <c r="E3" s="2" t="str">
        <f>IF(D3&gt;$H$6/10*9,"1",IF(D3&gt;$H$6/10*8,"2",IF(D3&gt;$H$6/10*7,"3",IF(D3&gt;$H$6/10*6,"4",IF(D3&gt;$H$6/10*5,"5",IF(D3&gt;$H$6/10*4,"6",IF(D3&gt;$H$6/10*3,"7",IF(D3&gt;$H$6/10*2,"8",IF(D3&gt;$H$6/10,"9","10")))))))))</f>
        <v>10</v>
      </c>
    </row>
    <row r="4" spans="1:8" x14ac:dyDescent="0.55000000000000004">
      <c r="A4">
        <v>20</v>
      </c>
      <c r="B4">
        <f>estuary_data!Y21*weights!$C$9</f>
        <v>1.5147040392575806E-2</v>
      </c>
      <c r="C4">
        <f>estuary_data!X21*weights!$C$10</f>
        <v>7.5141087504496329E-2</v>
      </c>
      <c r="D4">
        <f>SUM(B4:C4)</f>
        <v>9.0288127897072135E-2</v>
      </c>
      <c r="E4" s="2" t="str">
        <f>IF(D4&gt;$H$6/10*9,"1",IF(D4&gt;$H$6/10*8,"2",IF(D4&gt;$H$6/10*7,"3",IF(D4&gt;$H$6/10*6,"4",IF(D4&gt;$H$6/10*5,"5",IF(D4&gt;$H$6/10*4,"6",IF(D4&gt;$H$6/10*3,"7",IF(D4&gt;$H$6/10*2,"8",IF(D4&gt;$H$6/10,"9","10")))))))))</f>
        <v>10</v>
      </c>
    </row>
    <row r="5" spans="1:8" x14ac:dyDescent="0.55000000000000004">
      <c r="A5">
        <v>27</v>
      </c>
      <c r="B5">
        <f>estuary_data!Y28*weights!$C$9</f>
        <v>1.8622964617457223E-2</v>
      </c>
      <c r="C5">
        <f>estuary_data!X28*weights!$C$10</f>
        <v>8.0371243148489674E-2</v>
      </c>
      <c r="D5">
        <f>SUM(B5:C5)</f>
        <v>9.899420776594689E-2</v>
      </c>
      <c r="E5" s="2" t="str">
        <f>IF(D5&gt;$H$6/10*9,"1",IF(D5&gt;$H$6/10*8,"2",IF(D5&gt;$H$6/10*7,"3",IF(D5&gt;$H$6/10*6,"4",IF(D5&gt;$H$6/10*5,"5",IF(D5&gt;$H$6/10*4,"6",IF(D5&gt;$H$6/10*3,"7",IF(D5&gt;$H$6/10*2,"8",IF(D5&gt;$H$6/10,"9","10")))))))))</f>
        <v>10</v>
      </c>
    </row>
    <row r="6" spans="1:8" x14ac:dyDescent="0.55000000000000004">
      <c r="A6">
        <v>38</v>
      </c>
      <c r="B6">
        <f>estuary_data!Y39*weights!$C$9</f>
        <v>1.7498752557862891E-2</v>
      </c>
      <c r="C6">
        <f>estuary_data!X39*weights!$C$10</f>
        <v>7.5761950373494064E-2</v>
      </c>
      <c r="D6">
        <f>SUM(B6:C6)</f>
        <v>9.3260702931356951E-2</v>
      </c>
      <c r="E6" s="2" t="str">
        <f>IF(D6&gt;$H$6/10*9,"1",IF(D6&gt;$H$6/10*8,"2",IF(D6&gt;$H$6/10*7,"3",IF(D6&gt;$H$6/10*6,"4",IF(D6&gt;$H$6/10*5,"5",IF(D6&gt;$H$6/10*4,"6",IF(D6&gt;$H$6/10*3,"7",IF(D6&gt;$H$6/10*2,"8",IF(D6&gt;$H$6/10,"9","10")))))))))</f>
        <v>10</v>
      </c>
      <c r="G6" t="s">
        <v>40</v>
      </c>
      <c r="H6">
        <v>0.99270000000000003</v>
      </c>
    </row>
    <row r="7" spans="1:8" x14ac:dyDescent="0.55000000000000004">
      <c r="A7">
        <v>40</v>
      </c>
      <c r="B7">
        <f>estuary_data!Y41*weights!$C$9</f>
        <v>2.0206795030176614E-2</v>
      </c>
      <c r="C7">
        <f>estuary_data!X41*weights!$C$10</f>
        <v>7.9055341828583092E-2</v>
      </c>
      <c r="D7">
        <f>SUM(B7:C7)</f>
        <v>9.9262136858759703E-2</v>
      </c>
      <c r="E7" s="2" t="str">
        <f>IF(D7&gt;$H$6/10*9,"1",IF(D7&gt;$H$6/10*8,"2",IF(D7&gt;$H$6/10*7,"3",IF(D7&gt;$H$6/10*6,"4",IF(D7&gt;$H$6/10*5,"5",IF(D7&gt;$H$6/10*4,"6",IF(D7&gt;$H$6/10*3,"7",IF(D7&gt;$H$6/10*2,"8",IF(D7&gt;$H$6/10,"9","10")))))))))</f>
        <v>10</v>
      </c>
    </row>
    <row r="8" spans="1:8" x14ac:dyDescent="0.55000000000000004">
      <c r="A8">
        <v>41</v>
      </c>
      <c r="B8">
        <f>estuary_data!Y42*weights!$C$9</f>
        <v>2.000454874038745E-2</v>
      </c>
      <c r="C8">
        <f>estuary_data!X42*weights!$C$10</f>
        <v>7.6968188954225192E-2</v>
      </c>
      <c r="D8">
        <f>SUM(B8:C8)</f>
        <v>9.6972737694612648E-2</v>
      </c>
      <c r="E8" s="2" t="str">
        <f>IF(D8&gt;$H$6/10*9,"1",IF(D8&gt;$H$6/10*8,"2",IF(D8&gt;$H$6/10*7,"3",IF(D8&gt;$H$6/10*6,"4",IF(D8&gt;$H$6/10*5,"5",IF(D8&gt;$H$6/10*4,"6",IF(D8&gt;$H$6/10*3,"7",IF(D8&gt;$H$6/10*2,"8",IF(D8&gt;$H$6/10,"9","10")))))))))</f>
        <v>10</v>
      </c>
    </row>
    <row r="9" spans="1:8" x14ac:dyDescent="0.55000000000000004">
      <c r="A9">
        <v>47</v>
      </c>
      <c r="B9">
        <f>estuary_data!Y48*weights!$C$9</f>
        <v>2.5359018941752878E-2</v>
      </c>
      <c r="C9">
        <f>estuary_data!X48*weights!$C$10</f>
        <v>6.7556647141628942E-2</v>
      </c>
      <c r="D9">
        <f>SUM(B9:C9)</f>
        <v>9.2915666083381823E-2</v>
      </c>
      <c r="E9" s="2" t="str">
        <f>IF(D9&gt;$H$6/10*9,"1",IF(D9&gt;$H$6/10*8,"2",IF(D9&gt;$H$6/10*7,"3",IF(D9&gt;$H$6/10*6,"4",IF(D9&gt;$H$6/10*5,"5",IF(D9&gt;$H$6/10*4,"6",IF(D9&gt;$H$6/10*3,"7",IF(D9&gt;$H$6/10*2,"8",IF(D9&gt;$H$6/10,"9","10")))))))))</f>
        <v>10</v>
      </c>
    </row>
    <row r="10" spans="1:8" x14ac:dyDescent="0.55000000000000004">
      <c r="A10">
        <v>55</v>
      </c>
      <c r="B10">
        <f>estuary_data!Y56*weights!$C$9</f>
        <v>2.1182219721395439E-2</v>
      </c>
      <c r="C10">
        <f>estuary_data!X56*weights!$C$10</f>
        <v>5.8355859297979144E-2</v>
      </c>
      <c r="D10">
        <f>SUM(B10:C10)</f>
        <v>7.9538079019374583E-2</v>
      </c>
      <c r="E10" s="2" t="str">
        <f>IF(D10&gt;$H$6/10*9,"1",IF(D10&gt;$H$6/10*8,"2",IF(D10&gt;$H$6/10*7,"3",IF(D10&gt;$H$6/10*6,"4",IF(D10&gt;$H$6/10*5,"5",IF(D10&gt;$H$6/10*4,"6",IF(D10&gt;$H$6/10*3,"7",IF(D10&gt;$H$6/10*2,"8",IF(D10&gt;$H$6/10,"9","10")))))))))</f>
        <v>10</v>
      </c>
      <c r="G10" t="s">
        <v>53</v>
      </c>
    </row>
    <row r="11" spans="1:8" x14ac:dyDescent="0.55000000000000004">
      <c r="A11">
        <v>66</v>
      </c>
      <c r="B11">
        <f>estuary_data!Y67*weights!$C$9</f>
        <v>1.6890845985164538E-2</v>
      </c>
      <c r="C11">
        <f>estuary_data!X67*weights!$C$10</f>
        <v>5.6134937522453146E-2</v>
      </c>
      <c r="D11">
        <f>SUM(B11:C11)</f>
        <v>7.3025783507617681E-2</v>
      </c>
      <c r="E11" s="2" t="str">
        <f>IF(D11&gt;$H$6/10*9,"1",IF(D11&gt;$H$6/10*8,"2",IF(D11&gt;$H$6/10*7,"3",IF(D11&gt;$H$6/10*6,"4",IF(D11&gt;$H$6/10*5,"5",IF(D11&gt;$H$6/10*4,"6",IF(D11&gt;$H$6/10*3,"7",IF(D11&gt;$H$6/10*2,"8",IF(D11&gt;$H$6/10,"9","10")))))))))</f>
        <v>10</v>
      </c>
    </row>
    <row r="12" spans="1:8" x14ac:dyDescent="0.55000000000000004">
      <c r="A12">
        <v>67</v>
      </c>
      <c r="B12">
        <f>estuary_data!Y68*weights!$C$9</f>
        <v>1.3001512803245503E-2</v>
      </c>
      <c r="C12">
        <f>estuary_data!X68*weights!$C$10</f>
        <v>6.2549545344157853E-2</v>
      </c>
      <c r="D12">
        <f>SUM(B12:C12)</f>
        <v>7.5551058147403358E-2</v>
      </c>
      <c r="E12" s="2" t="str">
        <f>IF(D12&gt;$H$6/10*9,"1",IF(D12&gt;$H$6/10*8,"2",IF(D12&gt;$H$6/10*7,"3",IF(D12&gt;$H$6/10*6,"4",IF(D12&gt;$H$6/10*5,"5",IF(D12&gt;$H$6/10*4,"6",IF(D12&gt;$H$6/10*3,"7",IF(D12&gt;$H$6/10*2,"8",IF(D12&gt;$H$6/10,"9","10")))))))))</f>
        <v>10</v>
      </c>
    </row>
    <row r="13" spans="1:8" x14ac:dyDescent="0.55000000000000004">
      <c r="A13">
        <v>68</v>
      </c>
      <c r="B13">
        <f>estuary_data!Y69*weights!$C$9</f>
        <v>1.8265471100121257E-2</v>
      </c>
      <c r="C13">
        <f>estuary_data!X69*weights!$C$10</f>
        <v>7.8844251494585627E-2</v>
      </c>
      <c r="D13">
        <f>SUM(B13:C13)</f>
        <v>9.7109722594706877E-2</v>
      </c>
      <c r="E13" s="2" t="str">
        <f>IF(D13&gt;$H$6/10*9,"1",IF(D13&gt;$H$6/10*8,"2",IF(D13&gt;$H$6/10*7,"3",IF(D13&gt;$H$6/10*6,"4",IF(D13&gt;$H$6/10*5,"5",IF(D13&gt;$H$6/10*4,"6",IF(D13&gt;$H$6/10*3,"7",IF(D13&gt;$H$6/10*2,"8",IF(D13&gt;$H$6/10,"9","10")))))))))</f>
        <v>10</v>
      </c>
    </row>
    <row r="14" spans="1:8" x14ac:dyDescent="0.55000000000000004">
      <c r="A14">
        <v>69</v>
      </c>
      <c r="B14">
        <f>estuary_data!Y70*weights!$C$9</f>
        <v>1.3954704354359871E-2</v>
      </c>
      <c r="C14">
        <f>estuary_data!X70*weights!$C$10</f>
        <v>6.8595763842182661E-2</v>
      </c>
      <c r="D14">
        <f>SUM(B14:C14)</f>
        <v>8.2550468196542534E-2</v>
      </c>
      <c r="E14" s="2" t="str">
        <f>IF(D14&gt;$H$6/10*9,"1",IF(D14&gt;$H$6/10*8,"2",IF(D14&gt;$H$6/10*7,"3",IF(D14&gt;$H$6/10*6,"4",IF(D14&gt;$H$6/10*5,"5",IF(D14&gt;$H$6/10*4,"6",IF(D14&gt;$H$6/10*3,"7",IF(D14&gt;$H$6/10*2,"8",IF(D14&gt;$H$6/10,"9","10")))))))))</f>
        <v>10</v>
      </c>
    </row>
    <row r="15" spans="1:8" x14ac:dyDescent="0.55000000000000004">
      <c r="A15">
        <v>70</v>
      </c>
      <c r="B15">
        <f>estuary_data!Y71*weights!$C$9</f>
        <v>1.899194207403563E-2</v>
      </c>
      <c r="C15">
        <f>estuary_data!X71*weights!$C$10</f>
        <v>7.3288132341015277E-2</v>
      </c>
      <c r="D15">
        <f>SUM(B15:C15)</f>
        <v>9.22800744150509E-2</v>
      </c>
      <c r="E15" s="2" t="str">
        <f>IF(D15&gt;$H$6/10*9,"1",IF(D15&gt;$H$6/10*8,"2",IF(D15&gt;$H$6/10*7,"3",IF(D15&gt;$H$6/10*6,"4",IF(D15&gt;$H$6/10*5,"5",IF(D15&gt;$H$6/10*4,"6",IF(D15&gt;$H$6/10*3,"7",IF(D15&gt;$H$6/10*2,"8",IF(D15&gt;$H$6/10,"9","10")))))))))</f>
        <v>10</v>
      </c>
    </row>
    <row r="16" spans="1:8" x14ac:dyDescent="0.55000000000000004">
      <c r="A16">
        <v>77</v>
      </c>
      <c r="B16">
        <f>estuary_data!Y78*weights!$C$9</f>
        <v>2.3100086751104788E-2</v>
      </c>
      <c r="C16">
        <f>estuary_data!X78*weights!$C$10</f>
        <v>7.2180986131073419E-2</v>
      </c>
      <c r="D16">
        <f>SUM(B16:C16)</f>
        <v>9.5281072882178214E-2</v>
      </c>
      <c r="E16" s="2" t="str">
        <f>IF(D16&gt;$H$6/10*9,"1",IF(D16&gt;$H$6/10*8,"2",IF(D16&gt;$H$6/10*7,"3",IF(D16&gt;$H$6/10*6,"4",IF(D16&gt;$H$6/10*5,"5",IF(D16&gt;$H$6/10*4,"6",IF(D16&gt;$H$6/10*3,"7",IF(D16&gt;$H$6/10*2,"8",IF(D16&gt;$H$6/10,"9","10")))))))))</f>
        <v>10</v>
      </c>
    </row>
    <row r="17" spans="1:5" x14ac:dyDescent="0.55000000000000004">
      <c r="A17">
        <v>86</v>
      </c>
      <c r="B17">
        <f>estuary_data!Y87*weights!$C$9</f>
        <v>2.0138981775742401E-2</v>
      </c>
      <c r="C17">
        <f>estuary_data!X87*weights!$C$10</f>
        <v>6.3897291799741573E-2</v>
      </c>
      <c r="D17">
        <f>SUM(B17:C17)</f>
        <v>8.4036273575483975E-2</v>
      </c>
      <c r="E17" s="2" t="str">
        <f>IF(D17&gt;$H$6/10*9,"1",IF(D17&gt;$H$6/10*8,"2",IF(D17&gt;$H$6/10*7,"3",IF(D17&gt;$H$6/10*6,"4",IF(D17&gt;$H$6/10*5,"5",IF(D17&gt;$H$6/10*4,"6",IF(D17&gt;$H$6/10*3,"7",IF(D17&gt;$H$6/10*2,"8",IF(D17&gt;$H$6/10,"9","10")))))))))</f>
        <v>10</v>
      </c>
    </row>
    <row r="18" spans="1:5" x14ac:dyDescent="0.55000000000000004">
      <c r="A18">
        <v>89</v>
      </c>
      <c r="B18">
        <f>estuary_data!Y90*weights!$C$9</f>
        <v>2.0539757062292739E-2</v>
      </c>
      <c r="C18">
        <f>estuary_data!X90*weights!$C$10</f>
        <v>7.2170601343405055E-2</v>
      </c>
      <c r="D18">
        <f>SUM(B18:C18)</f>
        <v>9.2710358405697801E-2</v>
      </c>
      <c r="E18" s="2" t="str">
        <f>IF(D18&gt;$H$6/10*9,"1",IF(D18&gt;$H$6/10*8,"2",IF(D18&gt;$H$6/10*7,"3",IF(D18&gt;$H$6/10*6,"4",IF(D18&gt;$H$6/10*5,"5",IF(D18&gt;$H$6/10*4,"6",IF(D18&gt;$H$6/10*3,"7",IF(D18&gt;$H$6/10*2,"8",IF(D18&gt;$H$6/10,"9","10")))))))))</f>
        <v>10</v>
      </c>
    </row>
    <row r="19" spans="1:5" x14ac:dyDescent="0.55000000000000004">
      <c r="A19">
        <v>95</v>
      </c>
      <c r="B19">
        <f>estuary_data!Y96*weights!$C$9</f>
        <v>1.7470464495082084E-2</v>
      </c>
      <c r="C19">
        <f>estuary_data!X96*weights!$C$10</f>
        <v>7.7697036603408057E-2</v>
      </c>
      <c r="D19">
        <f>SUM(B19:C19)</f>
        <v>9.5167501098490148E-2</v>
      </c>
      <c r="E19" s="2" t="str">
        <f>IF(D19&gt;$H$6/10*9,"1",IF(D19&gt;$H$6/10*8,"2",IF(D19&gt;$H$6/10*7,"3",IF(D19&gt;$H$6/10*6,"4",IF(D19&gt;$H$6/10*5,"5",IF(D19&gt;$H$6/10*4,"6",IF(D19&gt;$H$6/10*3,"7",IF(D19&gt;$H$6/10*2,"8",IF(D19&gt;$H$6/10,"9","10")))))))))</f>
        <v>10</v>
      </c>
    </row>
    <row r="20" spans="1:5" x14ac:dyDescent="0.55000000000000004">
      <c r="A20">
        <v>99</v>
      </c>
      <c r="B20">
        <f>estuary_data!Y100*weights!$C$9</f>
        <v>9.6975266441482466E-3</v>
      </c>
      <c r="C20">
        <f>estuary_data!X100*weights!$C$10</f>
        <v>5.5988555576247739E-2</v>
      </c>
      <c r="D20">
        <f>SUM(B20:C20)</f>
        <v>6.5686082220395986E-2</v>
      </c>
      <c r="E20" s="2" t="str">
        <f>IF(D20&gt;$H$6/10*9,"1",IF(D20&gt;$H$6/10*8,"2",IF(D20&gt;$H$6/10*7,"3",IF(D20&gt;$H$6/10*6,"4",IF(D20&gt;$H$6/10*5,"5",IF(D20&gt;$H$6/10*4,"6",IF(D20&gt;$H$6/10*3,"7",IF(D20&gt;$H$6/10*2,"8",IF(D20&gt;$H$6/10,"9","10")))))))))</f>
        <v>10</v>
      </c>
    </row>
    <row r="21" spans="1:5" x14ac:dyDescent="0.55000000000000004">
      <c r="A21">
        <v>105</v>
      </c>
      <c r="B21">
        <f>estuary_data!Y106*weights!$C$9</f>
        <v>2.1746699830771214E-2</v>
      </c>
      <c r="C21">
        <f>estuary_data!X106*weights!$C$10</f>
        <v>5.7792237770390942E-2</v>
      </c>
      <c r="D21">
        <f>SUM(B21:C21)</f>
        <v>7.9538937601162152E-2</v>
      </c>
      <c r="E21" s="2" t="str">
        <f>IF(D21&gt;$H$6/10*9,"1",IF(D21&gt;$H$6/10*8,"2",IF(D21&gt;$H$6/10*7,"3",IF(D21&gt;$H$6/10*6,"4",IF(D21&gt;$H$6/10*5,"5",IF(D21&gt;$H$6/10*4,"6",IF(D21&gt;$H$6/10*3,"7",IF(D21&gt;$H$6/10*2,"8",IF(D21&gt;$H$6/10,"9","10")))))))))</f>
        <v>10</v>
      </c>
    </row>
    <row r="22" spans="1:5" x14ac:dyDescent="0.55000000000000004">
      <c r="A22">
        <v>110</v>
      </c>
      <c r="B22">
        <f>estuary_data!Y111*weights!$C$9</f>
        <v>1.7558996612026215E-2</v>
      </c>
      <c r="C22">
        <f>estuary_data!X111*weights!$C$10</f>
        <v>7.3958815900219382E-2</v>
      </c>
      <c r="D22">
        <f>SUM(B22:C22)</f>
        <v>9.1517812512245597E-2</v>
      </c>
      <c r="E22" s="2" t="str">
        <f>IF(D22&gt;$H$6/10*9,"1",IF(D22&gt;$H$6/10*8,"2",IF(D22&gt;$H$6/10*7,"3",IF(D22&gt;$H$6/10*6,"4",IF(D22&gt;$H$6/10*5,"5",IF(D22&gt;$H$6/10*4,"6",IF(D22&gt;$H$6/10*3,"7",IF(D22&gt;$H$6/10*2,"8",IF(D22&gt;$H$6/10,"9","10")))))))))</f>
        <v>10</v>
      </c>
    </row>
    <row r="23" spans="1:5" x14ac:dyDescent="0.55000000000000004">
      <c r="A23">
        <v>115</v>
      </c>
      <c r="B23">
        <f>estuary_data!Y116*weights!$C$9</f>
        <v>2.2407300311536545E-2</v>
      </c>
      <c r="C23">
        <f>estuary_data!X116*weights!$C$10</f>
        <v>7.1432080299305437E-2</v>
      </c>
      <c r="D23">
        <f>SUM(B23:C23)</f>
        <v>9.3839380610841988E-2</v>
      </c>
      <c r="E23" s="2" t="str">
        <f>IF(D23&gt;$H$6/10*9,"1",IF(D23&gt;$H$6/10*8,"2",IF(D23&gt;$H$6/10*7,"3",IF(D23&gt;$H$6/10*6,"4",IF(D23&gt;$H$6/10*5,"5",IF(D23&gt;$H$6/10*4,"6",IF(D23&gt;$H$6/10*3,"7",IF(D23&gt;$H$6/10*2,"8",IF(D23&gt;$H$6/10,"9","10")))))))))</f>
        <v>10</v>
      </c>
    </row>
    <row r="24" spans="1:5" x14ac:dyDescent="0.55000000000000004">
      <c r="A24">
        <v>117</v>
      </c>
      <c r="B24">
        <f>estuary_data!Y118*weights!$C$9</f>
        <v>2.0256389706181384E-2</v>
      </c>
      <c r="C24">
        <f>estuary_data!X118*weights!$C$10</f>
        <v>7.2601840670188891E-2</v>
      </c>
      <c r="D24">
        <f>SUM(B24:C24)</f>
        <v>9.2858230376370282E-2</v>
      </c>
      <c r="E24" s="2" t="str">
        <f>IF(D24&gt;$H$6/10*9,"1",IF(D24&gt;$H$6/10*8,"2",IF(D24&gt;$H$6/10*7,"3",IF(D24&gt;$H$6/10*6,"4",IF(D24&gt;$H$6/10*5,"5",IF(D24&gt;$H$6/10*4,"6",IF(D24&gt;$H$6/10*3,"7",IF(D24&gt;$H$6/10*2,"8",IF(D24&gt;$H$6/10,"9","10")))))))))</f>
        <v>10</v>
      </c>
    </row>
    <row r="25" spans="1:5" x14ac:dyDescent="0.55000000000000004">
      <c r="A25">
        <v>118</v>
      </c>
      <c r="B25">
        <f>estuary_data!Y119*weights!$C$9</f>
        <v>1.9256159831815525E-2</v>
      </c>
      <c r="C25">
        <f>estuary_data!X119*weights!$C$10</f>
        <v>6.906014865842322E-2</v>
      </c>
      <c r="D25">
        <f>SUM(B25:C25)</f>
        <v>8.8316308490238749E-2</v>
      </c>
      <c r="E25" s="2" t="str">
        <f>IF(D25&gt;$H$6/10*9,"1",IF(D25&gt;$H$6/10*8,"2",IF(D25&gt;$H$6/10*7,"3",IF(D25&gt;$H$6/10*6,"4",IF(D25&gt;$H$6/10*5,"5",IF(D25&gt;$H$6/10*4,"6",IF(D25&gt;$H$6/10*3,"7",IF(D25&gt;$H$6/10*2,"8",IF(D25&gt;$H$6/10,"9","10")))))))))</f>
        <v>10</v>
      </c>
    </row>
    <row r="26" spans="1:5" x14ac:dyDescent="0.55000000000000004">
      <c r="A26">
        <v>120</v>
      </c>
      <c r="B26">
        <f>estuary_data!Y121*weights!$C$9</f>
        <v>1.501276103737193E-2</v>
      </c>
      <c r="C26">
        <f>estuary_data!X121*weights!$C$10</f>
        <v>5.7062738011185644E-2</v>
      </c>
      <c r="D26">
        <f>SUM(B26:C26)</f>
        <v>7.2075499048557576E-2</v>
      </c>
      <c r="E26" s="2" t="str">
        <f>IF(D26&gt;$H$6/10*9,"1",IF(D26&gt;$H$6/10*8,"2",IF(D26&gt;$H$6/10*7,"3",IF(D26&gt;$H$6/10*6,"4",IF(D26&gt;$H$6/10*5,"5",IF(D26&gt;$H$6/10*4,"6",IF(D26&gt;$H$6/10*3,"7",IF(D26&gt;$H$6/10*2,"8",IF(D26&gt;$H$6/10,"9","10")))))))))</f>
        <v>10</v>
      </c>
    </row>
    <row r="27" spans="1:5" x14ac:dyDescent="0.55000000000000004">
      <c r="A27">
        <v>126</v>
      </c>
      <c r="B27">
        <f>estuary_data!Y127*weights!$C$9</f>
        <v>1.6851547361760706E-2</v>
      </c>
      <c r="C27">
        <f>estuary_data!X127*weights!$C$10</f>
        <v>6.7472597119023495E-2</v>
      </c>
      <c r="D27">
        <f>SUM(B27:C27)</f>
        <v>8.4324144480784208E-2</v>
      </c>
      <c r="E27" s="2" t="str">
        <f>IF(D27&gt;$H$6/10*9,"1",IF(D27&gt;$H$6/10*8,"2",IF(D27&gt;$H$6/10*7,"3",IF(D27&gt;$H$6/10*6,"4",IF(D27&gt;$H$6/10*5,"5",IF(D27&gt;$H$6/10*4,"6",IF(D27&gt;$H$6/10*3,"7",IF(D27&gt;$H$6/10*2,"8",IF(D27&gt;$H$6/10,"9","10")))))))))</f>
        <v>10</v>
      </c>
    </row>
    <row r="28" spans="1:5" x14ac:dyDescent="0.55000000000000004">
      <c r="A28">
        <v>149</v>
      </c>
      <c r="B28">
        <f>estuary_data!Y150*weights!$C$9</f>
        <v>2.1136530798319442E-2</v>
      </c>
      <c r="C28">
        <f>estuary_data!X150*weights!$C$10</f>
        <v>4.7109736101721665E-2</v>
      </c>
      <c r="D28">
        <f>SUM(B28:C28)</f>
        <v>6.8246266900041111E-2</v>
      </c>
      <c r="E28" s="2" t="str">
        <f>IF(D28&gt;$H$6/10*9,"1",IF(D28&gt;$H$6/10*8,"2",IF(D28&gt;$H$6/10*7,"3",IF(D28&gt;$H$6/10*6,"4",IF(D28&gt;$H$6/10*5,"5",IF(D28&gt;$H$6/10*4,"6",IF(D28&gt;$H$6/10*3,"7",IF(D28&gt;$H$6/10*2,"8",IF(D28&gt;$H$6/10,"9","10")))))))))</f>
        <v>10</v>
      </c>
    </row>
    <row r="29" spans="1:5" x14ac:dyDescent="0.55000000000000004">
      <c r="A29">
        <v>155</v>
      </c>
      <c r="B29">
        <f>estuary_data!Y156*weights!$C$9</f>
        <v>3.1369098077051238E-2</v>
      </c>
      <c r="C29">
        <f>estuary_data!X156*weights!$C$10</f>
        <v>6.6946273449453364E-2</v>
      </c>
      <c r="D29">
        <f>SUM(B29:C29)</f>
        <v>9.8315371526504602E-2</v>
      </c>
      <c r="E29" s="2" t="str">
        <f>IF(D29&gt;$H$6/10*9,"1",IF(D29&gt;$H$6/10*8,"2",IF(D29&gt;$H$6/10*7,"3",IF(D29&gt;$H$6/10*6,"4",IF(D29&gt;$H$6/10*5,"5",IF(D29&gt;$H$6/10*4,"6",IF(D29&gt;$H$6/10*3,"7",IF(D29&gt;$H$6/10*2,"8",IF(D29&gt;$H$6/10,"9","10")))))))))</f>
        <v>10</v>
      </c>
    </row>
    <row r="30" spans="1:5" x14ac:dyDescent="0.55000000000000004">
      <c r="A30">
        <v>159</v>
      </c>
      <c r="B30">
        <f>estuary_data!Y160*weights!$C$9</f>
        <v>2.9692839897876189E-2</v>
      </c>
      <c r="C30">
        <f>estuary_data!X160*weights!$C$10</f>
        <v>5.9786754936433872E-2</v>
      </c>
      <c r="D30">
        <f>SUM(B30:C30)</f>
        <v>8.9479594834310061E-2</v>
      </c>
      <c r="E30" s="2" t="str">
        <f>IF(D30&gt;$H$6/10*9,"1",IF(D30&gt;$H$6/10*8,"2",IF(D30&gt;$H$6/10*7,"3",IF(D30&gt;$H$6/10*6,"4",IF(D30&gt;$H$6/10*5,"5",IF(D30&gt;$H$6/10*4,"6",IF(D30&gt;$H$6/10*3,"7",IF(D30&gt;$H$6/10*2,"8",IF(D30&gt;$H$6/10,"9","10")))))))))</f>
        <v>10</v>
      </c>
    </row>
    <row r="31" spans="1:5" x14ac:dyDescent="0.55000000000000004">
      <c r="A31">
        <v>163</v>
      </c>
      <c r="B31">
        <f>estuary_data!Y164*weights!$C$9</f>
        <v>1.8768733522299349E-2</v>
      </c>
      <c r="C31">
        <f>estuary_data!X164*weights!$C$10</f>
        <v>2.8702946111753128E-2</v>
      </c>
      <c r="D31">
        <f>SUM(B31:C31)</f>
        <v>4.747167963405248E-2</v>
      </c>
      <c r="E31" s="2" t="str">
        <f>IF(D31&gt;$H$6/10*9,"1",IF(D31&gt;$H$6/10*8,"2",IF(D31&gt;$H$6/10*7,"3",IF(D31&gt;$H$6/10*6,"4",IF(D31&gt;$H$6/10*5,"5",IF(D31&gt;$H$6/10*4,"6",IF(D31&gt;$H$6/10*3,"7",IF(D31&gt;$H$6/10*2,"8",IF(D31&gt;$H$6/10,"9","10")))))))))</f>
        <v>10</v>
      </c>
    </row>
    <row r="32" spans="1:5" x14ac:dyDescent="0.55000000000000004">
      <c r="A32">
        <v>164</v>
      </c>
      <c r="B32">
        <f>estuary_data!Y165*weights!$C$9</f>
        <v>3.333237583888813E-2</v>
      </c>
      <c r="C32">
        <f>estuary_data!X165*weights!$C$10</f>
        <v>5.7235208224550541E-2</v>
      </c>
      <c r="D32">
        <f>SUM(B32:C32)</f>
        <v>9.0567584063438678E-2</v>
      </c>
      <c r="E32" s="2" t="str">
        <f>IF(D32&gt;$H$6/10*9,"1",IF(D32&gt;$H$6/10*8,"2",IF(D32&gt;$H$6/10*7,"3",IF(D32&gt;$H$6/10*6,"4",IF(D32&gt;$H$6/10*5,"5",IF(D32&gt;$H$6/10*4,"6",IF(D32&gt;$H$6/10*3,"7",IF(D32&gt;$H$6/10*2,"8",IF(D32&gt;$H$6/10,"9","10")))))))))</f>
        <v>10</v>
      </c>
    </row>
    <row r="33" spans="1:5" x14ac:dyDescent="0.55000000000000004">
      <c r="A33">
        <v>165</v>
      </c>
      <c r="B33">
        <f>estuary_data!Y166*weights!$C$9</f>
        <v>2.5290409269869529E-2</v>
      </c>
      <c r="C33">
        <f>estuary_data!X166*weights!$C$10</f>
        <v>4.9489901598202456E-2</v>
      </c>
      <c r="D33">
        <f>SUM(B33:C33)</f>
        <v>7.4780310868071992E-2</v>
      </c>
      <c r="E33" s="2" t="str">
        <f>IF(D33&gt;$H$6/10*9,"1",IF(D33&gt;$H$6/10*8,"2",IF(D33&gt;$H$6/10*7,"3",IF(D33&gt;$H$6/10*6,"4",IF(D33&gt;$H$6/10*5,"5",IF(D33&gt;$H$6/10*4,"6",IF(D33&gt;$H$6/10*3,"7",IF(D33&gt;$H$6/10*2,"8",IF(D33&gt;$H$6/10,"9","10")))))))))</f>
        <v>10</v>
      </c>
    </row>
    <row r="34" spans="1:5" x14ac:dyDescent="0.55000000000000004">
      <c r="A34">
        <v>166</v>
      </c>
      <c r="B34">
        <f>estuary_data!Y167*weights!$C$9</f>
        <v>1.7613247446105654E-2</v>
      </c>
      <c r="C34">
        <f>estuary_data!X167*weights!$C$10</f>
        <v>3.3719030531468998E-2</v>
      </c>
      <c r="D34">
        <f>SUM(B34:C34)</f>
        <v>5.1332277977574656E-2</v>
      </c>
      <c r="E34" s="2" t="str">
        <f>IF(D34&gt;$H$6/10*9,"1",IF(D34&gt;$H$6/10*8,"2",IF(D34&gt;$H$6/10*7,"3",IF(D34&gt;$H$6/10*6,"4",IF(D34&gt;$H$6/10*5,"5",IF(D34&gt;$H$6/10*4,"6",IF(D34&gt;$H$6/10*3,"7",IF(D34&gt;$H$6/10*2,"8",IF(D34&gt;$H$6/10,"9","10")))))))))</f>
        <v>10</v>
      </c>
    </row>
    <row r="35" spans="1:5" x14ac:dyDescent="0.55000000000000004">
      <c r="A35">
        <v>167</v>
      </c>
      <c r="B35">
        <f>estuary_data!Y168*weights!$C$9</f>
        <v>2.3091456421500619E-2</v>
      </c>
      <c r="C35">
        <f>estuary_data!X168*weights!$C$10</f>
        <v>3.7238092005699684E-2</v>
      </c>
      <c r="D35">
        <f>SUM(B35:C35)</f>
        <v>6.03295484272003E-2</v>
      </c>
      <c r="E35" s="2" t="str">
        <f>IF(D35&gt;$H$6/10*9,"1",IF(D35&gt;$H$6/10*8,"2",IF(D35&gt;$H$6/10*7,"3",IF(D35&gt;$H$6/10*6,"4",IF(D35&gt;$H$6/10*5,"5",IF(D35&gt;$H$6/10*4,"6",IF(D35&gt;$H$6/10*3,"7",IF(D35&gt;$H$6/10*2,"8",IF(D35&gt;$H$6/10,"9","10")))))))))</f>
        <v>10</v>
      </c>
    </row>
    <row r="36" spans="1:5" x14ac:dyDescent="0.55000000000000004">
      <c r="A36">
        <v>170</v>
      </c>
      <c r="B36">
        <f>estuary_data!Y171*weights!$C$9</f>
        <v>2.6048034230845316E-2</v>
      </c>
      <c r="C36">
        <f>estuary_data!X171*weights!$C$10</f>
        <v>5.2427866027249637E-2</v>
      </c>
      <c r="D36">
        <f>SUM(B36:C36)</f>
        <v>7.8475900258094949E-2</v>
      </c>
      <c r="E36" s="2" t="str">
        <f>IF(D36&gt;$H$6/10*9,"1",IF(D36&gt;$H$6/10*8,"2",IF(D36&gt;$H$6/10*7,"3",IF(D36&gt;$H$6/10*6,"4",IF(D36&gt;$H$6/10*5,"5",IF(D36&gt;$H$6/10*4,"6",IF(D36&gt;$H$6/10*3,"7",IF(D36&gt;$H$6/10*2,"8",IF(D36&gt;$H$6/10,"9","10")))))))))</f>
        <v>10</v>
      </c>
    </row>
    <row r="37" spans="1:5" x14ac:dyDescent="0.55000000000000004">
      <c r="A37">
        <v>173</v>
      </c>
      <c r="B37">
        <f>estuary_data!Y174*weights!$C$9</f>
        <v>2.8079748918478024E-2</v>
      </c>
      <c r="C37">
        <f>estuary_data!X174*weights!$C$10</f>
        <v>4.9587919147334354E-2</v>
      </c>
      <c r="D37">
        <f>SUM(B37:C37)</f>
        <v>7.7667668065812379E-2</v>
      </c>
      <c r="E37" s="2" t="str">
        <f>IF(D37&gt;$H$6/10*9,"1",IF(D37&gt;$H$6/10*8,"2",IF(D37&gt;$H$6/10*7,"3",IF(D37&gt;$H$6/10*6,"4",IF(D37&gt;$H$6/10*5,"5",IF(D37&gt;$H$6/10*4,"6",IF(D37&gt;$H$6/10*3,"7",IF(D37&gt;$H$6/10*2,"8",IF(D37&gt;$H$6/10,"9","10")))))))))</f>
        <v>10</v>
      </c>
    </row>
    <row r="38" spans="1:5" x14ac:dyDescent="0.55000000000000004">
      <c r="A38">
        <v>176</v>
      </c>
      <c r="B38">
        <f>estuary_data!Y177*weights!$C$9</f>
        <v>2.8402135601432125E-2</v>
      </c>
      <c r="C38">
        <f>estuary_data!X177*weights!$C$10</f>
        <v>5.6399467370654689E-2</v>
      </c>
      <c r="D38">
        <f>SUM(B38:C38)</f>
        <v>8.4801602972086818E-2</v>
      </c>
      <c r="E38" s="2" t="str">
        <f>IF(D38&gt;$H$6/10*9,"1",IF(D38&gt;$H$6/10*8,"2",IF(D38&gt;$H$6/10*7,"3",IF(D38&gt;$H$6/10*6,"4",IF(D38&gt;$H$6/10*5,"5",IF(D38&gt;$H$6/10*4,"6",IF(D38&gt;$H$6/10*3,"7",IF(D38&gt;$H$6/10*2,"8",IF(D38&gt;$H$6/10,"9","10")))))))))</f>
        <v>10</v>
      </c>
    </row>
    <row r="39" spans="1:5" x14ac:dyDescent="0.55000000000000004">
      <c r="A39">
        <v>187</v>
      </c>
      <c r="B39">
        <f>estuary_data!Y188*weights!$C$9</f>
        <v>2.105266382549276E-2</v>
      </c>
      <c r="C39">
        <f>estuary_data!X188*weights!$C$10</f>
        <v>4.3406644281911509E-2</v>
      </c>
      <c r="D39">
        <f>SUM(B39:C39)</f>
        <v>6.4459308107404273E-2</v>
      </c>
      <c r="E39" s="2" t="str">
        <f>IF(D39&gt;$H$6/10*9,"1",IF(D39&gt;$H$6/10*8,"2",IF(D39&gt;$H$6/10*7,"3",IF(D39&gt;$H$6/10*6,"4",IF(D39&gt;$H$6/10*5,"5",IF(D39&gt;$H$6/10*4,"6",IF(D39&gt;$H$6/10*3,"7",IF(D39&gt;$H$6/10*2,"8",IF(D39&gt;$H$6/10,"9","10")))))))))</f>
        <v>10</v>
      </c>
    </row>
    <row r="40" spans="1:5" x14ac:dyDescent="0.55000000000000004">
      <c r="A40">
        <v>188</v>
      </c>
      <c r="B40">
        <f>estuary_data!Y189*weights!$C$9</f>
        <v>2.819540477051935E-2</v>
      </c>
      <c r="C40">
        <f>estuary_data!X189*weights!$C$10</f>
        <v>6.2403205926866948E-2</v>
      </c>
      <c r="D40">
        <f>SUM(B40:C40)</f>
        <v>9.0598610697386298E-2</v>
      </c>
      <c r="E40" s="2" t="str">
        <f>IF(D40&gt;$H$6/10*9,"1",IF(D40&gt;$H$6/10*8,"2",IF(D40&gt;$H$6/10*7,"3",IF(D40&gt;$H$6/10*6,"4",IF(D40&gt;$H$6/10*5,"5",IF(D40&gt;$H$6/10*4,"6",IF(D40&gt;$H$6/10*3,"7",IF(D40&gt;$H$6/10*2,"8",IF(D40&gt;$H$6/10,"9","10")))))))))</f>
        <v>10</v>
      </c>
    </row>
    <row r="41" spans="1:5" x14ac:dyDescent="0.55000000000000004">
      <c r="A41">
        <v>191</v>
      </c>
      <c r="B41">
        <f>estuary_data!Y192*weights!$C$9</f>
        <v>1.6452674469874057E-2</v>
      </c>
      <c r="C41">
        <f>estuary_data!X192*weights!$C$10</f>
        <v>2.7873812704664928E-2</v>
      </c>
      <c r="D41">
        <f>SUM(B41:C41)</f>
        <v>4.4326487174538985E-2</v>
      </c>
      <c r="E41" s="2" t="str">
        <f>IF(D41&gt;$H$6/10*9,"1",IF(D41&gt;$H$6/10*8,"2",IF(D41&gt;$H$6/10*7,"3",IF(D41&gt;$H$6/10*6,"4",IF(D41&gt;$H$6/10*5,"5",IF(D41&gt;$H$6/10*4,"6",IF(D41&gt;$H$6/10*3,"7",IF(D41&gt;$H$6/10*2,"8",IF(D41&gt;$H$6/10,"9","10")))))))))</f>
        <v>10</v>
      </c>
    </row>
    <row r="42" spans="1:5" x14ac:dyDescent="0.55000000000000004">
      <c r="A42">
        <v>196</v>
      </c>
      <c r="B42">
        <f>estuary_data!Y197*weights!$C$9</f>
        <v>2.2634661391285667E-2</v>
      </c>
      <c r="C42">
        <f>estuary_data!X197*weights!$C$10</f>
        <v>3.6368138573219584E-2</v>
      </c>
      <c r="D42">
        <f>SUM(B42:C42)</f>
        <v>5.9002799964505248E-2</v>
      </c>
      <c r="E42" s="2" t="str">
        <f>IF(D42&gt;$H$6/10*9,"1",IF(D42&gt;$H$6/10*8,"2",IF(D42&gt;$H$6/10*7,"3",IF(D42&gt;$H$6/10*6,"4",IF(D42&gt;$H$6/10*5,"5",IF(D42&gt;$H$6/10*4,"6",IF(D42&gt;$H$6/10*3,"7",IF(D42&gt;$H$6/10*2,"8",IF(D42&gt;$H$6/10,"9","10")))))))))</f>
        <v>10</v>
      </c>
    </row>
    <row r="43" spans="1:5" x14ac:dyDescent="0.55000000000000004">
      <c r="A43">
        <v>203</v>
      </c>
      <c r="B43">
        <f>estuary_data!Y204*weights!$C$9</f>
        <v>2.6797141023086304E-2</v>
      </c>
      <c r="C43">
        <f>estuary_data!X204*weights!$C$10</f>
        <v>6.3009115371774907E-2</v>
      </c>
      <c r="D43">
        <f>SUM(B43:C43)</f>
        <v>8.9806256394861214E-2</v>
      </c>
      <c r="E43" s="2" t="str">
        <f>IF(D43&gt;$H$6/10*9,"1",IF(D43&gt;$H$6/10*8,"2",IF(D43&gt;$H$6/10*7,"3",IF(D43&gt;$H$6/10*6,"4",IF(D43&gt;$H$6/10*5,"5",IF(D43&gt;$H$6/10*4,"6",IF(D43&gt;$H$6/10*3,"7",IF(D43&gt;$H$6/10*2,"8",IF(D43&gt;$H$6/10,"9","10")))))))))</f>
        <v>10</v>
      </c>
    </row>
    <row r="44" spans="1:5" x14ac:dyDescent="0.55000000000000004">
      <c r="A44">
        <v>205</v>
      </c>
      <c r="B44">
        <f>estuary_data!Y206*weights!$C$9</f>
        <v>1.6273512677174896E-2</v>
      </c>
      <c r="C44">
        <f>estuary_data!X206*weights!$C$10</f>
        <v>7.0281442474888017E-2</v>
      </c>
      <c r="D44">
        <f>SUM(B44:C44)</f>
        <v>8.6554955152062907E-2</v>
      </c>
      <c r="E44" s="2" t="str">
        <f>IF(D44&gt;$H$6/10*9,"1",IF(D44&gt;$H$6/10*8,"2",IF(D44&gt;$H$6/10*7,"3",IF(D44&gt;$H$6/10*6,"4",IF(D44&gt;$H$6/10*5,"5",IF(D44&gt;$H$6/10*4,"6",IF(D44&gt;$H$6/10*3,"7",IF(D44&gt;$H$6/10*2,"8",IF(D44&gt;$H$6/10,"9","10")))))))))</f>
        <v>10</v>
      </c>
    </row>
    <row r="45" spans="1:5" x14ac:dyDescent="0.55000000000000004">
      <c r="A45">
        <v>206</v>
      </c>
      <c r="B45">
        <f>estuary_data!Y207*weights!$C$9</f>
        <v>2.4746554916308755E-2</v>
      </c>
      <c r="C45">
        <f>estuary_data!X207*weights!$C$10</f>
        <v>6.9350219052915565E-2</v>
      </c>
      <c r="D45">
        <f>SUM(B45:C45)</f>
        <v>9.409677396922432E-2</v>
      </c>
      <c r="E45" s="2" t="str">
        <f>IF(D45&gt;$H$6/10*9,"1",IF(D45&gt;$H$6/10*8,"2",IF(D45&gt;$H$6/10*7,"3",IF(D45&gt;$H$6/10*6,"4",IF(D45&gt;$H$6/10*5,"5",IF(D45&gt;$H$6/10*4,"6",IF(D45&gt;$H$6/10*3,"7",IF(D45&gt;$H$6/10*2,"8",IF(D45&gt;$H$6/10,"9","10")))))))))</f>
        <v>10</v>
      </c>
    </row>
    <row r="46" spans="1:5" x14ac:dyDescent="0.55000000000000004">
      <c r="A46">
        <v>210</v>
      </c>
      <c r="B46">
        <f>estuary_data!Y211*weights!$C$9</f>
        <v>2.579391397411035E-2</v>
      </c>
      <c r="C46">
        <f>estuary_data!X211*weights!$C$10</f>
        <v>6.8740594127386187E-2</v>
      </c>
      <c r="D46">
        <f>SUM(B46:C46)</f>
        <v>9.4534508101496537E-2</v>
      </c>
      <c r="E46" s="2" t="str">
        <f>IF(D46&gt;$H$6/10*9,"1",IF(D46&gt;$H$6/10*8,"2",IF(D46&gt;$H$6/10*7,"3",IF(D46&gt;$H$6/10*6,"4",IF(D46&gt;$H$6/10*5,"5",IF(D46&gt;$H$6/10*4,"6",IF(D46&gt;$H$6/10*3,"7",IF(D46&gt;$H$6/10*2,"8",IF(D46&gt;$H$6/10,"9","10")))))))))</f>
        <v>10</v>
      </c>
    </row>
    <row r="47" spans="1:5" x14ac:dyDescent="0.55000000000000004">
      <c r="A47">
        <v>211</v>
      </c>
      <c r="B47">
        <f>estuary_data!Y212*weights!$C$9</f>
        <v>2.171577915149157E-2</v>
      </c>
      <c r="C47">
        <f>estuary_data!X212*weights!$C$10</f>
        <v>6.3986480088471853E-2</v>
      </c>
      <c r="D47">
        <f>SUM(B47:C47)</f>
        <v>8.5702259239963427E-2</v>
      </c>
      <c r="E47" s="2" t="str">
        <f>IF(D47&gt;$H$6/10*9,"1",IF(D47&gt;$H$6/10*8,"2",IF(D47&gt;$H$6/10*7,"3",IF(D47&gt;$H$6/10*6,"4",IF(D47&gt;$H$6/10*5,"5",IF(D47&gt;$H$6/10*4,"6",IF(D47&gt;$H$6/10*3,"7",IF(D47&gt;$H$6/10*2,"8",IF(D47&gt;$H$6/10,"9","10")))))))))</f>
        <v>10</v>
      </c>
    </row>
    <row r="48" spans="1:5" x14ac:dyDescent="0.55000000000000004">
      <c r="A48">
        <v>213</v>
      </c>
      <c r="B48">
        <f>estuary_data!Y214*weights!$C$9</f>
        <v>2.7326664590822312E-2</v>
      </c>
      <c r="C48">
        <f>estuary_data!X214*weights!$C$10</f>
        <v>6.3454171440751841E-2</v>
      </c>
      <c r="D48">
        <f>SUM(B48:C48)</f>
        <v>9.078083603157415E-2</v>
      </c>
      <c r="E48" s="2" t="str">
        <f>IF(D48&gt;$H$6/10*9,"1",IF(D48&gt;$H$6/10*8,"2",IF(D48&gt;$H$6/10*7,"3",IF(D48&gt;$H$6/10*6,"4",IF(D48&gt;$H$6/10*5,"5",IF(D48&gt;$H$6/10*4,"6",IF(D48&gt;$H$6/10*3,"7",IF(D48&gt;$H$6/10*2,"8",IF(D48&gt;$H$6/10,"9","10")))))))))</f>
        <v>10</v>
      </c>
    </row>
    <row r="49" spans="1:5" x14ac:dyDescent="0.55000000000000004">
      <c r="A49">
        <v>214</v>
      </c>
      <c r="B49">
        <f>estuary_data!Y215*weights!$C$9</f>
        <v>3.23156615159284E-2</v>
      </c>
      <c r="C49">
        <f>estuary_data!X215*weights!$C$10</f>
        <v>6.5155026452159467E-2</v>
      </c>
      <c r="D49">
        <f>SUM(B49:C49)</f>
        <v>9.747068796808786E-2</v>
      </c>
      <c r="E49" s="2" t="str">
        <f>IF(D49&gt;$H$6/10*9,"1",IF(D49&gt;$H$6/10*8,"2",IF(D49&gt;$H$6/10*7,"3",IF(D49&gt;$H$6/10*6,"4",IF(D49&gt;$H$6/10*5,"5",IF(D49&gt;$H$6/10*4,"6",IF(D49&gt;$H$6/10*3,"7",IF(D49&gt;$H$6/10*2,"8",IF(D49&gt;$H$6/10,"9","10")))))))))</f>
        <v>10</v>
      </c>
    </row>
    <row r="50" spans="1:5" x14ac:dyDescent="0.55000000000000004">
      <c r="A50">
        <v>215</v>
      </c>
      <c r="B50">
        <f>estuary_data!Y216*weights!$C$9</f>
        <v>2.347311127907311E-2</v>
      </c>
      <c r="C50">
        <f>estuary_data!X216*weights!$C$10</f>
        <v>5.5893668412974155E-2</v>
      </c>
      <c r="D50">
        <f>SUM(B50:C50)</f>
        <v>7.9366779692047265E-2</v>
      </c>
      <c r="E50" s="2" t="str">
        <f>IF(D50&gt;$H$6/10*9,"1",IF(D50&gt;$H$6/10*8,"2",IF(D50&gt;$H$6/10*7,"3",IF(D50&gt;$H$6/10*6,"4",IF(D50&gt;$H$6/10*5,"5",IF(D50&gt;$H$6/10*4,"6",IF(D50&gt;$H$6/10*3,"7",IF(D50&gt;$H$6/10*2,"8",IF(D50&gt;$H$6/10,"9","10")))))))))</f>
        <v>10</v>
      </c>
    </row>
    <row r="51" spans="1:5" x14ac:dyDescent="0.55000000000000004">
      <c r="A51">
        <v>216</v>
      </c>
      <c r="B51">
        <f>estuary_data!Y217*weights!$C$9</f>
        <v>2.4382028362002567E-2</v>
      </c>
      <c r="C51">
        <f>estuary_data!X217*weights!$C$10</f>
        <v>6.3396745807379529E-2</v>
      </c>
      <c r="D51">
        <f>SUM(B51:C51)</f>
        <v>8.7778774169382096E-2</v>
      </c>
      <c r="E51" s="2" t="str">
        <f>IF(D51&gt;$H$6/10*9,"1",IF(D51&gt;$H$6/10*8,"2",IF(D51&gt;$H$6/10*7,"3",IF(D51&gt;$H$6/10*6,"4",IF(D51&gt;$H$6/10*5,"5",IF(D51&gt;$H$6/10*4,"6",IF(D51&gt;$H$6/10*3,"7",IF(D51&gt;$H$6/10*2,"8",IF(D51&gt;$H$6/10,"9","10")))))))))</f>
        <v>10</v>
      </c>
    </row>
    <row r="52" spans="1:5" x14ac:dyDescent="0.55000000000000004">
      <c r="A52">
        <v>219</v>
      </c>
      <c r="B52">
        <f>estuary_data!Y220*weights!$C$9</f>
        <v>3.0976141012366624E-2</v>
      </c>
      <c r="C52">
        <f>estuary_data!X220*weights!$C$10</f>
        <v>5.855726077200011E-2</v>
      </c>
      <c r="D52">
        <f>SUM(B52:C52)</f>
        <v>8.9533401784366737E-2</v>
      </c>
      <c r="E52" s="2" t="str">
        <f>IF(D52&gt;$H$6/10*9,"1",IF(D52&gt;$H$6/10*8,"2",IF(D52&gt;$H$6/10*7,"3",IF(D52&gt;$H$6/10*6,"4",IF(D52&gt;$H$6/10*5,"5",IF(D52&gt;$H$6/10*4,"6",IF(D52&gt;$H$6/10*3,"7",IF(D52&gt;$H$6/10*2,"8",IF(D52&gt;$H$6/10,"9","10")))))))))</f>
        <v>10</v>
      </c>
    </row>
    <row r="53" spans="1:5" x14ac:dyDescent="0.55000000000000004">
      <c r="A53">
        <v>220</v>
      </c>
      <c r="B53">
        <f>estuary_data!Y221*weights!$C$9</f>
        <v>1.975129668358757E-2</v>
      </c>
      <c r="C53">
        <f>estuary_data!X221*weights!$C$10</f>
        <v>3.0560418361456308E-2</v>
      </c>
      <c r="D53">
        <f>SUM(B53:C53)</f>
        <v>5.0311715045043878E-2</v>
      </c>
      <c r="E53" s="2" t="str">
        <f>IF(D53&gt;$H$6/10*9,"1",IF(D53&gt;$H$6/10*8,"2",IF(D53&gt;$H$6/10*7,"3",IF(D53&gt;$H$6/10*6,"4",IF(D53&gt;$H$6/10*5,"5",IF(D53&gt;$H$6/10*4,"6",IF(D53&gt;$H$6/10*3,"7",IF(D53&gt;$H$6/10*2,"8",IF(D53&gt;$H$6/10,"9","10")))))))))</f>
        <v>10</v>
      </c>
    </row>
    <row r="54" spans="1:5" x14ac:dyDescent="0.55000000000000004">
      <c r="A54">
        <v>221</v>
      </c>
      <c r="B54">
        <f>estuary_data!Y222*weights!$C$9</f>
        <v>1.7224207331617773E-2</v>
      </c>
      <c r="C54">
        <f>estuary_data!X222*weights!$C$10</f>
        <v>2.7356453614769825E-2</v>
      </c>
      <c r="D54">
        <f>SUM(B54:C54)</f>
        <v>4.4580660946387601E-2</v>
      </c>
      <c r="E54" s="2" t="str">
        <f>IF(D54&gt;$H$6/10*9,"1",IF(D54&gt;$H$6/10*8,"2",IF(D54&gt;$H$6/10*7,"3",IF(D54&gt;$H$6/10*6,"4",IF(D54&gt;$H$6/10*5,"5",IF(D54&gt;$H$6/10*4,"6",IF(D54&gt;$H$6/10*3,"7",IF(D54&gt;$H$6/10*2,"8",IF(D54&gt;$H$6/10,"9","10")))))))))</f>
        <v>10</v>
      </c>
    </row>
    <row r="55" spans="1:5" x14ac:dyDescent="0.55000000000000004">
      <c r="A55">
        <v>222</v>
      </c>
      <c r="B55">
        <f>estuary_data!Y223*weights!$C$9</f>
        <v>9.5361325222473488E-3</v>
      </c>
      <c r="C55">
        <f>estuary_data!X223*weights!$C$10</f>
        <v>1.273070063485343E-2</v>
      </c>
      <c r="D55">
        <f>SUM(B55:C55)</f>
        <v>2.2266833157100777E-2</v>
      </c>
      <c r="E55" s="2" t="str">
        <f>IF(D55&gt;$H$6/10*9,"1",IF(D55&gt;$H$6/10*8,"2",IF(D55&gt;$H$6/10*7,"3",IF(D55&gt;$H$6/10*6,"4",IF(D55&gt;$H$6/10*5,"5",IF(D55&gt;$H$6/10*4,"6",IF(D55&gt;$H$6/10*3,"7",IF(D55&gt;$H$6/10*2,"8",IF(D55&gt;$H$6/10,"9","10")))))))))</f>
        <v>10</v>
      </c>
    </row>
    <row r="56" spans="1:5" x14ac:dyDescent="0.55000000000000004">
      <c r="A56">
        <v>223</v>
      </c>
      <c r="B56">
        <f>estuary_data!Y224*weights!$C$9</f>
        <v>5.0357581947785366E-3</v>
      </c>
      <c r="C56">
        <f>estuary_data!X224*weights!$C$10</f>
        <v>3.0856042001178598E-3</v>
      </c>
      <c r="D56">
        <f>SUM(B56:C56)</f>
        <v>8.1213623948963969E-3</v>
      </c>
      <c r="E56" s="2" t="str">
        <f>IF(D56&gt;$H$6/10*9,"1",IF(D56&gt;$H$6/10*8,"2",IF(D56&gt;$H$6/10*7,"3",IF(D56&gt;$H$6/10*6,"4",IF(D56&gt;$H$6/10*5,"5",IF(D56&gt;$H$6/10*4,"6",IF(D56&gt;$H$6/10*3,"7",IF(D56&gt;$H$6/10*2,"8",IF(D56&gt;$H$6/10,"9","10")))))))))</f>
        <v>10</v>
      </c>
    </row>
    <row r="57" spans="1:5" x14ac:dyDescent="0.55000000000000004">
      <c r="A57">
        <v>224</v>
      </c>
      <c r="B57">
        <f>estuary_data!Y225*weights!$C$9</f>
        <v>5.3667151913916813E-3</v>
      </c>
      <c r="C57">
        <f>estuary_data!X225*weights!$C$10</f>
        <v>3.8336143471713125E-3</v>
      </c>
      <c r="D57">
        <f>SUM(B57:C57)</f>
        <v>9.200329538562993E-3</v>
      </c>
      <c r="E57" s="2" t="str">
        <f>IF(D57&gt;$H$6/10*9,"1",IF(D57&gt;$H$6/10*8,"2",IF(D57&gt;$H$6/10*7,"3",IF(D57&gt;$H$6/10*6,"4",IF(D57&gt;$H$6/10*5,"5",IF(D57&gt;$H$6/10*4,"6",IF(D57&gt;$H$6/10*3,"7",IF(D57&gt;$H$6/10*2,"8",IF(D57&gt;$H$6/10,"9","10")))))))))</f>
        <v>10</v>
      </c>
    </row>
    <row r="58" spans="1:5" x14ac:dyDescent="0.55000000000000004">
      <c r="A58">
        <v>225</v>
      </c>
      <c r="B58">
        <f>estuary_data!Y226*weights!$C$9</f>
        <v>7.8469681155559998E-3</v>
      </c>
      <c r="C58">
        <f>estuary_data!X226*weights!$C$10</f>
        <v>9.5330830064676089E-3</v>
      </c>
      <c r="D58">
        <f>SUM(B58:C58)</f>
        <v>1.7380051122023607E-2</v>
      </c>
      <c r="E58" s="2" t="str">
        <f>IF(D58&gt;$H$6/10*9,"1",IF(D58&gt;$H$6/10*8,"2",IF(D58&gt;$H$6/10*7,"3",IF(D58&gt;$H$6/10*6,"4",IF(D58&gt;$H$6/10*5,"5",IF(D58&gt;$H$6/10*4,"6",IF(D58&gt;$H$6/10*3,"7",IF(D58&gt;$H$6/10*2,"8",IF(D58&gt;$H$6/10,"9","10")))))))))</f>
        <v>10</v>
      </c>
    </row>
    <row r="59" spans="1:5" x14ac:dyDescent="0.55000000000000004">
      <c r="A59">
        <v>226</v>
      </c>
      <c r="B59">
        <f>estuary_data!Y227*weights!$C$9</f>
        <v>8.0830694416204694E-3</v>
      </c>
      <c r="C59">
        <f>estuary_data!X227*weights!$C$10</f>
        <v>1.267437430948321E-2</v>
      </c>
      <c r="D59">
        <f>SUM(B59:C59)</f>
        <v>2.075744375110368E-2</v>
      </c>
      <c r="E59" s="2" t="str">
        <f>IF(D59&gt;$H$6/10*9,"1",IF(D59&gt;$H$6/10*8,"2",IF(D59&gt;$H$6/10*7,"3",IF(D59&gt;$H$6/10*6,"4",IF(D59&gt;$H$6/10*5,"5",IF(D59&gt;$H$6/10*4,"6",IF(D59&gt;$H$6/10*3,"7",IF(D59&gt;$H$6/10*2,"8",IF(D59&gt;$H$6/10,"9","10")))))))))</f>
        <v>10</v>
      </c>
    </row>
    <row r="60" spans="1:5" x14ac:dyDescent="0.55000000000000004">
      <c r="A60">
        <v>227</v>
      </c>
      <c r="B60">
        <f>estuary_data!Y228*weights!$C$9</f>
        <v>1.2753477755914967E-2</v>
      </c>
      <c r="C60">
        <f>estuary_data!X228*weights!$C$10</f>
        <v>2.2077030156458462E-2</v>
      </c>
      <c r="D60">
        <f>SUM(B60:C60)</f>
        <v>3.483050791237343E-2</v>
      </c>
      <c r="E60" s="2" t="str">
        <f>IF(D60&gt;$H$6/10*9,"1",IF(D60&gt;$H$6/10*8,"2",IF(D60&gt;$H$6/10*7,"3",IF(D60&gt;$H$6/10*6,"4",IF(D60&gt;$H$6/10*5,"5",IF(D60&gt;$H$6/10*4,"6",IF(D60&gt;$H$6/10*3,"7",IF(D60&gt;$H$6/10*2,"8",IF(D60&gt;$H$6/10,"9","10")))))))))</f>
        <v>10</v>
      </c>
    </row>
    <row r="61" spans="1:5" x14ac:dyDescent="0.55000000000000004">
      <c r="A61">
        <v>236</v>
      </c>
      <c r="B61">
        <f>estuary_data!Y237*weights!$C$9</f>
        <v>5.9033547981994054E-3</v>
      </c>
      <c r="C61">
        <f>estuary_data!X237*weights!$C$10</f>
        <v>6.1984397930667555E-3</v>
      </c>
      <c r="D61">
        <f>SUM(B61:C61)</f>
        <v>1.210179459126616E-2</v>
      </c>
      <c r="E61" s="2" t="str">
        <f>IF(D61&gt;$H$6/10*9,"1",IF(D61&gt;$H$6/10*8,"2",IF(D61&gt;$H$6/10*7,"3",IF(D61&gt;$H$6/10*6,"4",IF(D61&gt;$H$6/10*5,"5",IF(D61&gt;$H$6/10*4,"6",IF(D61&gt;$H$6/10*3,"7",IF(D61&gt;$H$6/10*2,"8",IF(D61&gt;$H$6/10,"9","10")))))))))</f>
        <v>10</v>
      </c>
    </row>
    <row r="62" spans="1:5" x14ac:dyDescent="0.55000000000000004">
      <c r="A62">
        <v>237</v>
      </c>
      <c r="B62">
        <f>estuary_data!Y238*weights!$C$9</f>
        <v>1.5269582329206549E-2</v>
      </c>
      <c r="C62">
        <f>estuary_data!X238*weights!$C$10</f>
        <v>5.5171077669242945E-2</v>
      </c>
      <c r="D62">
        <f>SUM(B62:C62)</f>
        <v>7.0440659998449492E-2</v>
      </c>
      <c r="E62" s="2" t="str">
        <f>IF(D62&gt;$H$6/10*9,"1",IF(D62&gt;$H$6/10*8,"2",IF(D62&gt;$H$6/10*7,"3",IF(D62&gt;$H$6/10*6,"4",IF(D62&gt;$H$6/10*5,"5",IF(D62&gt;$H$6/10*4,"6",IF(D62&gt;$H$6/10*3,"7",IF(D62&gt;$H$6/10*2,"8",IF(D62&gt;$H$6/10,"9","10")))))))))</f>
        <v>10</v>
      </c>
    </row>
    <row r="63" spans="1:5" x14ac:dyDescent="0.55000000000000004">
      <c r="A63">
        <v>239</v>
      </c>
      <c r="B63">
        <f>estuary_data!Y240*weights!$C$9</f>
        <v>2.0870969250759954E-2</v>
      </c>
      <c r="C63">
        <f>estuary_data!X240*weights!$C$10</f>
        <v>6.8847886846144513E-2</v>
      </c>
      <c r="D63">
        <f>SUM(B63:C63)</f>
        <v>8.971885609690447E-2</v>
      </c>
      <c r="E63" s="2" t="str">
        <f>IF(D63&gt;$H$6/10*9,"1",IF(D63&gt;$H$6/10*8,"2",IF(D63&gt;$H$6/10*7,"3",IF(D63&gt;$H$6/10*6,"4",IF(D63&gt;$H$6/10*5,"5",IF(D63&gt;$H$6/10*4,"6",IF(D63&gt;$H$6/10*3,"7",IF(D63&gt;$H$6/10*2,"8",IF(D63&gt;$H$6/10,"9","10")))))))))</f>
        <v>10</v>
      </c>
    </row>
    <row r="64" spans="1:5" x14ac:dyDescent="0.55000000000000004">
      <c r="A64">
        <v>240</v>
      </c>
      <c r="B64">
        <f>estuary_data!Y241*weights!$C$9</f>
        <v>2.4989662354148193E-2</v>
      </c>
      <c r="C64">
        <f>estuary_data!X241*weights!$C$10</f>
        <v>7.1994276463880388E-2</v>
      </c>
      <c r="D64">
        <f>SUM(B64:C64)</f>
        <v>9.6983938818028581E-2</v>
      </c>
      <c r="E64" s="2" t="str">
        <f>IF(D64&gt;$H$6/10*9,"1",IF(D64&gt;$H$6/10*8,"2",IF(D64&gt;$H$6/10*7,"3",IF(D64&gt;$H$6/10*6,"4",IF(D64&gt;$H$6/10*5,"5",IF(D64&gt;$H$6/10*4,"6",IF(D64&gt;$H$6/10*3,"7",IF(D64&gt;$H$6/10*2,"8",IF(D64&gt;$H$6/10,"9","10")))))))))</f>
        <v>10</v>
      </c>
    </row>
    <row r="65" spans="1:5" x14ac:dyDescent="0.55000000000000004">
      <c r="A65">
        <v>241</v>
      </c>
      <c r="B65">
        <f>estuary_data!Y242*weights!$C$9</f>
        <v>2.9384277006799804E-2</v>
      </c>
      <c r="C65">
        <f>estuary_data!X242*weights!$C$10</f>
        <v>5.5844093874969879E-2</v>
      </c>
      <c r="D65">
        <f>SUM(B65:C65)</f>
        <v>8.5228370881769683E-2</v>
      </c>
      <c r="E65" s="2" t="str">
        <f>IF(D65&gt;$H$6/10*9,"1",IF(D65&gt;$H$6/10*8,"2",IF(D65&gt;$H$6/10*7,"3",IF(D65&gt;$H$6/10*6,"4",IF(D65&gt;$H$6/10*5,"5",IF(D65&gt;$H$6/10*4,"6",IF(D65&gt;$H$6/10*3,"7",IF(D65&gt;$H$6/10*2,"8",IF(D65&gt;$H$6/10,"9","10")))))))))</f>
        <v>10</v>
      </c>
    </row>
    <row r="66" spans="1:5" x14ac:dyDescent="0.55000000000000004">
      <c r="A66">
        <v>243</v>
      </c>
      <c r="B66">
        <f>estuary_data!Y244*weights!$C$9</f>
        <v>1.9441910463981027E-2</v>
      </c>
      <c r="C66">
        <f>estuary_data!X244*weights!$C$10</f>
        <v>5.4599250638665844E-2</v>
      </c>
      <c r="D66">
        <f>SUM(B66:C66)</f>
        <v>7.4041161102646871E-2</v>
      </c>
      <c r="E66" s="2" t="str">
        <f>IF(D66&gt;$H$6/10*9,"1",IF(D66&gt;$H$6/10*8,"2",IF(D66&gt;$H$6/10*7,"3",IF(D66&gt;$H$6/10*6,"4",IF(D66&gt;$H$6/10*5,"5",IF(D66&gt;$H$6/10*4,"6",IF(D66&gt;$H$6/10*3,"7",IF(D66&gt;$H$6/10*2,"8",IF(D66&gt;$H$6/10,"9","10")))))))))</f>
        <v>10</v>
      </c>
    </row>
    <row r="67" spans="1:5" x14ac:dyDescent="0.55000000000000004">
      <c r="A67">
        <v>246</v>
      </c>
      <c r="B67">
        <f>estuary_data!Y247*weights!$C$9</f>
        <v>2.4356137373189896E-2</v>
      </c>
      <c r="C67">
        <f>estuary_data!X247*weights!$C$10</f>
        <v>5.3967426908521528E-2</v>
      </c>
      <c r="D67">
        <f>SUM(B67:C67)</f>
        <v>7.8323564281711416E-2</v>
      </c>
      <c r="E67" s="2" t="str">
        <f>IF(D67&gt;$H$6/10*9,"1",IF(D67&gt;$H$6/10*8,"2",IF(D67&gt;$H$6/10*7,"3",IF(D67&gt;$H$6/10*6,"4",IF(D67&gt;$H$6/10*5,"5",IF(D67&gt;$H$6/10*4,"6",IF(D67&gt;$H$6/10*3,"7",IF(D67&gt;$H$6/10*2,"8",IF(D67&gt;$H$6/10,"9","10")))))))))</f>
        <v>10</v>
      </c>
    </row>
    <row r="68" spans="1:5" x14ac:dyDescent="0.55000000000000004">
      <c r="A68">
        <v>255</v>
      </c>
      <c r="B68">
        <f>estuary_data!Y256*weights!$C$9</f>
        <v>2.0632330640230977E-2</v>
      </c>
      <c r="C68">
        <f>estuary_data!X256*weights!$C$10</f>
        <v>7.1966300170668004E-2</v>
      </c>
      <c r="D68">
        <f>SUM(B68:C68)</f>
        <v>9.2598630810898974E-2</v>
      </c>
      <c r="E68" s="2" t="str">
        <f>IF(D68&gt;$H$6/10*9,"1",IF(D68&gt;$H$6/10*8,"2",IF(D68&gt;$H$6/10*7,"3",IF(D68&gt;$H$6/10*6,"4",IF(D68&gt;$H$6/10*5,"5",IF(D68&gt;$H$6/10*4,"6",IF(D68&gt;$H$6/10*3,"7",IF(D68&gt;$H$6/10*2,"8",IF(D68&gt;$H$6/10,"9","10")))))))))</f>
        <v>10</v>
      </c>
    </row>
    <row r="69" spans="1:5" x14ac:dyDescent="0.55000000000000004">
      <c r="A69">
        <v>259</v>
      </c>
      <c r="B69">
        <f>estuary_data!Y260*weights!$C$9</f>
        <v>2.1541709869226301E-2</v>
      </c>
      <c r="C69">
        <f>estuary_data!X260*weights!$C$10</f>
        <v>7.4040686638145448E-2</v>
      </c>
      <c r="D69">
        <f>SUM(B69:C69)</f>
        <v>9.5582396507371742E-2</v>
      </c>
      <c r="E69" s="2" t="str">
        <f>IF(D69&gt;$H$6/10*9,"1",IF(D69&gt;$H$6/10*8,"2",IF(D69&gt;$H$6/10*7,"3",IF(D69&gt;$H$6/10*6,"4",IF(D69&gt;$H$6/10*5,"5",IF(D69&gt;$H$6/10*4,"6",IF(D69&gt;$H$6/10*3,"7",IF(D69&gt;$H$6/10*2,"8",IF(D69&gt;$H$6/10,"9","10")))))))))</f>
        <v>10</v>
      </c>
    </row>
    <row r="70" spans="1:5" x14ac:dyDescent="0.55000000000000004">
      <c r="A70">
        <v>263</v>
      </c>
      <c r="B70">
        <f>estuary_data!Y264*weights!$C$9</f>
        <v>3.0455817588148665E-2</v>
      </c>
      <c r="C70">
        <f>estuary_data!X264*weights!$C$10</f>
        <v>6.8758689536129264E-2</v>
      </c>
      <c r="D70">
        <f>SUM(B70:C70)</f>
        <v>9.9214507124277929E-2</v>
      </c>
      <c r="E70" s="2" t="str">
        <f>IF(D70&gt;$H$6/10*9,"1",IF(D70&gt;$H$6/10*8,"2",IF(D70&gt;$H$6/10*7,"3",IF(D70&gt;$H$6/10*6,"4",IF(D70&gt;$H$6/10*5,"5",IF(D70&gt;$H$6/10*4,"6",IF(D70&gt;$H$6/10*3,"7",IF(D70&gt;$H$6/10*2,"8",IF(D70&gt;$H$6/10,"9","10")))))))))</f>
        <v>10</v>
      </c>
    </row>
    <row r="71" spans="1:5" x14ac:dyDescent="0.55000000000000004">
      <c r="A71">
        <v>264</v>
      </c>
      <c r="B71">
        <f>estuary_data!Y265*weights!$C$9</f>
        <v>1.7631943872652284E-2</v>
      </c>
      <c r="C71">
        <f>estuary_data!X265*weights!$C$10</f>
        <v>4.4295239555248257E-2</v>
      </c>
      <c r="D71">
        <f>SUM(B71:C71)</f>
        <v>6.1927183427900545E-2</v>
      </c>
      <c r="E71" s="2" t="str">
        <f>IF(D71&gt;$H$6/10*9,"1",IF(D71&gt;$H$6/10*8,"2",IF(D71&gt;$H$6/10*7,"3",IF(D71&gt;$H$6/10*6,"4",IF(D71&gt;$H$6/10*5,"5",IF(D71&gt;$H$6/10*4,"6",IF(D71&gt;$H$6/10*3,"7",IF(D71&gt;$H$6/10*2,"8",IF(D71&gt;$H$6/10,"9","10")))))))))</f>
        <v>10</v>
      </c>
    </row>
    <row r="72" spans="1:5" x14ac:dyDescent="0.55000000000000004">
      <c r="A72">
        <v>266</v>
      </c>
      <c r="B72">
        <f>estuary_data!Y267*weights!$C$9</f>
        <v>2.8653624359042631E-2</v>
      </c>
      <c r="C72">
        <f>estuary_data!X267*weights!$C$10</f>
        <v>6.2621977240574472E-2</v>
      </c>
      <c r="D72">
        <f>SUM(B72:C72)</f>
        <v>9.1275601599617104E-2</v>
      </c>
      <c r="E72" s="2" t="str">
        <f>IF(D72&gt;$H$6/10*9,"1",IF(D72&gt;$H$6/10*8,"2",IF(D72&gt;$H$6/10*7,"3",IF(D72&gt;$H$6/10*6,"4",IF(D72&gt;$H$6/10*5,"5",IF(D72&gt;$H$6/10*4,"6",IF(D72&gt;$H$6/10*3,"7",IF(D72&gt;$H$6/10*2,"8",IF(D72&gt;$H$6/10,"9","10")))))))))</f>
        <v>10</v>
      </c>
    </row>
    <row r="73" spans="1:5" x14ac:dyDescent="0.55000000000000004">
      <c r="A73">
        <v>268</v>
      </c>
      <c r="B73">
        <f>estuary_data!Y269*weights!$C$9</f>
        <v>3.3921732925658726E-2</v>
      </c>
      <c r="C73">
        <f>estuary_data!X269*weights!$C$10</f>
        <v>6.3005432110028056E-2</v>
      </c>
      <c r="D73">
        <f>SUM(B73:C73)</f>
        <v>9.6927165035686783E-2</v>
      </c>
      <c r="E73" s="2" t="str">
        <f>IF(D73&gt;$H$6/10*9,"1",IF(D73&gt;$H$6/10*8,"2",IF(D73&gt;$H$6/10*7,"3",IF(D73&gt;$H$6/10*6,"4",IF(D73&gt;$H$6/10*5,"5",IF(D73&gt;$H$6/10*4,"6",IF(D73&gt;$H$6/10*3,"7",IF(D73&gt;$H$6/10*2,"8",IF(D73&gt;$H$6/10,"9","10")))))))))</f>
        <v>10</v>
      </c>
    </row>
    <row r="74" spans="1:5" x14ac:dyDescent="0.55000000000000004">
      <c r="A74">
        <v>269</v>
      </c>
      <c r="B74">
        <f>estuary_data!Y270*weights!$C$9</f>
        <v>2.3336820708697574E-2</v>
      </c>
      <c r="C74">
        <f>estuary_data!X270*weights!$C$10</f>
        <v>4.958283887518386E-2</v>
      </c>
      <c r="D74">
        <f>SUM(B74:C74)</f>
        <v>7.2919659583881441E-2</v>
      </c>
      <c r="E74" s="2" t="str">
        <f>IF(D74&gt;$H$6/10*9,"1",IF(D74&gt;$H$6/10*8,"2",IF(D74&gt;$H$6/10*7,"3",IF(D74&gt;$H$6/10*6,"4",IF(D74&gt;$H$6/10*5,"5",IF(D74&gt;$H$6/10*4,"6",IF(D74&gt;$H$6/10*3,"7",IF(D74&gt;$H$6/10*2,"8",IF(D74&gt;$H$6/10,"9","10")))))))))</f>
        <v>10</v>
      </c>
    </row>
    <row r="75" spans="1:5" x14ac:dyDescent="0.55000000000000004">
      <c r="A75">
        <v>270</v>
      </c>
      <c r="B75">
        <f>estuary_data!Y271*weights!$C$9</f>
        <v>3.0059538063513563E-2</v>
      </c>
      <c r="C75">
        <f>estuary_data!X271*weights!$C$10</f>
        <v>4.2280879428702789E-2</v>
      </c>
      <c r="D75">
        <f>SUM(B75:C75)</f>
        <v>7.2340417492216355E-2</v>
      </c>
      <c r="E75" s="2" t="str">
        <f>IF(D75&gt;$H$6/10*9,"1",IF(D75&gt;$H$6/10*8,"2",IF(D75&gt;$H$6/10*7,"3",IF(D75&gt;$H$6/10*6,"4",IF(D75&gt;$H$6/10*5,"5",IF(D75&gt;$H$6/10*4,"6",IF(D75&gt;$H$6/10*3,"7",IF(D75&gt;$H$6/10*2,"8",IF(D75&gt;$H$6/10,"9","10")))))))))</f>
        <v>10</v>
      </c>
    </row>
    <row r="76" spans="1:5" x14ac:dyDescent="0.55000000000000004">
      <c r="A76">
        <v>271</v>
      </c>
      <c r="B76">
        <f>estuary_data!Y272*weights!$C$9</f>
        <v>1.9599463893549971E-2</v>
      </c>
      <c r="C76">
        <f>estuary_data!X272*weights!$C$10</f>
        <v>4.4814527911355782E-2</v>
      </c>
      <c r="D76">
        <f>SUM(B76:C76)</f>
        <v>6.4413991804905757E-2</v>
      </c>
      <c r="E76" s="2" t="str">
        <f>IF(D76&gt;$H$6/10*9,"1",IF(D76&gt;$H$6/10*8,"2",IF(D76&gt;$H$6/10*7,"3",IF(D76&gt;$H$6/10*6,"4",IF(D76&gt;$H$6/10*5,"5",IF(D76&gt;$H$6/10*4,"6",IF(D76&gt;$H$6/10*3,"7",IF(D76&gt;$H$6/10*2,"8",IF(D76&gt;$H$6/10,"9","10")))))))))</f>
        <v>10</v>
      </c>
    </row>
    <row r="77" spans="1:5" x14ac:dyDescent="0.55000000000000004">
      <c r="A77">
        <v>272</v>
      </c>
      <c r="B77">
        <f>estuary_data!Y273*weights!$C$9</f>
        <v>2.0633192100633958E-2</v>
      </c>
      <c r="C77">
        <f>estuary_data!X273*weights!$C$10</f>
        <v>3.5808429705765601E-2</v>
      </c>
      <c r="D77">
        <f>SUM(B77:C77)</f>
        <v>5.6441621806399556E-2</v>
      </c>
      <c r="E77" s="2" t="str">
        <f>IF(D77&gt;$H$6/10*9,"1",IF(D77&gt;$H$6/10*8,"2",IF(D77&gt;$H$6/10*7,"3",IF(D77&gt;$H$6/10*6,"4",IF(D77&gt;$H$6/10*5,"5",IF(D77&gt;$H$6/10*4,"6",IF(D77&gt;$H$6/10*3,"7",IF(D77&gt;$H$6/10*2,"8",IF(D77&gt;$H$6/10,"9","10")))))))))</f>
        <v>10</v>
      </c>
    </row>
    <row r="78" spans="1:5" x14ac:dyDescent="0.55000000000000004">
      <c r="A78">
        <v>277</v>
      </c>
      <c r="B78">
        <f>estuary_data!Y278*weights!$C$9</f>
        <v>2.4021149564749097E-2</v>
      </c>
      <c r="C78">
        <f>estuary_data!X278*weights!$C$10</f>
        <v>6.9025206644517473E-2</v>
      </c>
      <c r="D78">
        <f>SUM(B78:C78)</f>
        <v>9.3046356209266573E-2</v>
      </c>
      <c r="E78" s="2" t="str">
        <f>IF(D78&gt;$H$6/10*9,"1",IF(D78&gt;$H$6/10*8,"2",IF(D78&gt;$H$6/10*7,"3",IF(D78&gt;$H$6/10*6,"4",IF(D78&gt;$H$6/10*5,"5",IF(D78&gt;$H$6/10*4,"6",IF(D78&gt;$H$6/10*3,"7",IF(D78&gt;$H$6/10*2,"8",IF(D78&gt;$H$6/10,"9","10")))))))))</f>
        <v>10</v>
      </c>
    </row>
    <row r="79" spans="1:5" x14ac:dyDescent="0.55000000000000004">
      <c r="A79">
        <v>278</v>
      </c>
      <c r="B79">
        <f>estuary_data!Y279*weights!$C$9</f>
        <v>2.2656404345106844E-2</v>
      </c>
      <c r="C79">
        <f>estuary_data!X279*weights!$C$10</f>
        <v>7.3599019994778761E-2</v>
      </c>
      <c r="D79">
        <f>SUM(B79:C79)</f>
        <v>9.6255424339885598E-2</v>
      </c>
      <c r="E79" s="2" t="str">
        <f>IF(D79&gt;$H$6/10*9,"1",IF(D79&gt;$H$6/10*8,"2",IF(D79&gt;$H$6/10*7,"3",IF(D79&gt;$H$6/10*6,"4",IF(D79&gt;$H$6/10*5,"5",IF(D79&gt;$H$6/10*4,"6",IF(D79&gt;$H$6/10*3,"7",IF(D79&gt;$H$6/10*2,"8",IF(D79&gt;$H$6/10,"9","10")))))))))</f>
        <v>10</v>
      </c>
    </row>
    <row r="80" spans="1:5" x14ac:dyDescent="0.55000000000000004">
      <c r="A80">
        <v>280</v>
      </c>
      <c r="B80">
        <f>estuary_data!Y281*weights!$C$9</f>
        <v>1.2416086145735767E-2</v>
      </c>
      <c r="C80">
        <f>estuary_data!X281*weights!$C$10</f>
        <v>7.1915801595339541E-3</v>
      </c>
      <c r="D80">
        <f>SUM(B80:C80)</f>
        <v>1.9607666305269722E-2</v>
      </c>
      <c r="E80" s="2" t="str">
        <f>IF(D80&gt;$H$6/10*9,"1",IF(D80&gt;$H$6/10*8,"2",IF(D80&gt;$H$6/10*7,"3",IF(D80&gt;$H$6/10*6,"4",IF(D80&gt;$H$6/10*5,"5",IF(D80&gt;$H$6/10*4,"6",IF(D80&gt;$H$6/10*3,"7",IF(D80&gt;$H$6/10*2,"8",IF(D80&gt;$H$6/10,"9","10")))))))))</f>
        <v>10</v>
      </c>
    </row>
    <row r="81" spans="1:5" x14ac:dyDescent="0.55000000000000004">
      <c r="A81">
        <v>281</v>
      </c>
      <c r="B81">
        <f>estuary_data!Y282*weights!$C$9</f>
        <v>1.8452985043237873E-2</v>
      </c>
      <c r="C81">
        <f>estuary_data!X282*weights!$C$10</f>
        <v>5.2924950423722202E-2</v>
      </c>
      <c r="D81">
        <f>SUM(B81:C81)</f>
        <v>7.1377935466960071E-2</v>
      </c>
      <c r="E81" s="2" t="str">
        <f>IF(D81&gt;$H$6/10*9,"1",IF(D81&gt;$H$6/10*8,"2",IF(D81&gt;$H$6/10*7,"3",IF(D81&gt;$H$6/10*6,"4",IF(D81&gt;$H$6/10*5,"5",IF(D81&gt;$H$6/10*4,"6",IF(D81&gt;$H$6/10*3,"7",IF(D81&gt;$H$6/10*2,"8",IF(D81&gt;$H$6/10,"9","10")))))))))</f>
        <v>10</v>
      </c>
    </row>
    <row r="82" spans="1:5" x14ac:dyDescent="0.55000000000000004">
      <c r="A82">
        <v>282</v>
      </c>
      <c r="B82">
        <f>estuary_data!Y283*weights!$C$9</f>
        <v>2.2597255059128185E-2</v>
      </c>
      <c r="C82">
        <f>estuary_data!X283*weights!$C$10</f>
        <v>5.6388362168949727E-2</v>
      </c>
      <c r="D82">
        <f>SUM(B82:C82)</f>
        <v>7.8985617228077912E-2</v>
      </c>
      <c r="E82" s="2" t="str">
        <f>IF(D82&gt;$H$6/10*9,"1",IF(D82&gt;$H$6/10*8,"2",IF(D82&gt;$H$6/10*7,"3",IF(D82&gt;$H$6/10*6,"4",IF(D82&gt;$H$6/10*5,"5",IF(D82&gt;$H$6/10*4,"6",IF(D82&gt;$H$6/10*3,"7",IF(D82&gt;$H$6/10*2,"8",IF(D82&gt;$H$6/10,"9","10")))))))))</f>
        <v>10</v>
      </c>
    </row>
    <row r="83" spans="1:5" x14ac:dyDescent="0.55000000000000004">
      <c r="A83">
        <v>284</v>
      </c>
      <c r="B83">
        <f>estuary_data!Y285*weights!$C$9</f>
        <v>2.5165091140006118E-2</v>
      </c>
      <c r="C83">
        <f>estuary_data!X285*weights!$C$10</f>
        <v>7.1855839692156892E-2</v>
      </c>
      <c r="D83">
        <f>SUM(B83:C83)</f>
        <v>9.702093083216301E-2</v>
      </c>
      <c r="E83" s="2" t="str">
        <f>IF(D83&gt;$H$6/10*9,"1",IF(D83&gt;$H$6/10*8,"2",IF(D83&gt;$H$6/10*7,"3",IF(D83&gt;$H$6/10*6,"4",IF(D83&gt;$H$6/10*5,"5",IF(D83&gt;$H$6/10*4,"6",IF(D83&gt;$H$6/10*3,"7",IF(D83&gt;$H$6/10*2,"8",IF(D83&gt;$H$6/10,"9","10")))))))))</f>
        <v>10</v>
      </c>
    </row>
    <row r="84" spans="1:5" x14ac:dyDescent="0.55000000000000004">
      <c r="A84">
        <v>285</v>
      </c>
      <c r="B84">
        <f>estuary_data!Y286*weights!$C$9</f>
        <v>3.4299141042910916E-2</v>
      </c>
      <c r="C84">
        <f>estuary_data!X286*weights!$C$10</f>
        <v>5.7686683582107282E-2</v>
      </c>
      <c r="D84">
        <f>SUM(B84:C84)</f>
        <v>9.1985824625018198E-2</v>
      </c>
      <c r="E84" s="2" t="str">
        <f>IF(D84&gt;$H$6/10*9,"1",IF(D84&gt;$H$6/10*8,"2",IF(D84&gt;$H$6/10*7,"3",IF(D84&gt;$H$6/10*6,"4",IF(D84&gt;$H$6/10*5,"5",IF(D84&gt;$H$6/10*4,"6",IF(D84&gt;$H$6/10*3,"7",IF(D84&gt;$H$6/10*2,"8",IF(D84&gt;$H$6/10,"9","10")))))))))</f>
        <v>10</v>
      </c>
    </row>
    <row r="85" spans="1:5" x14ac:dyDescent="0.55000000000000004">
      <c r="A85">
        <v>289</v>
      </c>
      <c r="B85">
        <f>estuary_data!Y290*weights!$C$9</f>
        <v>3.638973131859527E-2</v>
      </c>
      <c r="C85">
        <f>estuary_data!X290*weights!$C$10</f>
        <v>6.1801883160950352E-2</v>
      </c>
      <c r="D85">
        <f>SUM(B85:C85)</f>
        <v>9.8191614479545622E-2</v>
      </c>
      <c r="E85" s="2" t="str">
        <f>IF(D85&gt;$H$6/10*9,"1",IF(D85&gt;$H$6/10*8,"2",IF(D85&gt;$H$6/10*7,"3",IF(D85&gt;$H$6/10*6,"4",IF(D85&gt;$H$6/10*5,"5",IF(D85&gt;$H$6/10*4,"6",IF(D85&gt;$H$6/10*3,"7",IF(D85&gt;$H$6/10*2,"8",IF(D85&gt;$H$6/10,"9","10")))))))))</f>
        <v>10</v>
      </c>
    </row>
    <row r="86" spans="1:5" x14ac:dyDescent="0.55000000000000004">
      <c r="A86">
        <v>290</v>
      </c>
      <c r="B86">
        <f>estuary_data!Y291*weights!$C$9</f>
        <v>2.6921884846014394E-2</v>
      </c>
      <c r="C86">
        <f>estuary_data!X291*weights!$C$10</f>
        <v>5.5618077180737191E-2</v>
      </c>
      <c r="D86">
        <f>SUM(B86:C86)</f>
        <v>8.2539962026751582E-2</v>
      </c>
      <c r="E86" s="2" t="str">
        <f>IF(D86&gt;$H$6/10*9,"1",IF(D86&gt;$H$6/10*8,"2",IF(D86&gt;$H$6/10*7,"3",IF(D86&gt;$H$6/10*6,"4",IF(D86&gt;$H$6/10*5,"5",IF(D86&gt;$H$6/10*4,"6",IF(D86&gt;$H$6/10*3,"7",IF(D86&gt;$H$6/10*2,"8",IF(D86&gt;$H$6/10,"9","10")))))))))</f>
        <v>10</v>
      </c>
    </row>
    <row r="87" spans="1:5" x14ac:dyDescent="0.55000000000000004">
      <c r="A87">
        <v>293</v>
      </c>
      <c r="B87">
        <f>estuary_data!Y294*weights!$C$9</f>
        <v>9.8758931508869888E-3</v>
      </c>
      <c r="C87">
        <f>estuary_data!X294*weights!$C$10</f>
        <v>1.7048908765183599E-2</v>
      </c>
      <c r="D87">
        <f>SUM(B87:C87)</f>
        <v>2.6924801916070586E-2</v>
      </c>
      <c r="E87" s="2" t="str">
        <f>IF(D87&gt;$H$6/10*9,"1",IF(D87&gt;$H$6/10*8,"2",IF(D87&gt;$H$6/10*7,"3",IF(D87&gt;$H$6/10*6,"4",IF(D87&gt;$H$6/10*5,"5",IF(D87&gt;$H$6/10*4,"6",IF(D87&gt;$H$6/10*3,"7",IF(D87&gt;$H$6/10*2,"8",IF(D87&gt;$H$6/10,"9","10")))))))))</f>
        <v>10</v>
      </c>
    </row>
    <row r="88" spans="1:5" x14ac:dyDescent="0.55000000000000004">
      <c r="A88">
        <v>294</v>
      </c>
      <c r="B88">
        <f>estuary_data!Y295*weights!$C$9</f>
        <v>1.4574056710904091E-2</v>
      </c>
      <c r="C88">
        <f>estuary_data!X295*weights!$C$10</f>
        <v>3.2728459942441723E-2</v>
      </c>
      <c r="D88">
        <f>SUM(B88:C88)</f>
        <v>4.7302516653345811E-2</v>
      </c>
      <c r="E88" s="2" t="str">
        <f>IF(D88&gt;$H$6/10*9,"1",IF(D88&gt;$H$6/10*8,"2",IF(D88&gt;$H$6/10*7,"3",IF(D88&gt;$H$6/10*6,"4",IF(D88&gt;$H$6/10*5,"5",IF(D88&gt;$H$6/10*4,"6",IF(D88&gt;$H$6/10*3,"7",IF(D88&gt;$H$6/10*2,"8",IF(D88&gt;$H$6/10,"9","10")))))))))</f>
        <v>10</v>
      </c>
    </row>
    <row r="89" spans="1:5" x14ac:dyDescent="0.55000000000000004">
      <c r="A89">
        <v>301</v>
      </c>
      <c r="B89">
        <f>estuary_data!Y302*weights!$C$9</f>
        <v>1.4733096389611899E-2</v>
      </c>
      <c r="C89">
        <f>estuary_data!X302*weights!$C$10</f>
        <v>9.6031139523473016E-3</v>
      </c>
      <c r="D89">
        <f>SUM(B89:C89)</f>
        <v>2.4336210341959201E-2</v>
      </c>
      <c r="E89" s="2" t="str">
        <f>IF(D89&gt;$H$6/10*9,"1",IF(D89&gt;$H$6/10*8,"2",IF(D89&gt;$H$6/10*7,"3",IF(D89&gt;$H$6/10*6,"4",IF(D89&gt;$H$6/10*5,"5",IF(D89&gt;$H$6/10*4,"6",IF(D89&gt;$H$6/10*3,"7",IF(D89&gt;$H$6/10*2,"8",IF(D89&gt;$H$6/10,"9","10")))))))))</f>
        <v>10</v>
      </c>
    </row>
    <row r="90" spans="1:5" x14ac:dyDescent="0.55000000000000004">
      <c r="A90">
        <v>302</v>
      </c>
      <c r="B90">
        <f>estuary_data!Y303*weights!$C$9</f>
        <v>1.4775235155351531E-2</v>
      </c>
      <c r="C90">
        <f>estuary_data!X303*weights!$C$10</f>
        <v>8.2828437530418283E-3</v>
      </c>
      <c r="D90">
        <f>SUM(B90:C90)</f>
        <v>2.305807890839336E-2</v>
      </c>
      <c r="E90" s="2" t="str">
        <f>IF(D90&gt;$H$6/10*9,"1",IF(D90&gt;$H$6/10*8,"2",IF(D90&gt;$H$6/10*7,"3",IF(D90&gt;$H$6/10*6,"4",IF(D90&gt;$H$6/10*5,"5",IF(D90&gt;$H$6/10*4,"6",IF(D90&gt;$H$6/10*3,"7",IF(D90&gt;$H$6/10*2,"8",IF(D90&gt;$H$6/10,"9","10")))))))))</f>
        <v>10</v>
      </c>
    </row>
    <row r="91" spans="1:5" x14ac:dyDescent="0.55000000000000004">
      <c r="A91">
        <v>303</v>
      </c>
      <c r="B91">
        <f>estuary_data!Y304*weights!$C$9</f>
        <v>3.534943894837711E-2</v>
      </c>
      <c r="C91">
        <f>estuary_data!X304*weights!$C$10</f>
        <v>6.2912639173604956E-2</v>
      </c>
      <c r="D91">
        <f>SUM(B91:C91)</f>
        <v>9.8262078121982066E-2</v>
      </c>
      <c r="E91" s="2" t="str">
        <f>IF(D91&gt;$H$6/10*9,"1",IF(D91&gt;$H$6/10*8,"2",IF(D91&gt;$H$6/10*7,"3",IF(D91&gt;$H$6/10*6,"4",IF(D91&gt;$H$6/10*5,"5",IF(D91&gt;$H$6/10*4,"6",IF(D91&gt;$H$6/10*3,"7",IF(D91&gt;$H$6/10*2,"8",IF(D91&gt;$H$6/10,"9","10")))))))))</f>
        <v>10</v>
      </c>
    </row>
    <row r="92" spans="1:5" x14ac:dyDescent="0.55000000000000004">
      <c r="A92">
        <v>304</v>
      </c>
      <c r="B92">
        <f>estuary_data!Y305*weights!$C$9</f>
        <v>1.3316376262946104E-2</v>
      </c>
      <c r="C92">
        <f>estuary_data!X305*weights!$C$10</f>
        <v>1.149406419029334E-2</v>
      </c>
      <c r="D92">
        <f>SUM(B92:C92)</f>
        <v>2.4810440453239442E-2</v>
      </c>
      <c r="E92" s="2" t="str">
        <f>IF(D92&gt;$H$6/10*9,"1",IF(D92&gt;$H$6/10*8,"2",IF(D92&gt;$H$6/10*7,"3",IF(D92&gt;$H$6/10*6,"4",IF(D92&gt;$H$6/10*5,"5",IF(D92&gt;$H$6/10*4,"6",IF(D92&gt;$H$6/10*3,"7",IF(D92&gt;$H$6/10*2,"8",IF(D92&gt;$H$6/10,"9","10")))))))))</f>
        <v>10</v>
      </c>
    </row>
    <row r="93" spans="1:5" x14ac:dyDescent="0.55000000000000004">
      <c r="A93">
        <v>305</v>
      </c>
      <c r="B93">
        <f>estuary_data!Y306*weights!$C$9</f>
        <v>2.4487999482876638E-2</v>
      </c>
      <c r="C93">
        <f>estuary_data!X306*weights!$C$10</f>
        <v>3.9568619815181852E-2</v>
      </c>
      <c r="D93">
        <f>SUM(B93:C93)</f>
        <v>6.405661929805849E-2</v>
      </c>
      <c r="E93" s="2" t="str">
        <f>IF(D93&gt;$H$6/10*9,"1",IF(D93&gt;$H$6/10*8,"2",IF(D93&gt;$H$6/10*7,"3",IF(D93&gt;$H$6/10*6,"4",IF(D93&gt;$H$6/10*5,"5",IF(D93&gt;$H$6/10*4,"6",IF(D93&gt;$H$6/10*3,"7",IF(D93&gt;$H$6/10*2,"8",IF(D93&gt;$H$6/10,"9","10")))))))))</f>
        <v>10</v>
      </c>
    </row>
    <row r="94" spans="1:5" x14ac:dyDescent="0.55000000000000004">
      <c r="A94">
        <v>306</v>
      </c>
      <c r="B94">
        <f>estuary_data!Y307*weights!$C$9</f>
        <v>3.1345802690239039E-2</v>
      </c>
      <c r="C94">
        <f>estuary_data!X307*weights!$C$10</f>
        <v>5.8647481353473356E-2</v>
      </c>
      <c r="D94">
        <f>SUM(B94:C94)</f>
        <v>8.9993284043712402E-2</v>
      </c>
      <c r="E94" s="2" t="str">
        <f>IF(D94&gt;$H$6/10*9,"1",IF(D94&gt;$H$6/10*8,"2",IF(D94&gt;$H$6/10*7,"3",IF(D94&gt;$H$6/10*6,"4",IF(D94&gt;$H$6/10*5,"5",IF(D94&gt;$H$6/10*4,"6",IF(D94&gt;$H$6/10*3,"7",IF(D94&gt;$H$6/10*2,"8",IF(D94&gt;$H$6/10,"9","10")))))))))</f>
        <v>10</v>
      </c>
    </row>
    <row r="95" spans="1:5" x14ac:dyDescent="0.55000000000000004">
      <c r="A95">
        <v>310</v>
      </c>
      <c r="B95">
        <f>estuary_data!Y311*weights!$C$9</f>
        <v>0</v>
      </c>
      <c r="C95">
        <f>estuary_data!X311*weights!$C$10</f>
        <v>0</v>
      </c>
      <c r="D95">
        <f>SUM(B95:C95)</f>
        <v>0</v>
      </c>
      <c r="E95" s="2" t="str">
        <f>IF(D95&gt;$H$6/10*9,"1",IF(D95&gt;$H$6/10*8,"2",IF(D95&gt;$H$6/10*7,"3",IF(D95&gt;$H$6/10*6,"4",IF(D95&gt;$H$6/10*5,"5",IF(D95&gt;$H$6/10*4,"6",IF(D95&gt;$H$6/10*3,"7",IF(D95&gt;$H$6/10*2,"8",IF(D95&gt;$H$6/10,"9","10")))))))))</f>
        <v>10</v>
      </c>
    </row>
    <row r="96" spans="1:5" x14ac:dyDescent="0.55000000000000004">
      <c r="A96">
        <v>311</v>
      </c>
      <c r="B96">
        <f>estuary_data!Y312*weights!$C$9</f>
        <v>3.5038886154576197E-2</v>
      </c>
      <c r="C96">
        <f>estuary_data!X312*weights!$C$10</f>
        <v>6.1351929823030754E-2</v>
      </c>
      <c r="D96">
        <f>SUM(B96:C96)</f>
        <v>9.6390815977606958E-2</v>
      </c>
      <c r="E96" s="2" t="str">
        <f>IF(D96&gt;$H$6/10*9,"1",IF(D96&gt;$H$6/10*8,"2",IF(D96&gt;$H$6/10*7,"3",IF(D96&gt;$H$6/10*6,"4",IF(D96&gt;$H$6/10*5,"5",IF(D96&gt;$H$6/10*4,"6",IF(D96&gt;$H$6/10*3,"7",IF(D96&gt;$H$6/10*2,"8",IF(D96&gt;$H$6/10,"9","10")))))))))</f>
        <v>10</v>
      </c>
    </row>
    <row r="97" spans="1:5" x14ac:dyDescent="0.55000000000000004">
      <c r="A97">
        <v>321</v>
      </c>
      <c r="B97">
        <f>estuary_data!Y322*weights!$C$9</f>
        <v>2.2384565776119112E-2</v>
      </c>
      <c r="C97">
        <f>estuary_data!X322*weights!$C$10</f>
        <v>5.4454145848650541E-2</v>
      </c>
      <c r="D97">
        <f>SUM(B97:C97)</f>
        <v>7.6838711624769657E-2</v>
      </c>
      <c r="E97" s="2" t="str">
        <f>IF(D97&gt;$H$6/10*9,"1",IF(D97&gt;$H$6/10*8,"2",IF(D97&gt;$H$6/10*7,"3",IF(D97&gt;$H$6/10*6,"4",IF(D97&gt;$H$6/10*5,"5",IF(D97&gt;$H$6/10*4,"6",IF(D97&gt;$H$6/10*3,"7",IF(D97&gt;$H$6/10*2,"8",IF(D97&gt;$H$6/10,"9","10")))))))))</f>
        <v>10</v>
      </c>
    </row>
    <row r="98" spans="1:5" x14ac:dyDescent="0.55000000000000004">
      <c r="A98">
        <v>322</v>
      </c>
      <c r="B98">
        <f>estuary_data!Y323*weights!$C$9</f>
        <v>2.3710693241528327E-2</v>
      </c>
      <c r="C98">
        <f>estuary_data!X323*weights!$C$10</f>
        <v>7.4085101001190243E-2</v>
      </c>
      <c r="D98">
        <f>SUM(B98:C98)</f>
        <v>9.7795794242718573E-2</v>
      </c>
      <c r="E98" s="2" t="str">
        <f>IF(D98&gt;$H$6/10*9,"1",IF(D98&gt;$H$6/10*8,"2",IF(D98&gt;$H$6/10*7,"3",IF(D98&gt;$H$6/10*6,"4",IF(D98&gt;$H$6/10*5,"5",IF(D98&gt;$H$6/10*4,"6",IF(D98&gt;$H$6/10*3,"7",IF(D98&gt;$H$6/10*2,"8",IF(D98&gt;$H$6/10,"9","10")))))))))</f>
        <v>10</v>
      </c>
    </row>
    <row r="99" spans="1:5" x14ac:dyDescent="0.55000000000000004">
      <c r="A99">
        <v>329</v>
      </c>
      <c r="B99">
        <f>estuary_data!Y330*weights!$C$9</f>
        <v>1.1606372987730686E-2</v>
      </c>
      <c r="C99">
        <f>estuary_data!X330*weights!$C$10</f>
        <v>2.6761892946259008E-2</v>
      </c>
      <c r="D99">
        <f>SUM(B99:C99)</f>
        <v>3.836826593398969E-2</v>
      </c>
      <c r="E99" s="2" t="str">
        <f>IF(D99&gt;$H$6/10*9,"1",IF(D99&gt;$H$6/10*8,"2",IF(D99&gt;$H$6/10*7,"3",IF(D99&gt;$H$6/10*6,"4",IF(D99&gt;$H$6/10*5,"5",IF(D99&gt;$H$6/10*4,"6",IF(D99&gt;$H$6/10*3,"7",IF(D99&gt;$H$6/10*2,"8",IF(D99&gt;$H$6/10,"9","10")))))))))</f>
        <v>10</v>
      </c>
    </row>
    <row r="100" spans="1:5" x14ac:dyDescent="0.55000000000000004">
      <c r="A100">
        <v>331</v>
      </c>
      <c r="B100">
        <f>estuary_data!Y332*weights!$C$9</f>
        <v>2.9355303593588691E-2</v>
      </c>
      <c r="C100">
        <f>estuary_data!X332*weights!$C$10</f>
        <v>4.7793006930863378E-2</v>
      </c>
      <c r="D100">
        <f>SUM(B100:C100)</f>
        <v>7.7148310524452063E-2</v>
      </c>
      <c r="E100" s="2" t="str">
        <f>IF(D100&gt;$H$6/10*9,"1",IF(D100&gt;$H$6/10*8,"2",IF(D100&gt;$H$6/10*7,"3",IF(D100&gt;$H$6/10*6,"4",IF(D100&gt;$H$6/10*5,"5",IF(D100&gt;$H$6/10*4,"6",IF(D100&gt;$H$6/10*3,"7",IF(D100&gt;$H$6/10*2,"8",IF(D100&gt;$H$6/10,"9","10")))))))))</f>
        <v>10</v>
      </c>
    </row>
    <row r="101" spans="1:5" x14ac:dyDescent="0.55000000000000004">
      <c r="A101">
        <v>335</v>
      </c>
      <c r="B101">
        <f>estuary_data!Y336*weights!$C$9</f>
        <v>1.8877831927214959E-2</v>
      </c>
      <c r="C101">
        <f>estuary_data!X336*weights!$C$10</f>
        <v>4.8564511081291666E-2</v>
      </c>
      <c r="D101">
        <f>SUM(B101:C101)</f>
        <v>6.7442343008506628E-2</v>
      </c>
      <c r="E101" s="2" t="str">
        <f>IF(D101&gt;$H$6/10*9,"1",IF(D101&gt;$H$6/10*8,"2",IF(D101&gt;$H$6/10*7,"3",IF(D101&gt;$H$6/10*6,"4",IF(D101&gt;$H$6/10*5,"5",IF(D101&gt;$H$6/10*4,"6",IF(D101&gt;$H$6/10*3,"7",IF(D101&gt;$H$6/10*2,"8",IF(D101&gt;$H$6/10,"9","10")))))))))</f>
        <v>10</v>
      </c>
    </row>
    <row r="102" spans="1:5" x14ac:dyDescent="0.55000000000000004">
      <c r="A102">
        <v>336</v>
      </c>
      <c r="B102">
        <f>estuary_data!Y337*weights!$C$9</f>
        <v>2.5007008263144951E-2</v>
      </c>
      <c r="C102">
        <f>estuary_data!X337*weights!$C$10</f>
        <v>7.3468394367018811E-2</v>
      </c>
      <c r="D102">
        <f>SUM(B102:C102)</f>
        <v>9.8475402630163758E-2</v>
      </c>
      <c r="E102" s="2" t="str">
        <f>IF(D102&gt;$H$6/10*9,"1",IF(D102&gt;$H$6/10*8,"2",IF(D102&gt;$H$6/10*7,"3",IF(D102&gt;$H$6/10*6,"4",IF(D102&gt;$H$6/10*5,"5",IF(D102&gt;$H$6/10*4,"6",IF(D102&gt;$H$6/10*3,"7",IF(D102&gt;$H$6/10*2,"8",IF(D102&gt;$H$6/10,"9","10")))))))))</f>
        <v>10</v>
      </c>
    </row>
    <row r="103" spans="1:5" x14ac:dyDescent="0.55000000000000004">
      <c r="A103">
        <v>344</v>
      </c>
      <c r="B103">
        <f>estuary_data!Y345*weights!$C$9</f>
        <v>2.5524408541749442E-2</v>
      </c>
      <c r="C103">
        <f>estuary_data!X345*weights!$C$10</f>
        <v>4.8330857225018467E-2</v>
      </c>
      <c r="D103">
        <f>SUM(B103:C103)</f>
        <v>7.3855265766767902E-2</v>
      </c>
      <c r="E103" s="2" t="str">
        <f>IF(D103&gt;$H$6/10*9,"1",IF(D103&gt;$H$6/10*8,"2",IF(D103&gt;$H$6/10*7,"3",IF(D103&gt;$H$6/10*6,"4",IF(D103&gt;$H$6/10*5,"5",IF(D103&gt;$H$6/10*4,"6",IF(D103&gt;$H$6/10*3,"7",IF(D103&gt;$H$6/10*2,"8",IF(D103&gt;$H$6/10,"9","10")))))))))</f>
        <v>10</v>
      </c>
    </row>
    <row r="104" spans="1:5" x14ac:dyDescent="0.55000000000000004">
      <c r="A104">
        <v>345</v>
      </c>
      <c r="B104">
        <f>estuary_data!Y346*weights!$C$9</f>
        <v>1.8984630857878791E-2</v>
      </c>
      <c r="C104">
        <f>estuary_data!X346*weights!$C$10</f>
        <v>5.4081560338739662E-2</v>
      </c>
      <c r="D104">
        <f>SUM(B104:C104)</f>
        <v>7.3066191196618446E-2</v>
      </c>
      <c r="E104" s="2" t="str">
        <f>IF(D104&gt;$H$6/10*9,"1",IF(D104&gt;$H$6/10*8,"2",IF(D104&gt;$H$6/10*7,"3",IF(D104&gt;$H$6/10*6,"4",IF(D104&gt;$H$6/10*5,"5",IF(D104&gt;$H$6/10*4,"6",IF(D104&gt;$H$6/10*3,"7",IF(D104&gt;$H$6/10*2,"8",IF(D104&gt;$H$6/10,"9","10")))))))))</f>
        <v>10</v>
      </c>
    </row>
    <row r="105" spans="1:5" x14ac:dyDescent="0.55000000000000004">
      <c r="A105">
        <v>347</v>
      </c>
      <c r="B105">
        <f>estuary_data!Y348*weights!$C$9</f>
        <v>2.0712854958034505E-2</v>
      </c>
      <c r="C105">
        <f>estuary_data!X348*weights!$C$10</f>
        <v>5.8928804967883157E-2</v>
      </c>
      <c r="D105">
        <f>SUM(B105:C105)</f>
        <v>7.9641659925917666E-2</v>
      </c>
      <c r="E105" s="2" t="str">
        <f>IF(D105&gt;$H$6/10*9,"1",IF(D105&gt;$H$6/10*8,"2",IF(D105&gt;$H$6/10*7,"3",IF(D105&gt;$H$6/10*6,"4",IF(D105&gt;$H$6/10*5,"5",IF(D105&gt;$H$6/10*4,"6",IF(D105&gt;$H$6/10*3,"7",IF(D105&gt;$H$6/10*2,"8",IF(D105&gt;$H$6/10,"9","10")))))))))</f>
        <v>10</v>
      </c>
    </row>
    <row r="106" spans="1:5" x14ac:dyDescent="0.55000000000000004">
      <c r="A106">
        <v>348</v>
      </c>
      <c r="B106">
        <f>estuary_data!Y349*weights!$C$9</f>
        <v>1.803647684237604E-2</v>
      </c>
      <c r="C106">
        <f>estuary_data!X349*weights!$C$10</f>
        <v>5.497837013635018E-2</v>
      </c>
      <c r="D106">
        <f>SUM(B106:C106)</f>
        <v>7.3014846978726219E-2</v>
      </c>
      <c r="E106" s="2" t="str">
        <f>IF(D106&gt;$H$6/10*9,"1",IF(D106&gt;$H$6/10*8,"2",IF(D106&gt;$H$6/10*7,"3",IF(D106&gt;$H$6/10*6,"4",IF(D106&gt;$H$6/10*5,"5",IF(D106&gt;$H$6/10*4,"6",IF(D106&gt;$H$6/10*3,"7",IF(D106&gt;$H$6/10*2,"8",IF(D106&gt;$H$6/10,"9","10")))))))))</f>
        <v>10</v>
      </c>
    </row>
    <row r="107" spans="1:5" x14ac:dyDescent="0.55000000000000004">
      <c r="A107">
        <v>349</v>
      </c>
      <c r="B107">
        <f>estuary_data!Y350*weights!$C$9</f>
        <v>2.6768284275527913E-2</v>
      </c>
      <c r="C107">
        <f>estuary_data!X350*weights!$C$10</f>
        <v>4.1720345758058407E-2</v>
      </c>
      <c r="D107">
        <f>SUM(B107:C107)</f>
        <v>6.8488630033586323E-2</v>
      </c>
      <c r="E107" s="2" t="str">
        <f>IF(D107&gt;$H$6/10*9,"1",IF(D107&gt;$H$6/10*8,"2",IF(D107&gt;$H$6/10*7,"3",IF(D107&gt;$H$6/10*6,"4",IF(D107&gt;$H$6/10*5,"5",IF(D107&gt;$H$6/10*4,"6",IF(D107&gt;$H$6/10*3,"7",IF(D107&gt;$H$6/10*2,"8",IF(D107&gt;$H$6/10,"9","10")))))))))</f>
        <v>10</v>
      </c>
    </row>
    <row r="108" spans="1:5" x14ac:dyDescent="0.55000000000000004">
      <c r="A108">
        <v>350</v>
      </c>
      <c r="B108">
        <f>estuary_data!Y351*weights!$C$9</f>
        <v>3.4453125237445113E-2</v>
      </c>
      <c r="C108">
        <f>estuary_data!X351*weights!$C$10</f>
        <v>5.5913290996374376E-2</v>
      </c>
      <c r="D108">
        <f>SUM(B108:C108)</f>
        <v>9.0366416233819497E-2</v>
      </c>
      <c r="E108" s="2" t="str">
        <f>IF(D108&gt;$H$6/10*9,"1",IF(D108&gt;$H$6/10*8,"2",IF(D108&gt;$H$6/10*7,"3",IF(D108&gt;$H$6/10*6,"4",IF(D108&gt;$H$6/10*5,"5",IF(D108&gt;$H$6/10*4,"6",IF(D108&gt;$H$6/10*3,"7",IF(D108&gt;$H$6/10*2,"8",IF(D108&gt;$H$6/10,"9","10")))))))))</f>
        <v>10</v>
      </c>
    </row>
    <row r="109" spans="1:5" x14ac:dyDescent="0.55000000000000004">
      <c r="A109">
        <v>351</v>
      </c>
      <c r="B109">
        <f>estuary_data!Y352*weights!$C$9</f>
        <v>3.7187026177094594E-2</v>
      </c>
      <c r="C109">
        <f>estuary_data!X352*weights!$C$10</f>
        <v>5.8010510335919314E-2</v>
      </c>
      <c r="D109">
        <f>SUM(B109:C109)</f>
        <v>9.5197536513013908E-2</v>
      </c>
      <c r="E109" s="2" t="str">
        <f>IF(D109&gt;$H$6/10*9,"1",IF(D109&gt;$H$6/10*8,"2",IF(D109&gt;$H$6/10*7,"3",IF(D109&gt;$H$6/10*6,"4",IF(D109&gt;$H$6/10*5,"5",IF(D109&gt;$H$6/10*4,"6",IF(D109&gt;$H$6/10*3,"7",IF(D109&gt;$H$6/10*2,"8",IF(D109&gt;$H$6/10,"9","10")))))))))</f>
        <v>10</v>
      </c>
    </row>
    <row r="110" spans="1:5" x14ac:dyDescent="0.55000000000000004">
      <c r="A110">
        <v>354</v>
      </c>
      <c r="B110">
        <f>estuary_data!Y355*weights!$C$9</f>
        <v>2.1718987204061936E-2</v>
      </c>
      <c r="C110">
        <f>estuary_data!X355*weights!$C$10</f>
        <v>5.170799069027162E-2</v>
      </c>
      <c r="D110">
        <f>SUM(B110:C110)</f>
        <v>7.3426977894333556E-2</v>
      </c>
      <c r="E110" s="2" t="str">
        <f>IF(D110&gt;$H$6/10*9,"1",IF(D110&gt;$H$6/10*8,"2",IF(D110&gt;$H$6/10*7,"3",IF(D110&gt;$H$6/10*6,"4",IF(D110&gt;$H$6/10*5,"5",IF(D110&gt;$H$6/10*4,"6",IF(D110&gt;$H$6/10*3,"7",IF(D110&gt;$H$6/10*2,"8",IF(D110&gt;$H$6/10,"9","10")))))))))</f>
        <v>10</v>
      </c>
    </row>
    <row r="111" spans="1:5" x14ac:dyDescent="0.55000000000000004">
      <c r="A111">
        <v>355</v>
      </c>
      <c r="B111">
        <f>estuary_data!Y356*weights!$C$9</f>
        <v>2.5282247814101419E-2</v>
      </c>
      <c r="C111">
        <f>estuary_data!X356*weights!$C$10</f>
        <v>7.0241277137028532E-2</v>
      </c>
      <c r="D111">
        <f>SUM(B111:C111)</f>
        <v>9.5523524951129951E-2</v>
      </c>
      <c r="E111" s="2" t="str">
        <f>IF(D111&gt;$H$6/10*9,"1",IF(D111&gt;$H$6/10*8,"2",IF(D111&gt;$H$6/10*7,"3",IF(D111&gt;$H$6/10*6,"4",IF(D111&gt;$H$6/10*5,"5",IF(D111&gt;$H$6/10*4,"6",IF(D111&gt;$H$6/10*3,"7",IF(D111&gt;$H$6/10*2,"8",IF(D111&gt;$H$6/10,"9","10")))))))))</f>
        <v>10</v>
      </c>
    </row>
    <row r="112" spans="1:5" x14ac:dyDescent="0.55000000000000004">
      <c r="A112">
        <v>356</v>
      </c>
      <c r="B112">
        <f>estuary_data!Y357*weights!$C$9</f>
        <v>1.963266834503016E-2</v>
      </c>
      <c r="C112">
        <f>estuary_data!X357*weights!$C$10</f>
        <v>5.7209498851356642E-2</v>
      </c>
      <c r="D112">
        <f>SUM(B112:C112)</f>
        <v>7.6842167196386799E-2</v>
      </c>
      <c r="E112" s="2" t="str">
        <f>IF(D112&gt;$H$6/10*9,"1",IF(D112&gt;$H$6/10*8,"2",IF(D112&gt;$H$6/10*7,"3",IF(D112&gt;$H$6/10*6,"4",IF(D112&gt;$H$6/10*5,"5",IF(D112&gt;$H$6/10*4,"6",IF(D112&gt;$H$6/10*3,"7",IF(D112&gt;$H$6/10*2,"8",IF(D112&gt;$H$6/10,"9","10")))))))))</f>
        <v>10</v>
      </c>
    </row>
    <row r="113" spans="1:5" x14ac:dyDescent="0.55000000000000004">
      <c r="A113">
        <v>358</v>
      </c>
      <c r="B113">
        <f>estuary_data!Y359*weights!$C$9</f>
        <v>2.4265004043849382E-2</v>
      </c>
      <c r="C113">
        <f>estuary_data!X359*weights!$C$10</f>
        <v>6.3049217560640136E-2</v>
      </c>
      <c r="D113">
        <f>SUM(B113:C113)</f>
        <v>8.7314221604489511E-2</v>
      </c>
      <c r="E113" s="2" t="str">
        <f>IF(D113&gt;$H$6/10*9,"1",IF(D113&gt;$H$6/10*8,"2",IF(D113&gt;$H$6/10*7,"3",IF(D113&gt;$H$6/10*6,"4",IF(D113&gt;$H$6/10*5,"5",IF(D113&gt;$H$6/10*4,"6",IF(D113&gt;$H$6/10*3,"7",IF(D113&gt;$H$6/10*2,"8",IF(D113&gt;$H$6/10,"9","10")))))))))</f>
        <v>10</v>
      </c>
    </row>
    <row r="114" spans="1:5" x14ac:dyDescent="0.55000000000000004">
      <c r="A114">
        <v>360</v>
      </c>
      <c r="B114">
        <f>estuary_data!Y361*weights!$C$9</f>
        <v>2.5858999270601968E-2</v>
      </c>
      <c r="C114">
        <f>estuary_data!X361*weights!$C$10</f>
        <v>6.7108538012092753E-2</v>
      </c>
      <c r="D114">
        <f>SUM(B114:C114)</f>
        <v>9.2967537282694718E-2</v>
      </c>
      <c r="E114" s="2" t="str">
        <f>IF(D114&gt;$H$6/10*9,"1",IF(D114&gt;$H$6/10*8,"2",IF(D114&gt;$H$6/10*7,"3",IF(D114&gt;$H$6/10*6,"4",IF(D114&gt;$H$6/10*5,"5",IF(D114&gt;$H$6/10*4,"6",IF(D114&gt;$H$6/10*3,"7",IF(D114&gt;$H$6/10*2,"8",IF(D114&gt;$H$6/10,"9","10")))))))))</f>
        <v>10</v>
      </c>
    </row>
    <row r="115" spans="1:5" x14ac:dyDescent="0.55000000000000004">
      <c r="A115">
        <v>364</v>
      </c>
      <c r="B115">
        <f>estuary_data!Y365*weights!$C$9</f>
        <v>1.9046893960596601E-2</v>
      </c>
      <c r="C115">
        <f>estuary_data!X365*weights!$C$10</f>
        <v>7.820143726192999E-2</v>
      </c>
      <c r="D115">
        <f>SUM(B115:C115)</f>
        <v>9.7248331222526588E-2</v>
      </c>
      <c r="E115" s="2" t="str">
        <f>IF(D115&gt;$H$6/10*9,"1",IF(D115&gt;$H$6/10*8,"2",IF(D115&gt;$H$6/10*7,"3",IF(D115&gt;$H$6/10*6,"4",IF(D115&gt;$H$6/10*5,"5",IF(D115&gt;$H$6/10*4,"6",IF(D115&gt;$H$6/10*3,"7",IF(D115&gt;$H$6/10*2,"8",IF(D115&gt;$H$6/10,"9","10")))))))))</f>
        <v>10</v>
      </c>
    </row>
    <row r="116" spans="1:5" x14ac:dyDescent="0.55000000000000004">
      <c r="A116">
        <v>365</v>
      </c>
      <c r="B116">
        <f>estuary_data!Y366*weights!$C$9</f>
        <v>1.9271921903718896E-2</v>
      </c>
      <c r="C116">
        <f>estuary_data!X366*weights!$C$10</f>
        <v>6.4568849134825454E-2</v>
      </c>
      <c r="D116">
        <f>SUM(B116:C116)</f>
        <v>8.3840771038544343E-2</v>
      </c>
      <c r="E116" s="2" t="str">
        <f>IF(D116&gt;$H$6/10*9,"1",IF(D116&gt;$H$6/10*8,"2",IF(D116&gt;$H$6/10*7,"3",IF(D116&gt;$H$6/10*6,"4",IF(D116&gt;$H$6/10*5,"5",IF(D116&gt;$H$6/10*4,"6",IF(D116&gt;$H$6/10*3,"7",IF(D116&gt;$H$6/10*2,"8",IF(D116&gt;$H$6/10,"9","10")))))))))</f>
        <v>10</v>
      </c>
    </row>
    <row r="117" spans="1:5" x14ac:dyDescent="0.55000000000000004">
      <c r="A117">
        <v>370</v>
      </c>
      <c r="B117">
        <f>estuary_data!Y371*weights!$C$9</f>
        <v>2.050021279294104E-2</v>
      </c>
      <c r="C117">
        <f>estuary_data!X371*weights!$C$10</f>
        <v>5.989696153021299E-2</v>
      </c>
      <c r="D117">
        <f>SUM(B117:C117)</f>
        <v>8.0397174323154033E-2</v>
      </c>
      <c r="E117" s="2" t="str">
        <f>IF(D117&gt;$H$6/10*9,"1",IF(D117&gt;$H$6/10*8,"2",IF(D117&gt;$H$6/10*7,"3",IF(D117&gt;$H$6/10*6,"4",IF(D117&gt;$H$6/10*5,"5",IF(D117&gt;$H$6/10*4,"6",IF(D117&gt;$H$6/10*3,"7",IF(D117&gt;$H$6/10*2,"8",IF(D117&gt;$H$6/10,"9","10")))))))))</f>
        <v>10</v>
      </c>
    </row>
    <row r="118" spans="1:5" x14ac:dyDescent="0.55000000000000004">
      <c r="A118">
        <v>371</v>
      </c>
      <c r="B118">
        <f>estuary_data!Y372*weights!$C$9</f>
        <v>2.0881982057893655E-2</v>
      </c>
      <c r="C118">
        <f>estuary_data!X372*weights!$C$10</f>
        <v>7.3680330124286361E-2</v>
      </c>
      <c r="D118">
        <f>SUM(B118:C118)</f>
        <v>9.4562312182180017E-2</v>
      </c>
      <c r="E118" s="2" t="str">
        <f>IF(D118&gt;$H$6/10*9,"1",IF(D118&gt;$H$6/10*8,"2",IF(D118&gt;$H$6/10*7,"3",IF(D118&gt;$H$6/10*6,"4",IF(D118&gt;$H$6/10*5,"5",IF(D118&gt;$H$6/10*4,"6",IF(D118&gt;$H$6/10*3,"7",IF(D118&gt;$H$6/10*2,"8",IF(D118&gt;$H$6/10,"9","10")))))))))</f>
        <v>10</v>
      </c>
    </row>
    <row r="119" spans="1:5" x14ac:dyDescent="0.55000000000000004">
      <c r="A119">
        <v>375</v>
      </c>
      <c r="B119">
        <f>estuary_data!Y376*weights!$C$9</f>
        <v>2.455894002135248E-2</v>
      </c>
      <c r="C119">
        <f>estuary_data!X376*weights!$C$10</f>
        <v>6.5814417940185999E-2</v>
      </c>
      <c r="D119">
        <f>SUM(B119:C119)</f>
        <v>9.0373357961538475E-2</v>
      </c>
      <c r="E119" s="2" t="str">
        <f>IF(D119&gt;$H$6/10*9,"1",IF(D119&gt;$H$6/10*8,"2",IF(D119&gt;$H$6/10*7,"3",IF(D119&gt;$H$6/10*6,"4",IF(D119&gt;$H$6/10*5,"5",IF(D119&gt;$H$6/10*4,"6",IF(D119&gt;$H$6/10*3,"7",IF(D119&gt;$H$6/10*2,"8",IF(D119&gt;$H$6/10,"9","10")))))))))</f>
        <v>10</v>
      </c>
    </row>
    <row r="120" spans="1:5" x14ac:dyDescent="0.55000000000000004">
      <c r="A120">
        <v>378</v>
      </c>
      <c r="B120">
        <f>estuary_data!Y379*weights!$C$9</f>
        <v>1.5964222928148405E-2</v>
      </c>
      <c r="C120">
        <f>estuary_data!X379*weights!$C$10</f>
        <v>3.5524292739223681E-2</v>
      </c>
      <c r="D120">
        <f>SUM(B120:C120)</f>
        <v>5.1488515667372087E-2</v>
      </c>
      <c r="E120" s="2" t="str">
        <f>IF(D120&gt;$H$6/10*9,"1",IF(D120&gt;$H$6/10*8,"2",IF(D120&gt;$H$6/10*7,"3",IF(D120&gt;$H$6/10*6,"4",IF(D120&gt;$H$6/10*5,"5",IF(D120&gt;$H$6/10*4,"6",IF(D120&gt;$H$6/10*3,"7",IF(D120&gt;$H$6/10*2,"8",IF(D120&gt;$H$6/10,"9","10")))))))))</f>
        <v>10</v>
      </c>
    </row>
    <row r="121" spans="1:5" x14ac:dyDescent="0.55000000000000004">
      <c r="A121">
        <v>379</v>
      </c>
      <c r="B121">
        <f>estuary_data!Y380*weights!$C$9</f>
        <v>2.3226831685787291E-2</v>
      </c>
      <c r="C121">
        <f>estuary_data!X380*weights!$C$10</f>
        <v>6.4007970077845186E-2</v>
      </c>
      <c r="D121">
        <f>SUM(B121:C121)</f>
        <v>8.7234801763632477E-2</v>
      </c>
      <c r="E121" s="2" t="str">
        <f>IF(D121&gt;$H$6/10*9,"1",IF(D121&gt;$H$6/10*8,"2",IF(D121&gt;$H$6/10*7,"3",IF(D121&gt;$H$6/10*6,"4",IF(D121&gt;$H$6/10*5,"5",IF(D121&gt;$H$6/10*4,"6",IF(D121&gt;$H$6/10*3,"7",IF(D121&gt;$H$6/10*2,"8",IF(D121&gt;$H$6/10,"9","10")))))))))</f>
        <v>10</v>
      </c>
    </row>
    <row r="122" spans="1:5" x14ac:dyDescent="0.55000000000000004">
      <c r="A122">
        <v>381</v>
      </c>
      <c r="B122">
        <f>estuary_data!Y382*weights!$C$9</f>
        <v>2.2290049425133778E-2</v>
      </c>
      <c r="C122">
        <f>estuary_data!X382*weights!$C$10</f>
        <v>7.6615009516876997E-2</v>
      </c>
      <c r="D122">
        <f>SUM(B122:C122)</f>
        <v>9.8905058942010779E-2</v>
      </c>
      <c r="E122" s="2" t="str">
        <f>IF(D122&gt;$H$6/10*9,"1",IF(D122&gt;$H$6/10*8,"2",IF(D122&gt;$H$6/10*7,"3",IF(D122&gt;$H$6/10*6,"4",IF(D122&gt;$H$6/10*5,"5",IF(D122&gt;$H$6/10*4,"6",IF(D122&gt;$H$6/10*3,"7",IF(D122&gt;$H$6/10*2,"8",IF(D122&gt;$H$6/10,"9","10")))))))))</f>
        <v>10</v>
      </c>
    </row>
    <row r="123" spans="1:5" x14ac:dyDescent="0.55000000000000004">
      <c r="A123">
        <v>383</v>
      </c>
      <c r="B123">
        <f>estuary_data!Y384*weights!$C$9</f>
        <v>2.4485132417697897E-2</v>
      </c>
      <c r="C123">
        <f>estuary_data!X384*weights!$C$10</f>
        <v>7.2575877412262957E-2</v>
      </c>
      <c r="D123">
        <f>SUM(B123:C123)</f>
        <v>9.7061009829960854E-2</v>
      </c>
      <c r="E123" s="2" t="str">
        <f>IF(D123&gt;$H$6/10*9,"1",IF(D123&gt;$H$6/10*8,"2",IF(D123&gt;$H$6/10*7,"3",IF(D123&gt;$H$6/10*6,"4",IF(D123&gt;$H$6/10*5,"5",IF(D123&gt;$H$6/10*4,"6",IF(D123&gt;$H$6/10*3,"7",IF(D123&gt;$H$6/10*2,"8",IF(D123&gt;$H$6/10,"9","10")))))))))</f>
        <v>10</v>
      </c>
    </row>
    <row r="124" spans="1:5" x14ac:dyDescent="0.55000000000000004">
      <c r="A124">
        <v>398</v>
      </c>
      <c r="B124">
        <f>estuary_data!Y399*weights!$C$9</f>
        <v>2.1436088721786636E-2</v>
      </c>
      <c r="C124">
        <f>estuary_data!X399*weights!$C$10</f>
        <v>7.1883425492608788E-2</v>
      </c>
      <c r="D124">
        <f>SUM(B124:C124)</f>
        <v>9.3319514214395424E-2</v>
      </c>
      <c r="E124" s="2" t="str">
        <f>IF(D124&gt;$H$6/10*9,"1",IF(D124&gt;$H$6/10*8,"2",IF(D124&gt;$H$6/10*7,"3",IF(D124&gt;$H$6/10*6,"4",IF(D124&gt;$H$6/10*5,"5",IF(D124&gt;$H$6/10*4,"6",IF(D124&gt;$H$6/10*3,"7",IF(D124&gt;$H$6/10*2,"8",IF(D124&gt;$H$6/10,"9","10")))))))))</f>
        <v>10</v>
      </c>
    </row>
    <row r="125" spans="1:5" x14ac:dyDescent="0.55000000000000004">
      <c r="A125">
        <v>405</v>
      </c>
      <c r="B125">
        <f>estuary_data!Y406*weights!$C$9</f>
        <v>2.0197294265888517E-2</v>
      </c>
      <c r="C125">
        <f>estuary_data!X406*weights!$C$10</f>
        <v>7.7658321114906573E-2</v>
      </c>
      <c r="D125">
        <f>SUM(B125:C125)</f>
        <v>9.7855615380795097E-2</v>
      </c>
      <c r="E125" s="2" t="str">
        <f>IF(D125&gt;$H$6/10*9,"1",IF(D125&gt;$H$6/10*8,"2",IF(D125&gt;$H$6/10*7,"3",IF(D125&gt;$H$6/10*6,"4",IF(D125&gt;$H$6/10*5,"5",IF(D125&gt;$H$6/10*4,"6",IF(D125&gt;$H$6/10*3,"7",IF(D125&gt;$H$6/10*2,"8",IF(D125&gt;$H$6/10,"9","10")))))))))</f>
        <v>10</v>
      </c>
    </row>
    <row r="126" spans="1:5" x14ac:dyDescent="0.55000000000000004">
      <c r="A126">
        <v>417</v>
      </c>
      <c r="B126">
        <f>estuary_data!Y418*weights!$C$9</f>
        <v>1.4615030031585551E-2</v>
      </c>
      <c r="C126">
        <f>estuary_data!X418*weights!$C$10</f>
        <v>7.921318853913413E-2</v>
      </c>
      <c r="D126">
        <f>SUM(B126:C126)</f>
        <v>9.3828218570719685E-2</v>
      </c>
      <c r="E126" s="2" t="str">
        <f>IF(D126&gt;$H$6/10*9,"1",IF(D126&gt;$H$6/10*8,"2",IF(D126&gt;$H$6/10*7,"3",IF(D126&gt;$H$6/10*6,"4",IF(D126&gt;$H$6/10*5,"5",IF(D126&gt;$H$6/10*4,"6",IF(D126&gt;$H$6/10*3,"7",IF(D126&gt;$H$6/10*2,"8",IF(D126&gt;$H$6/10,"9","10")))))))))</f>
        <v>10</v>
      </c>
    </row>
    <row r="127" spans="1:5" x14ac:dyDescent="0.55000000000000004">
      <c r="A127">
        <v>421</v>
      </c>
      <c r="B127">
        <f>estuary_data!Y422*weights!$C$9</f>
        <v>1.5666688546257041E-2</v>
      </c>
      <c r="C127">
        <f>estuary_data!X422*weights!$C$10</f>
        <v>7.216070241636599E-2</v>
      </c>
      <c r="D127">
        <f>SUM(B127:C127)</f>
        <v>8.7827390962623028E-2</v>
      </c>
      <c r="E127" s="2" t="str">
        <f>IF(D127&gt;$H$6/10*9,"1",IF(D127&gt;$H$6/10*8,"2",IF(D127&gt;$H$6/10*7,"3",IF(D127&gt;$H$6/10*6,"4",IF(D127&gt;$H$6/10*5,"5",IF(D127&gt;$H$6/10*4,"6",IF(D127&gt;$H$6/10*3,"7",IF(D127&gt;$H$6/10*2,"8",IF(D127&gt;$H$6/10,"9","10")))))))))</f>
        <v>10</v>
      </c>
    </row>
    <row r="128" spans="1:5" x14ac:dyDescent="0.55000000000000004">
      <c r="A128">
        <v>424</v>
      </c>
      <c r="B128">
        <f>estuary_data!Y425*weights!$C$9</f>
        <v>2.1063788805257742E-2</v>
      </c>
      <c r="C128">
        <f>estuary_data!X425*weights!$C$10</f>
        <v>7.6218486671876598E-2</v>
      </c>
      <c r="D128">
        <f>SUM(B128:C128)</f>
        <v>9.7282275477134333E-2</v>
      </c>
      <c r="E128" s="2" t="str">
        <f>IF(D128&gt;$H$6/10*9,"1",IF(D128&gt;$H$6/10*8,"2",IF(D128&gt;$H$6/10*7,"3",IF(D128&gt;$H$6/10*6,"4",IF(D128&gt;$H$6/10*5,"5",IF(D128&gt;$H$6/10*4,"6",IF(D128&gt;$H$6/10*3,"7",IF(D128&gt;$H$6/10*2,"8",IF(D128&gt;$H$6/10,"9","10")))))))))</f>
        <v>10</v>
      </c>
    </row>
    <row r="129" spans="1:5" x14ac:dyDescent="0.55000000000000004">
      <c r="A129">
        <v>426</v>
      </c>
      <c r="B129">
        <f>estuary_data!Y427*weights!$C$9</f>
        <v>1.5491403337132857E-2</v>
      </c>
      <c r="C129">
        <f>estuary_data!X427*weights!$C$10</f>
        <v>8.093454377608672E-2</v>
      </c>
      <c r="D129">
        <f>SUM(B129:C129)</f>
        <v>9.6425947113219584E-2</v>
      </c>
      <c r="E129" s="2" t="str">
        <f>IF(D129&gt;$H$6/10*9,"1",IF(D129&gt;$H$6/10*8,"2",IF(D129&gt;$H$6/10*7,"3",IF(D129&gt;$H$6/10*6,"4",IF(D129&gt;$H$6/10*5,"5",IF(D129&gt;$H$6/10*4,"6",IF(D129&gt;$H$6/10*3,"7",IF(D129&gt;$H$6/10*2,"8",IF(D129&gt;$H$6/10,"9","10")))))))))</f>
        <v>10</v>
      </c>
    </row>
    <row r="130" spans="1:5" x14ac:dyDescent="0.55000000000000004">
      <c r="A130">
        <v>427</v>
      </c>
      <c r="B130">
        <f>estuary_data!Y428*weights!$C$9</f>
        <v>1.6266841951805257E-2</v>
      </c>
      <c r="C130">
        <f>estuary_data!X428*weights!$C$10</f>
        <v>7.4150558155628515E-2</v>
      </c>
      <c r="D130">
        <f>SUM(B130:C130)</f>
        <v>9.0417400107433765E-2</v>
      </c>
      <c r="E130" s="2" t="str">
        <f>IF(D130&gt;$H$6/10*9,"1",IF(D130&gt;$H$6/10*8,"2",IF(D130&gt;$H$6/10*7,"3",IF(D130&gt;$H$6/10*6,"4",IF(D130&gt;$H$6/10*5,"5",IF(D130&gt;$H$6/10*4,"6",IF(D130&gt;$H$6/10*3,"7",IF(D130&gt;$H$6/10*2,"8",IF(D130&gt;$H$6/10,"9","10")))))))))</f>
        <v>10</v>
      </c>
    </row>
    <row r="131" spans="1:5" x14ac:dyDescent="0.55000000000000004">
      <c r="A131">
        <v>429</v>
      </c>
      <c r="B131">
        <f>estuary_data!Y430*weights!$C$9</f>
        <v>2.5364701449411397E-2</v>
      </c>
      <c r="C131">
        <f>estuary_data!X430*weights!$C$10</f>
        <v>6.3111077799915594E-2</v>
      </c>
      <c r="D131">
        <f>SUM(B131:C131)</f>
        <v>8.8475779249326994E-2</v>
      </c>
      <c r="E131" s="2" t="str">
        <f>IF(D131&gt;$H$6/10*9,"1",IF(D131&gt;$H$6/10*8,"2",IF(D131&gt;$H$6/10*7,"3",IF(D131&gt;$H$6/10*6,"4",IF(D131&gt;$H$6/10*5,"5",IF(D131&gt;$H$6/10*4,"6",IF(D131&gt;$H$6/10*3,"7",IF(D131&gt;$H$6/10*2,"8",IF(D131&gt;$H$6/10,"9","10")))))))))</f>
        <v>10</v>
      </c>
    </row>
    <row r="132" spans="1:5" x14ac:dyDescent="0.55000000000000004">
      <c r="A132">
        <v>433</v>
      </c>
      <c r="B132">
        <f>estuary_data!Y434*weights!$C$9</f>
        <v>2.5405591755053362E-2</v>
      </c>
      <c r="C132">
        <f>estuary_data!X434*weights!$C$10</f>
        <v>4.6714816467922422E-2</v>
      </c>
      <c r="D132">
        <f>SUM(B132:C132)</f>
        <v>7.2120408222975788E-2</v>
      </c>
      <c r="E132" s="2" t="str">
        <f>IF(D132&gt;$H$6/10*9,"1",IF(D132&gt;$H$6/10*8,"2",IF(D132&gt;$H$6/10*7,"3",IF(D132&gt;$H$6/10*6,"4",IF(D132&gt;$H$6/10*5,"5",IF(D132&gt;$H$6/10*4,"6",IF(D132&gt;$H$6/10*3,"7",IF(D132&gt;$H$6/10*2,"8",IF(D132&gt;$H$6/10,"9","10")))))))))</f>
        <v>10</v>
      </c>
    </row>
    <row r="133" spans="1:5" x14ac:dyDescent="0.55000000000000004">
      <c r="A133">
        <v>434</v>
      </c>
      <c r="B133">
        <f>estuary_data!Y435*weights!$C$9</f>
        <v>3.0134873412064979E-2</v>
      </c>
      <c r="C133">
        <f>estuary_data!X435*weights!$C$10</f>
        <v>4.2665010894523438E-2</v>
      </c>
      <c r="D133">
        <f>SUM(B133:C133)</f>
        <v>7.2799884306588417E-2</v>
      </c>
      <c r="E133" s="2" t="str">
        <f>IF(D133&gt;$H$6/10*9,"1",IF(D133&gt;$H$6/10*8,"2",IF(D133&gt;$H$6/10*7,"3",IF(D133&gt;$H$6/10*6,"4",IF(D133&gt;$H$6/10*5,"5",IF(D133&gt;$H$6/10*4,"6",IF(D133&gt;$H$6/10*3,"7",IF(D133&gt;$H$6/10*2,"8",IF(D133&gt;$H$6/10,"9","10")))))))))</f>
        <v>10</v>
      </c>
    </row>
    <row r="134" spans="1:5" x14ac:dyDescent="0.55000000000000004">
      <c r="A134">
        <v>442</v>
      </c>
      <c r="B134">
        <f>estuary_data!Y443*weights!$C$9</f>
        <v>1.8510379980784541E-2</v>
      </c>
      <c r="C134">
        <f>estuary_data!X443*weights!$C$10</f>
        <v>6.6486104150768416E-2</v>
      </c>
      <c r="D134">
        <f>SUM(B134:C134)</f>
        <v>8.499648413155296E-2</v>
      </c>
      <c r="E134" s="2" t="str">
        <f>IF(D134&gt;$H$6/10*9,"1",IF(D134&gt;$H$6/10*8,"2",IF(D134&gt;$H$6/10*7,"3",IF(D134&gt;$H$6/10*6,"4",IF(D134&gt;$H$6/10*5,"5",IF(D134&gt;$H$6/10*4,"6",IF(D134&gt;$H$6/10*3,"7",IF(D134&gt;$H$6/10*2,"8",IF(D134&gt;$H$6/10,"9","10")))))))))</f>
        <v>10</v>
      </c>
    </row>
    <row r="135" spans="1:5" x14ac:dyDescent="0.55000000000000004">
      <c r="A135">
        <v>444</v>
      </c>
      <c r="B135">
        <f>estuary_data!Y445*weights!$C$9</f>
        <v>2.5721113654103251E-2</v>
      </c>
      <c r="C135">
        <f>estuary_data!X445*weights!$C$10</f>
        <v>6.6446217183985579E-2</v>
      </c>
      <c r="D135">
        <f>SUM(B135:C135)</f>
        <v>9.2167330838088826E-2</v>
      </c>
      <c r="E135" s="2" t="str">
        <f>IF(D135&gt;$H$6/10*9,"1",IF(D135&gt;$H$6/10*8,"2",IF(D135&gt;$H$6/10*7,"3",IF(D135&gt;$H$6/10*6,"4",IF(D135&gt;$H$6/10*5,"5",IF(D135&gt;$H$6/10*4,"6",IF(D135&gt;$H$6/10*3,"7",IF(D135&gt;$H$6/10*2,"8",IF(D135&gt;$H$6/10,"9","10")))))))))</f>
        <v>10</v>
      </c>
    </row>
    <row r="136" spans="1:5" x14ac:dyDescent="0.55000000000000004">
      <c r="A136">
        <v>445</v>
      </c>
      <c r="B136">
        <f>estuary_data!Y446*weights!$C$9</f>
        <v>9.1030535079811657E-3</v>
      </c>
      <c r="C136">
        <f>estuary_data!X446*weights!$C$10</f>
        <v>8.6210865201149373E-3</v>
      </c>
      <c r="D136">
        <f>SUM(B136:C136)</f>
        <v>1.7724140028096101E-2</v>
      </c>
      <c r="E136" s="2" t="str">
        <f>IF(D136&gt;$H$6/10*9,"1",IF(D136&gt;$H$6/10*8,"2",IF(D136&gt;$H$6/10*7,"3",IF(D136&gt;$H$6/10*6,"4",IF(D136&gt;$H$6/10*5,"5",IF(D136&gt;$H$6/10*4,"6",IF(D136&gt;$H$6/10*3,"7",IF(D136&gt;$H$6/10*2,"8",IF(D136&gt;$H$6/10,"9","10")))))))))</f>
        <v>10</v>
      </c>
    </row>
    <row r="137" spans="1:5" x14ac:dyDescent="0.55000000000000004">
      <c r="A137">
        <v>2004</v>
      </c>
      <c r="B137">
        <f>estuary_data!Y617*weights!$C$9</f>
        <v>3.0528200645256659E-2</v>
      </c>
      <c r="C137">
        <f>estuary_data!X617*weights!$C$10</f>
        <v>6.6550529012463819E-2</v>
      </c>
      <c r="D137">
        <f>SUM(B137:C137)</f>
        <v>9.7078729657720478E-2</v>
      </c>
      <c r="E137" s="2" t="str">
        <f>IF(D137&gt;$H$6/10*9,"1",IF(D137&gt;$H$6/10*8,"2",IF(D137&gt;$H$6/10*7,"3",IF(D137&gt;$H$6/10*6,"4",IF(D137&gt;$H$6/10*5,"5",IF(D137&gt;$H$6/10*4,"6",IF(D137&gt;$H$6/10*3,"7",IF(D137&gt;$H$6/10*2,"8",IF(D137&gt;$H$6/10,"9","10")))))))))</f>
        <v>10</v>
      </c>
    </row>
    <row r="138" spans="1:5" x14ac:dyDescent="0.55000000000000004">
      <c r="A138">
        <v>2048</v>
      </c>
      <c r="B138">
        <f>estuary_data!Y661*weights!$C$9</f>
        <v>2.0608772776283389E-2</v>
      </c>
      <c r="C138">
        <f>estuary_data!X661*weights!$C$10</f>
        <v>6.8293372950034584E-2</v>
      </c>
      <c r="D138">
        <f>SUM(B138:C138)</f>
        <v>8.8902145726317966E-2</v>
      </c>
      <c r="E138" s="2" t="str">
        <f>IF(D138&gt;$H$6/10*9,"1",IF(D138&gt;$H$6/10*8,"2",IF(D138&gt;$H$6/10*7,"3",IF(D138&gt;$H$6/10*6,"4",IF(D138&gt;$H$6/10*5,"5",IF(D138&gt;$H$6/10*4,"6",IF(D138&gt;$H$6/10*3,"7",IF(D138&gt;$H$6/10*2,"8",IF(D138&gt;$H$6/10,"9","10")))))))))</f>
        <v>10</v>
      </c>
    </row>
    <row r="139" spans="1:5" x14ac:dyDescent="0.55000000000000004">
      <c r="A139">
        <v>2053</v>
      </c>
      <c r="B139">
        <f>estuary_data!Y666*weights!$C$9</f>
        <v>2.1852361356594286E-2</v>
      </c>
      <c r="C139">
        <f>estuary_data!X666*weights!$C$10</f>
        <v>5.2894833508479983E-2</v>
      </c>
      <c r="D139">
        <f>SUM(B139:C139)</f>
        <v>7.4747194865074265E-2</v>
      </c>
      <c r="E139" s="2" t="str">
        <f>IF(D139&gt;$H$6/10*9,"1",IF(D139&gt;$H$6/10*8,"2",IF(D139&gt;$H$6/10*7,"3",IF(D139&gt;$H$6/10*6,"4",IF(D139&gt;$H$6/10*5,"5",IF(D139&gt;$H$6/10*4,"6",IF(D139&gt;$H$6/10*3,"7",IF(D139&gt;$H$6/10*2,"8",IF(D139&gt;$H$6/10,"9","10")))))))))</f>
        <v>10</v>
      </c>
    </row>
    <row r="140" spans="1:5" x14ac:dyDescent="0.55000000000000004">
      <c r="A140">
        <v>2054</v>
      </c>
      <c r="B140">
        <f>estuary_data!Y667*weights!$C$9</f>
        <v>2.0522857585548605E-2</v>
      </c>
      <c r="C140">
        <f>estuary_data!X667*weights!$C$10</f>
        <v>4.9468872983113796E-2</v>
      </c>
      <c r="D140">
        <f>SUM(B140:C140)</f>
        <v>6.9991730568662397E-2</v>
      </c>
      <c r="E140" s="2" t="str">
        <f>IF(D140&gt;$H$6/10*9,"1",IF(D140&gt;$H$6/10*8,"2",IF(D140&gt;$H$6/10*7,"3",IF(D140&gt;$H$6/10*6,"4",IF(D140&gt;$H$6/10*5,"5",IF(D140&gt;$H$6/10*4,"6",IF(D140&gt;$H$6/10*3,"7",IF(D140&gt;$H$6/10*2,"8",IF(D140&gt;$H$6/10,"9","10")))))))))</f>
        <v>10</v>
      </c>
    </row>
    <row r="141" spans="1:5" x14ac:dyDescent="0.55000000000000004">
      <c r="A141">
        <v>2055</v>
      </c>
      <c r="B141">
        <f>estuary_data!Y668*weights!$C$9</f>
        <v>2.3464068167829359E-2</v>
      </c>
      <c r="C141">
        <f>estuary_data!X668*weights!$C$10</f>
        <v>5.5234157070734154E-2</v>
      </c>
      <c r="D141">
        <f>SUM(B141:C141)</f>
        <v>7.8698225238563513E-2</v>
      </c>
      <c r="E141" s="2" t="str">
        <f>IF(D141&gt;$H$6/10*9,"1",IF(D141&gt;$H$6/10*8,"2",IF(D141&gt;$H$6/10*7,"3",IF(D141&gt;$H$6/10*6,"4",IF(D141&gt;$H$6/10*5,"5",IF(D141&gt;$H$6/10*4,"6",IF(D141&gt;$H$6/10*3,"7",IF(D141&gt;$H$6/10*2,"8",IF(D141&gt;$H$6/10,"9","10")))))))))</f>
        <v>10</v>
      </c>
    </row>
    <row r="142" spans="1:5" x14ac:dyDescent="0.55000000000000004">
      <c r="A142">
        <v>2092</v>
      </c>
      <c r="B142">
        <f>estuary_data!Y705*weights!$C$9</f>
        <v>2.1701066988129854E-2</v>
      </c>
      <c r="C142">
        <f>estuary_data!X705*weights!$C$10</f>
        <v>6.9478126696412387E-2</v>
      </c>
      <c r="D142">
        <f>SUM(B142:C142)</f>
        <v>9.1179193684542248E-2</v>
      </c>
      <c r="E142" s="2" t="str">
        <f>IF(D142&gt;$H$6/10*9,"1",IF(D142&gt;$H$6/10*8,"2",IF(D142&gt;$H$6/10*7,"3",IF(D142&gt;$H$6/10*6,"4",IF(D142&gt;$H$6/10*5,"5",IF(D142&gt;$H$6/10*4,"6",IF(D142&gt;$H$6/10*3,"7",IF(D142&gt;$H$6/10*2,"8",IF(D142&gt;$H$6/10,"9","10")))))))))</f>
        <v>10</v>
      </c>
    </row>
    <row r="143" spans="1:5" x14ac:dyDescent="0.55000000000000004">
      <c r="A143">
        <v>3007</v>
      </c>
      <c r="B143">
        <f>estuary_data!Y730*weights!$C$9</f>
        <v>1.8838099209724495E-2</v>
      </c>
      <c r="C143">
        <f>estuary_data!X730*weights!$C$10</f>
        <v>7.0050577484402216E-2</v>
      </c>
      <c r="D143">
        <f>SUM(B143:C143)</f>
        <v>8.8888676694126714E-2</v>
      </c>
      <c r="E143" s="2" t="str">
        <f>IF(D143&gt;$H$6/10*9,"1",IF(D143&gt;$H$6/10*8,"2",IF(D143&gt;$H$6/10*7,"3",IF(D143&gt;$H$6/10*6,"4",IF(D143&gt;$H$6/10*5,"5",IF(D143&gt;$H$6/10*4,"6",IF(D143&gt;$H$6/10*3,"7",IF(D143&gt;$H$6/10*2,"8",IF(D143&gt;$H$6/10,"9","10")))))))))</f>
        <v>10</v>
      </c>
    </row>
    <row r="144" spans="1:5" x14ac:dyDescent="0.55000000000000004">
      <c r="A144">
        <v>391</v>
      </c>
      <c r="B144">
        <f>estuary_data!Y392*weights!$C$9</f>
        <v>9.0679999999999997E-2</v>
      </c>
      <c r="C144">
        <f>estuary_data!X392*weights!$C$10</f>
        <v>0.70480565945597684</v>
      </c>
      <c r="D144">
        <f>SUM(B144:C144)</f>
        <v>0.79548565945597682</v>
      </c>
      <c r="E144" s="2" t="str">
        <f>IF(D144&gt;$H$6/10*9,"1",IF(D144&gt;$H$6/10*8,"2",IF(D144&gt;$H$6/10*7,"3",IF(D144&gt;$H$6/10*6,"4",IF(D144&gt;$H$6/10*5,"5",IF(D144&gt;$H$6/10*4,"6",IF(D144&gt;$H$6/10*3,"7",IF(D144&gt;$H$6/10*2,"8",IF(D144&gt;$H$6/10,"9","10")))))))))</f>
        <v>2</v>
      </c>
    </row>
    <row r="145" spans="1:5" x14ac:dyDescent="0.55000000000000004">
      <c r="A145">
        <v>1025</v>
      </c>
      <c r="B145">
        <f>estuary_data!Y472*weights!$C$9</f>
        <v>8.2061084552061125E-2</v>
      </c>
      <c r="C145">
        <f>estuary_data!X472*weights!$C$10</f>
        <v>0.67298195577438247</v>
      </c>
      <c r="D145">
        <f>SUM(B145:C145)</f>
        <v>0.75504304032644365</v>
      </c>
      <c r="E145" s="2" t="str">
        <f>IF(D145&gt;$H$6/10*9,"1",IF(D145&gt;$H$6/10*8,"2",IF(D145&gt;$H$6/10*7,"3",IF(D145&gt;$H$6/10*6,"4",IF(D145&gt;$H$6/10*5,"5",IF(D145&gt;$H$6/10*4,"6",IF(D145&gt;$H$6/10*3,"7",IF(D145&gt;$H$6/10*2,"8",IF(D145&gt;$H$6/10,"9","10")))))))))</f>
        <v>3</v>
      </c>
    </row>
    <row r="146" spans="1:5" x14ac:dyDescent="0.55000000000000004">
      <c r="A146">
        <v>218</v>
      </c>
      <c r="B146">
        <f>estuary_data!Y219*weights!$C$9</f>
        <v>8.2064862430307209E-2</v>
      </c>
      <c r="C146">
        <f>estuary_data!X219*weights!$C$10</f>
        <v>0.58746920528229118</v>
      </c>
      <c r="D146">
        <f>SUM(B146:C146)</f>
        <v>0.66953406771259838</v>
      </c>
      <c r="E146" s="2" t="str">
        <f>IF(D146&gt;$H$6/10*9,"1",IF(D146&gt;$H$6/10*8,"2",IF(D146&gt;$H$6/10*7,"3",IF(D146&gt;$H$6/10*6,"4",IF(D146&gt;$H$6/10*5,"5",IF(D146&gt;$H$6/10*4,"6",IF(D146&gt;$H$6/10*3,"7",IF(D146&gt;$H$6/10*2,"8",IF(D146&gt;$H$6/10,"9","10")))))))))</f>
        <v>4</v>
      </c>
    </row>
    <row r="147" spans="1:5" x14ac:dyDescent="0.55000000000000004">
      <c r="A147">
        <v>1034</v>
      </c>
      <c r="B147">
        <f>estuary_data!Y481*weights!$C$9</f>
        <v>7.9830031006439484E-2</v>
      </c>
      <c r="C147">
        <f>estuary_data!X481*weights!$C$10</f>
        <v>0.53032475376128752</v>
      </c>
      <c r="D147">
        <f>SUM(B147:C147)</f>
        <v>0.610154784767727</v>
      </c>
      <c r="E147" s="2" t="str">
        <f>IF(D147&gt;$H$6/10*9,"1",IF(D147&gt;$H$6/10*8,"2",IF(D147&gt;$H$6/10*7,"3",IF(D147&gt;$H$6/10*6,"4",IF(D147&gt;$H$6/10*5,"5",IF(D147&gt;$H$6/10*4,"6",IF(D147&gt;$H$6/10*3,"7",IF(D147&gt;$H$6/10*2,"8",IF(D147&gt;$H$6/10,"9","10")))))))))</f>
        <v>4</v>
      </c>
    </row>
    <row r="148" spans="1:5" x14ac:dyDescent="0.55000000000000004">
      <c r="A148">
        <v>1043</v>
      </c>
      <c r="B148">
        <f>estuary_data!Y490*weights!$C$9</f>
        <v>7.1862780607632126E-2</v>
      </c>
      <c r="C148">
        <f>estuary_data!X490*weights!$C$10</f>
        <v>0.56683467986919178</v>
      </c>
      <c r="D148">
        <f>SUM(B148:C148)</f>
        <v>0.63869746047682385</v>
      </c>
      <c r="E148" s="2" t="str">
        <f>IF(D148&gt;$H$6/10*9,"1",IF(D148&gt;$H$6/10*8,"2",IF(D148&gt;$H$6/10*7,"3",IF(D148&gt;$H$6/10*6,"4",IF(D148&gt;$H$6/10*5,"5",IF(D148&gt;$H$6/10*4,"6",IF(D148&gt;$H$6/10*3,"7",IF(D148&gt;$H$6/10*2,"8",IF(D148&gt;$H$6/10,"9","10")))))))))</f>
        <v>4</v>
      </c>
    </row>
    <row r="149" spans="1:5" x14ac:dyDescent="0.55000000000000004">
      <c r="A149">
        <v>2029</v>
      </c>
      <c r="B149">
        <f>estuary_data!Y642*weights!$C$9</f>
        <v>6.7962791319784083E-2</v>
      </c>
      <c r="C149">
        <f>estuary_data!X642*weights!$C$10</f>
        <v>0.54525029048201767</v>
      </c>
      <c r="D149">
        <f>SUM(B149:C149)</f>
        <v>0.61321308180180178</v>
      </c>
      <c r="E149" s="2" t="str">
        <f>IF(D149&gt;$H$6/10*9,"1",IF(D149&gt;$H$6/10*8,"2",IF(D149&gt;$H$6/10*7,"3",IF(D149&gt;$H$6/10*6,"4",IF(D149&gt;$H$6/10*5,"5",IF(D149&gt;$H$6/10*4,"6",IF(D149&gt;$H$6/10*3,"7",IF(D149&gt;$H$6/10*2,"8",IF(D149&gt;$H$6/10,"9","10")))))))))</f>
        <v>4</v>
      </c>
    </row>
    <row r="150" spans="1:5" x14ac:dyDescent="0.55000000000000004">
      <c r="A150">
        <v>1017</v>
      </c>
      <c r="B150">
        <f>estuary_data!Y464*weights!$C$9</f>
        <v>8.0790463108599206E-2</v>
      </c>
      <c r="C150">
        <f>estuary_data!X464*weights!$C$10</f>
        <v>0.45283906008785363</v>
      </c>
      <c r="D150">
        <f>SUM(B150:C150)</f>
        <v>0.53362952319645285</v>
      </c>
      <c r="E150" s="2" t="str">
        <f>IF(D150&gt;$H$6/10*9,"1",IF(D150&gt;$H$6/10*8,"2",IF(D150&gt;$H$6/10*7,"3",IF(D150&gt;$H$6/10*6,"4",IF(D150&gt;$H$6/10*5,"5",IF(D150&gt;$H$6/10*4,"6",IF(D150&gt;$H$6/10*3,"7",IF(D150&gt;$H$6/10*2,"8",IF(D150&gt;$H$6/10,"9","10")))))))))</f>
        <v>5</v>
      </c>
    </row>
    <row r="151" spans="1:5" x14ac:dyDescent="0.55000000000000004">
      <c r="A151">
        <v>1018</v>
      </c>
      <c r="B151">
        <f>estuary_data!Y465*weights!$C$9</f>
        <v>8.0790463108599206E-2</v>
      </c>
      <c r="C151">
        <f>estuary_data!X465*weights!$C$10</f>
        <v>0.45283906008785363</v>
      </c>
      <c r="D151">
        <f>SUM(B151:C151)</f>
        <v>0.53362952319645285</v>
      </c>
      <c r="E151" s="2" t="str">
        <f>IF(D151&gt;$H$6/10*9,"1",IF(D151&gt;$H$6/10*8,"2",IF(D151&gt;$H$6/10*7,"3",IF(D151&gt;$H$6/10*6,"4",IF(D151&gt;$H$6/10*5,"5",IF(D151&gt;$H$6/10*4,"6",IF(D151&gt;$H$6/10*3,"7",IF(D151&gt;$H$6/10*2,"8",IF(D151&gt;$H$6/10,"9","10")))))))))</f>
        <v>5</v>
      </c>
    </row>
    <row r="152" spans="1:5" x14ac:dyDescent="0.55000000000000004">
      <c r="A152">
        <v>1153</v>
      </c>
      <c r="B152">
        <f>estuary_data!Y600*weights!$C$9</f>
        <v>8.1642413725910884E-2</v>
      </c>
      <c r="C152">
        <f>estuary_data!X600*weights!$C$10</f>
        <v>0.41599955422388518</v>
      </c>
      <c r="D152">
        <f>SUM(B152:C152)</f>
        <v>0.49764196794979609</v>
      </c>
      <c r="E152" s="2" t="str">
        <f>IF(D152&gt;$H$6/10*9,"1",IF(D152&gt;$H$6/10*8,"2",IF(D152&gt;$H$6/10*7,"3",IF(D152&gt;$H$6/10*6,"4",IF(D152&gt;$H$6/10*5,"5",IF(D152&gt;$H$6/10*4,"6",IF(D152&gt;$H$6/10*3,"7",IF(D152&gt;$H$6/10*2,"8",IF(D152&gt;$H$6/10,"9","10")))))))))</f>
        <v>5</v>
      </c>
    </row>
    <row r="153" spans="1:5" x14ac:dyDescent="0.55000000000000004">
      <c r="A153">
        <v>2022</v>
      </c>
      <c r="B153">
        <f>estuary_data!Y635*weights!$C$9</f>
        <v>8.8545107215913313E-2</v>
      </c>
      <c r="C153">
        <f>estuary_data!X635*weights!$C$10</f>
        <v>0.42326548265849873</v>
      </c>
      <c r="D153">
        <f>SUM(B153:C153)</f>
        <v>0.51181058987441208</v>
      </c>
      <c r="E153" s="2" t="str">
        <f>IF(D153&gt;$H$6/10*9,"1",IF(D153&gt;$H$6/10*8,"2",IF(D153&gt;$H$6/10*7,"3",IF(D153&gt;$H$6/10*6,"4",IF(D153&gt;$H$6/10*5,"5",IF(D153&gt;$H$6/10*4,"6",IF(D153&gt;$H$6/10*3,"7",IF(D153&gt;$H$6/10*2,"8",IF(D153&gt;$H$6/10,"9","10")))))))))</f>
        <v>5</v>
      </c>
    </row>
    <row r="154" spans="1:5" x14ac:dyDescent="0.55000000000000004">
      <c r="A154">
        <v>2026</v>
      </c>
      <c r="B154">
        <f>estuary_data!Y639*weights!$C$9</f>
        <v>6.9092976416151572E-2</v>
      </c>
      <c r="C154">
        <f>estuary_data!X639*weights!$C$10</f>
        <v>0.42999381597244357</v>
      </c>
      <c r="D154">
        <f>SUM(B154:C154)</f>
        <v>0.49908679238859516</v>
      </c>
      <c r="E154" s="2" t="str">
        <f>IF(D154&gt;$H$6/10*9,"1",IF(D154&gt;$H$6/10*8,"2",IF(D154&gt;$H$6/10*7,"3",IF(D154&gt;$H$6/10*6,"4",IF(D154&gt;$H$6/10*5,"5",IF(D154&gt;$H$6/10*4,"6",IF(D154&gt;$H$6/10*3,"7",IF(D154&gt;$H$6/10*2,"8",IF(D154&gt;$H$6/10,"9","10")))))))))</f>
        <v>5</v>
      </c>
    </row>
    <row r="155" spans="1:5" x14ac:dyDescent="0.55000000000000004">
      <c r="A155">
        <v>2031</v>
      </c>
      <c r="B155">
        <f>estuary_data!Y644*weights!$C$9</f>
        <v>6.8348986798914824E-2</v>
      </c>
      <c r="C155">
        <f>estuary_data!X644*weights!$C$10</f>
        <v>0.4499074621084323</v>
      </c>
      <c r="D155">
        <f>SUM(B155:C155)</f>
        <v>0.51825644890734712</v>
      </c>
      <c r="E155" s="2" t="str">
        <f>IF(D155&gt;$H$6/10*9,"1",IF(D155&gt;$H$6/10*8,"2",IF(D155&gt;$H$6/10*7,"3",IF(D155&gt;$H$6/10*6,"4",IF(D155&gt;$H$6/10*5,"5",IF(D155&gt;$H$6/10*4,"6",IF(D155&gt;$H$6/10*3,"7",IF(D155&gt;$H$6/10*2,"8",IF(D155&gt;$H$6/10,"9","10")))))))))</f>
        <v>5</v>
      </c>
    </row>
    <row r="156" spans="1:5" x14ac:dyDescent="0.55000000000000004">
      <c r="A156">
        <v>2107</v>
      </c>
      <c r="B156">
        <f>estuary_data!Y720*weights!$C$9</f>
        <v>7.1841652339129689E-2</v>
      </c>
      <c r="C156">
        <f>estuary_data!X720*weights!$C$10</f>
        <v>0.488249868929372</v>
      </c>
      <c r="D156">
        <f>SUM(B156:C156)</f>
        <v>0.5600915212685017</v>
      </c>
      <c r="E156" s="2" t="str">
        <f>IF(D156&gt;$H$6/10*9,"1",IF(D156&gt;$H$6/10*8,"2",IF(D156&gt;$H$6/10*7,"3",IF(D156&gt;$H$6/10*6,"4",IF(D156&gt;$H$6/10*5,"5",IF(D156&gt;$H$6/10*4,"6",IF(D156&gt;$H$6/10*3,"7",IF(D156&gt;$H$6/10*2,"8",IF(D156&gt;$H$6/10,"9","10")))))))))</f>
        <v>5</v>
      </c>
    </row>
    <row r="157" spans="1:5" x14ac:dyDescent="0.55000000000000004">
      <c r="A157">
        <v>6</v>
      </c>
      <c r="B157">
        <f>estuary_data!Y7*weights!$C$9</f>
        <v>8.1439916179777957E-2</v>
      </c>
      <c r="C157">
        <f>estuary_data!X7*weights!$C$10</f>
        <v>0.34582261431321315</v>
      </c>
      <c r="D157">
        <f>SUM(B157:C157)</f>
        <v>0.42726253049299112</v>
      </c>
      <c r="E157" s="2" t="str">
        <f>IF(D157&gt;$H$6/10*9,"1",IF(D157&gt;$H$6/10*8,"2",IF(D157&gt;$H$6/10*7,"3",IF(D157&gt;$H$6/10*6,"4",IF(D157&gt;$H$6/10*5,"5",IF(D157&gt;$H$6/10*4,"6",IF(D157&gt;$H$6/10*3,"7",IF(D157&gt;$H$6/10*2,"8",IF(D157&gt;$H$6/10,"9","10")))))))))</f>
        <v>6</v>
      </c>
    </row>
    <row r="158" spans="1:5" x14ac:dyDescent="0.55000000000000004">
      <c r="A158">
        <v>15</v>
      </c>
      <c r="B158">
        <f>estuary_data!Y16*weights!$C$9</f>
        <v>6.7064631306385042E-2</v>
      </c>
      <c r="C158">
        <f>estuary_data!X16*weights!$C$10</f>
        <v>0.34465516725752765</v>
      </c>
      <c r="D158">
        <f>SUM(B158:C158)</f>
        <v>0.41171979856391272</v>
      </c>
      <c r="E158" s="2" t="str">
        <f>IF(D158&gt;$H$6/10*9,"1",IF(D158&gt;$H$6/10*8,"2",IF(D158&gt;$H$6/10*7,"3",IF(D158&gt;$H$6/10*6,"4",IF(D158&gt;$H$6/10*5,"5",IF(D158&gt;$H$6/10*4,"6",IF(D158&gt;$H$6/10*3,"7",IF(D158&gt;$H$6/10*2,"8",IF(D158&gt;$H$6/10,"9","10")))))))))</f>
        <v>6</v>
      </c>
    </row>
    <row r="159" spans="1:5" x14ac:dyDescent="0.55000000000000004">
      <c r="A159">
        <v>1082</v>
      </c>
      <c r="B159">
        <f>estuary_data!Y529*weights!$C$9</f>
        <v>6.0689202288250255E-2</v>
      </c>
      <c r="C159">
        <f>estuary_data!X529*weights!$C$10</f>
        <v>0.34784425203915853</v>
      </c>
      <c r="D159">
        <f>SUM(B159:C159)</f>
        <v>0.40853345432740878</v>
      </c>
      <c r="E159" s="2" t="str">
        <f>IF(D159&gt;$H$6/10*9,"1",IF(D159&gt;$H$6/10*8,"2",IF(D159&gt;$H$6/10*7,"3",IF(D159&gt;$H$6/10*6,"4",IF(D159&gt;$H$6/10*5,"5",IF(D159&gt;$H$6/10*4,"6",IF(D159&gt;$H$6/10*3,"7",IF(D159&gt;$H$6/10*2,"8",IF(D159&gt;$H$6/10,"9","10")))))))))</f>
        <v>6</v>
      </c>
    </row>
    <row r="160" spans="1:5" x14ac:dyDescent="0.55000000000000004">
      <c r="A160">
        <v>2023</v>
      </c>
      <c r="B160">
        <f>estuary_data!Y636*weights!$C$9</f>
        <v>7.5989693517257526E-2</v>
      </c>
      <c r="C160">
        <f>estuary_data!X636*weights!$C$10</f>
        <v>0.34223938830579481</v>
      </c>
      <c r="D160">
        <f>SUM(B160:C160)</f>
        <v>0.41822908182305235</v>
      </c>
      <c r="E160" s="2" t="str">
        <f>IF(D160&gt;$H$6/10*9,"1",IF(D160&gt;$H$6/10*8,"2",IF(D160&gt;$H$6/10*7,"3",IF(D160&gt;$H$6/10*6,"4",IF(D160&gt;$H$6/10*5,"5",IF(D160&gt;$H$6/10*4,"6",IF(D160&gt;$H$6/10*3,"7",IF(D160&gt;$H$6/10*2,"8",IF(D160&gt;$H$6/10,"9","10")))))))))</f>
        <v>6</v>
      </c>
    </row>
    <row r="161" spans="1:5" x14ac:dyDescent="0.55000000000000004">
      <c r="A161">
        <v>2025</v>
      </c>
      <c r="B161">
        <f>estuary_data!Y638*weights!$C$9</f>
        <v>7.523393057256185E-2</v>
      </c>
      <c r="C161">
        <f>estuary_data!X638*weights!$C$10</f>
        <v>0.39755101501618118</v>
      </c>
      <c r="D161">
        <f>SUM(B161:C161)</f>
        <v>0.47278494558874301</v>
      </c>
      <c r="E161" s="2" t="str">
        <f>IF(D161&gt;$H$6/10*9,"1",IF(D161&gt;$H$6/10*8,"2",IF(D161&gt;$H$6/10*7,"3",IF(D161&gt;$H$6/10*6,"4",IF(D161&gt;$H$6/10*5,"5",IF(D161&gt;$H$6/10*4,"6",IF(D161&gt;$H$6/10*3,"7",IF(D161&gt;$H$6/10*2,"8",IF(D161&gt;$H$6/10,"9","10")))))))))</f>
        <v>6</v>
      </c>
    </row>
    <row r="162" spans="1:5" x14ac:dyDescent="0.55000000000000004">
      <c r="A162">
        <v>2027</v>
      </c>
      <c r="B162">
        <f>estuary_data!Y640*weights!$C$9</f>
        <v>6.9092976416151572E-2</v>
      </c>
      <c r="C162">
        <f>estuary_data!X640*weights!$C$10</f>
        <v>0.38968431024776456</v>
      </c>
      <c r="D162">
        <f>SUM(B162:C162)</f>
        <v>0.45877728666391615</v>
      </c>
      <c r="E162" s="2" t="str">
        <f>IF(D162&gt;$H$6/10*9,"1",IF(D162&gt;$H$6/10*8,"2",IF(D162&gt;$H$6/10*7,"3",IF(D162&gt;$H$6/10*6,"4",IF(D162&gt;$H$6/10*5,"5",IF(D162&gt;$H$6/10*4,"6",IF(D162&gt;$H$6/10*3,"7",IF(D162&gt;$H$6/10*2,"8",IF(D162&gt;$H$6/10,"9","10")))))))))</f>
        <v>6</v>
      </c>
    </row>
    <row r="163" spans="1:5" x14ac:dyDescent="0.55000000000000004">
      <c r="A163">
        <v>2028</v>
      </c>
      <c r="B163">
        <f>estuary_data!Y641*weights!$C$9</f>
        <v>5.5747395108274221E-2</v>
      </c>
      <c r="C163">
        <f>estuary_data!X641*weights!$C$10</f>
        <v>0.35639937879039107</v>
      </c>
      <c r="D163">
        <f>SUM(B163:C163)</f>
        <v>0.41214677389866528</v>
      </c>
      <c r="E163" s="2" t="str">
        <f>IF(D163&gt;$H$6/10*9,"1",IF(D163&gt;$H$6/10*8,"2",IF(D163&gt;$H$6/10*7,"3",IF(D163&gt;$H$6/10*6,"4",IF(D163&gt;$H$6/10*5,"5",IF(D163&gt;$H$6/10*4,"6",IF(D163&gt;$H$6/10*3,"7",IF(D163&gt;$H$6/10*2,"8",IF(D163&gt;$H$6/10,"9","10")))))))))</f>
        <v>6</v>
      </c>
    </row>
    <row r="164" spans="1:5" x14ac:dyDescent="0.55000000000000004">
      <c r="A164">
        <v>2087</v>
      </c>
      <c r="B164">
        <f>estuary_data!Y700*weights!$C$9</f>
        <v>7.1581710491023701E-2</v>
      </c>
      <c r="C164">
        <f>estuary_data!X700*weights!$C$10</f>
        <v>0.40925505218990033</v>
      </c>
      <c r="D164">
        <f>SUM(B164:C164)</f>
        <v>0.48083676268092401</v>
      </c>
      <c r="E164" s="2" t="str">
        <f>IF(D164&gt;$H$6/10*9,"1",IF(D164&gt;$H$6/10*8,"2",IF(D164&gt;$H$6/10*7,"3",IF(D164&gt;$H$6/10*6,"4",IF(D164&gt;$H$6/10*5,"5",IF(D164&gt;$H$6/10*4,"6",IF(D164&gt;$H$6/10*3,"7",IF(D164&gt;$H$6/10*2,"8",IF(D164&gt;$H$6/10,"9","10")))))))))</f>
        <v>6</v>
      </c>
    </row>
    <row r="165" spans="1:5" x14ac:dyDescent="0.55000000000000004">
      <c r="A165">
        <v>2088</v>
      </c>
      <c r="B165">
        <f>estuary_data!Y701*weights!$C$9</f>
        <v>7.1581710491023701E-2</v>
      </c>
      <c r="C165">
        <f>estuary_data!X701*weights!$C$10</f>
        <v>0.38742323859943922</v>
      </c>
      <c r="D165">
        <f>SUM(B165:C165)</f>
        <v>0.45900494909046291</v>
      </c>
      <c r="E165" s="2" t="str">
        <f>IF(D165&gt;$H$6/10*9,"1",IF(D165&gt;$H$6/10*8,"2",IF(D165&gt;$H$6/10*7,"3",IF(D165&gt;$H$6/10*6,"4",IF(D165&gt;$H$6/10*5,"5",IF(D165&gt;$H$6/10*4,"6",IF(D165&gt;$H$6/10*3,"7",IF(D165&gt;$H$6/10*2,"8",IF(D165&gt;$H$6/10,"9","10")))))))))</f>
        <v>6</v>
      </c>
    </row>
    <row r="166" spans="1:5" x14ac:dyDescent="0.55000000000000004">
      <c r="A166">
        <v>2106</v>
      </c>
      <c r="B166">
        <f>estuary_data!Y719*weights!$C$9</f>
        <v>6.5235764126557849E-2</v>
      </c>
      <c r="C166">
        <f>estuary_data!X719*weights!$C$10</f>
        <v>0.39352510038269173</v>
      </c>
      <c r="D166">
        <f>SUM(B166:C166)</f>
        <v>0.45876086450924958</v>
      </c>
      <c r="E166" s="2" t="str">
        <f>IF(D166&gt;$H$6/10*9,"1",IF(D166&gt;$H$6/10*8,"2",IF(D166&gt;$H$6/10*7,"3",IF(D166&gt;$H$6/10*6,"4",IF(D166&gt;$H$6/10*5,"5",IF(D166&gt;$H$6/10*4,"6",IF(D166&gt;$H$6/10*3,"7",IF(D166&gt;$H$6/10*2,"8",IF(D166&gt;$H$6/10,"9","10")))))))))</f>
        <v>6</v>
      </c>
    </row>
    <row r="167" spans="1:5" x14ac:dyDescent="0.55000000000000004">
      <c r="A167">
        <v>2</v>
      </c>
      <c r="B167">
        <f>estuary_data!Y3*weights!$C$9</f>
        <v>6.3622320938976337E-2</v>
      </c>
      <c r="C167">
        <f>estuary_data!X3*weights!$C$10</f>
        <v>0.32185612758583676</v>
      </c>
      <c r="D167">
        <f>SUM(B167:C167)</f>
        <v>0.38547844852481311</v>
      </c>
      <c r="E167" s="2" t="str">
        <f>IF(D167&gt;$H$6/10*9,"1",IF(D167&gt;$H$6/10*8,"2",IF(D167&gt;$H$6/10*7,"3",IF(D167&gt;$H$6/10*6,"4",IF(D167&gt;$H$6/10*5,"5",IF(D167&gt;$H$6/10*4,"6",IF(D167&gt;$H$6/10*3,"7",IF(D167&gt;$H$6/10*2,"8",IF(D167&gt;$H$6/10,"9","10")))))))))</f>
        <v>7</v>
      </c>
    </row>
    <row r="168" spans="1:5" x14ac:dyDescent="0.55000000000000004">
      <c r="A168">
        <v>12</v>
      </c>
      <c r="B168">
        <f>estuary_data!Y13*weights!$C$9</f>
        <v>6.6867158945935812E-2</v>
      </c>
      <c r="C168">
        <f>estuary_data!X13*weights!$C$10</f>
        <v>0.24666976096370008</v>
      </c>
      <c r="D168">
        <f>SUM(B168:C168)</f>
        <v>0.31353691990963589</v>
      </c>
      <c r="E168" s="2" t="str">
        <f>IF(D168&gt;$H$6/10*9,"1",IF(D168&gt;$H$6/10*8,"2",IF(D168&gt;$H$6/10*7,"3",IF(D168&gt;$H$6/10*6,"4",IF(D168&gt;$H$6/10*5,"5",IF(D168&gt;$H$6/10*4,"6",IF(D168&gt;$H$6/10*3,"7",IF(D168&gt;$H$6/10*2,"8",IF(D168&gt;$H$6/10,"9","10")))))))))</f>
        <v>7</v>
      </c>
    </row>
    <row r="169" spans="1:5" x14ac:dyDescent="0.55000000000000004">
      <c r="A169">
        <v>14</v>
      </c>
      <c r="B169">
        <f>estuary_data!Y15*weights!$C$9</f>
        <v>5.4140067405063406E-2</v>
      </c>
      <c r="C169">
        <f>estuary_data!X15*weights!$C$10</f>
        <v>0.28513196142675223</v>
      </c>
      <c r="D169">
        <f>SUM(B169:C169)</f>
        <v>0.33927202883181562</v>
      </c>
      <c r="E169" s="2" t="str">
        <f>IF(D169&gt;$H$6/10*9,"1",IF(D169&gt;$H$6/10*8,"2",IF(D169&gt;$H$6/10*7,"3",IF(D169&gt;$H$6/10*6,"4",IF(D169&gt;$H$6/10*5,"5",IF(D169&gt;$H$6/10*4,"6",IF(D169&gt;$H$6/10*3,"7",IF(D169&gt;$H$6/10*2,"8",IF(D169&gt;$H$6/10,"9","10")))))))))</f>
        <v>7</v>
      </c>
    </row>
    <row r="170" spans="1:5" x14ac:dyDescent="0.55000000000000004">
      <c r="A170">
        <v>16</v>
      </c>
      <c r="B170">
        <f>estuary_data!Y17*weights!$C$9</f>
        <v>7.5335107557261402E-2</v>
      </c>
      <c r="C170">
        <f>estuary_data!X17*weights!$C$10</f>
        <v>0.30803554748032935</v>
      </c>
      <c r="D170">
        <f>SUM(B170:C170)</f>
        <v>0.38337065503759077</v>
      </c>
      <c r="E170" s="2" t="str">
        <f>IF(D170&gt;$H$6/10*9,"1",IF(D170&gt;$H$6/10*8,"2",IF(D170&gt;$H$6/10*7,"3",IF(D170&gt;$H$6/10*6,"4",IF(D170&gt;$H$6/10*5,"5",IF(D170&gt;$H$6/10*4,"6",IF(D170&gt;$H$6/10*3,"7",IF(D170&gt;$H$6/10*2,"8",IF(D170&gt;$H$6/10,"9","10")))))))))</f>
        <v>7</v>
      </c>
    </row>
    <row r="171" spans="1:5" x14ac:dyDescent="0.55000000000000004">
      <c r="A171">
        <v>24</v>
      </c>
      <c r="B171">
        <f>estuary_data!Y25*weights!$C$9</f>
        <v>4.7239747430071387E-2</v>
      </c>
      <c r="C171">
        <f>estuary_data!X25*weights!$C$10</f>
        <v>0.31809680223101483</v>
      </c>
      <c r="D171">
        <f>SUM(B171:C171)</f>
        <v>0.3653365496610862</v>
      </c>
      <c r="E171" s="2" t="str">
        <f>IF(D171&gt;$H$6/10*9,"1",IF(D171&gt;$H$6/10*8,"2",IF(D171&gt;$H$6/10*7,"3",IF(D171&gt;$H$6/10*6,"4",IF(D171&gt;$H$6/10*5,"5",IF(D171&gt;$H$6/10*4,"6",IF(D171&gt;$H$6/10*3,"7",IF(D171&gt;$H$6/10*2,"8",IF(D171&gt;$H$6/10,"9","10")))))))))</f>
        <v>7</v>
      </c>
    </row>
    <row r="172" spans="1:5" x14ac:dyDescent="0.55000000000000004">
      <c r="A172">
        <v>75</v>
      </c>
      <c r="B172">
        <f>estuary_data!Y76*weights!$C$9</f>
        <v>6.6559966767481951E-2</v>
      </c>
      <c r="C172">
        <f>estuary_data!X76*weights!$C$10</f>
        <v>0.23551077049197233</v>
      </c>
      <c r="D172">
        <f>SUM(B172:C172)</f>
        <v>0.30207073725945427</v>
      </c>
      <c r="E172" s="2" t="str">
        <f>IF(D172&gt;$H$6/10*9,"1",IF(D172&gt;$H$6/10*8,"2",IF(D172&gt;$H$6/10*7,"3",IF(D172&gt;$H$6/10*6,"4",IF(D172&gt;$H$6/10*5,"5",IF(D172&gt;$H$6/10*4,"6",IF(D172&gt;$H$6/10*3,"7",IF(D172&gt;$H$6/10*2,"8",IF(D172&gt;$H$6/10,"9","10")))))))))</f>
        <v>7</v>
      </c>
    </row>
    <row r="173" spans="1:5" x14ac:dyDescent="0.55000000000000004">
      <c r="A173">
        <v>97</v>
      </c>
      <c r="B173">
        <f>estuary_data!Y98*weights!$C$9</f>
        <v>6.6249387062599932E-2</v>
      </c>
      <c r="C173">
        <f>estuary_data!X98*weights!$C$10</f>
        <v>0.26829837784444638</v>
      </c>
      <c r="D173">
        <f>SUM(B173:C173)</f>
        <v>0.3345477649070463</v>
      </c>
      <c r="E173" s="2" t="str">
        <f>IF(D173&gt;$H$6/10*9,"1",IF(D173&gt;$H$6/10*8,"2",IF(D173&gt;$H$6/10*7,"3",IF(D173&gt;$H$6/10*6,"4",IF(D173&gt;$H$6/10*5,"5",IF(D173&gt;$H$6/10*4,"6",IF(D173&gt;$H$6/10*3,"7",IF(D173&gt;$H$6/10*2,"8",IF(D173&gt;$H$6/10,"9","10")))))))))</f>
        <v>7</v>
      </c>
    </row>
    <row r="174" spans="1:5" x14ac:dyDescent="0.55000000000000004">
      <c r="A174">
        <v>273</v>
      </c>
      <c r="B174">
        <f>estuary_data!Y274*weights!$C$9</f>
        <v>4.7239747430071387E-2</v>
      </c>
      <c r="C174">
        <f>estuary_data!X274*weights!$C$10</f>
        <v>0.31809680223101483</v>
      </c>
      <c r="D174">
        <f>SUM(B174:C174)</f>
        <v>0.3653365496610862</v>
      </c>
      <c r="E174" s="2" t="str">
        <f>IF(D174&gt;$H$6/10*9,"1",IF(D174&gt;$H$6/10*8,"2",IF(D174&gt;$H$6/10*7,"3",IF(D174&gt;$H$6/10*6,"4",IF(D174&gt;$H$6/10*5,"5",IF(D174&gt;$H$6/10*4,"6",IF(D174&gt;$H$6/10*3,"7",IF(D174&gt;$H$6/10*2,"8",IF(D174&gt;$H$6/10,"9","10")))))))))</f>
        <v>7</v>
      </c>
    </row>
    <row r="175" spans="1:5" x14ac:dyDescent="0.55000000000000004">
      <c r="A175">
        <v>274</v>
      </c>
      <c r="B175">
        <f>estuary_data!Y275*weights!$C$9</f>
        <v>4.7239747430071387E-2</v>
      </c>
      <c r="C175">
        <f>estuary_data!X275*weights!$C$10</f>
        <v>0.31809680223101483</v>
      </c>
      <c r="D175">
        <f>SUM(B175:C175)</f>
        <v>0.3653365496610862</v>
      </c>
      <c r="E175" s="2" t="str">
        <f>IF(D175&gt;$H$6/10*9,"1",IF(D175&gt;$H$6/10*8,"2",IF(D175&gt;$H$6/10*7,"3",IF(D175&gt;$H$6/10*6,"4",IF(D175&gt;$H$6/10*5,"5",IF(D175&gt;$H$6/10*4,"6",IF(D175&gt;$H$6/10*3,"7",IF(D175&gt;$H$6/10*2,"8",IF(D175&gt;$H$6/10,"9","10")))))))))</f>
        <v>7</v>
      </c>
    </row>
    <row r="176" spans="1:5" x14ac:dyDescent="0.55000000000000004">
      <c r="A176">
        <v>361</v>
      </c>
      <c r="B176">
        <f>estuary_data!Y362*weights!$C$9</f>
        <v>7.1073384739527262E-2</v>
      </c>
      <c r="C176">
        <f>estuary_data!X362*weights!$C$10</f>
        <v>0.26427881935054326</v>
      </c>
      <c r="D176">
        <f>SUM(B176:C176)</f>
        <v>0.33535220409007049</v>
      </c>
      <c r="E176" s="2" t="str">
        <f>IF(D176&gt;$H$6/10*9,"1",IF(D176&gt;$H$6/10*8,"2",IF(D176&gt;$H$6/10*7,"3",IF(D176&gt;$H$6/10*6,"4",IF(D176&gt;$H$6/10*5,"5",IF(D176&gt;$H$6/10*4,"6",IF(D176&gt;$H$6/10*3,"7",IF(D176&gt;$H$6/10*2,"8",IF(D176&gt;$H$6/10,"9","10")))))))))</f>
        <v>7</v>
      </c>
    </row>
    <row r="177" spans="1:5" x14ac:dyDescent="0.55000000000000004">
      <c r="A177">
        <v>1001</v>
      </c>
      <c r="B177">
        <f>estuary_data!Y448*weights!$C$9</f>
        <v>7.7328747405255763E-2</v>
      </c>
      <c r="C177">
        <f>estuary_data!X448*weights!$C$10</f>
        <v>0.27515086465861738</v>
      </c>
      <c r="D177">
        <f>SUM(B177:C177)</f>
        <v>0.35247961206387313</v>
      </c>
      <c r="E177" s="2" t="str">
        <f>IF(D177&gt;$H$6/10*9,"1",IF(D177&gt;$H$6/10*8,"2",IF(D177&gt;$H$6/10*7,"3",IF(D177&gt;$H$6/10*6,"4",IF(D177&gt;$H$6/10*5,"5",IF(D177&gt;$H$6/10*4,"6",IF(D177&gt;$H$6/10*3,"7",IF(D177&gt;$H$6/10*2,"8",IF(D177&gt;$H$6/10,"9","10")))))))))</f>
        <v>7</v>
      </c>
    </row>
    <row r="178" spans="1:5" x14ac:dyDescent="0.55000000000000004">
      <c r="A178">
        <v>1002</v>
      </c>
      <c r="B178">
        <f>estuary_data!Y449*weights!$C$9</f>
        <v>7.1982057293883323E-2</v>
      </c>
      <c r="C178">
        <f>estuary_data!X449*weights!$C$10</f>
        <v>0.25210092501144454</v>
      </c>
      <c r="D178">
        <f>SUM(B178:C178)</f>
        <v>0.32408298230532784</v>
      </c>
      <c r="E178" s="2" t="str">
        <f>IF(D178&gt;$H$6/10*9,"1",IF(D178&gt;$H$6/10*8,"2",IF(D178&gt;$H$6/10*7,"3",IF(D178&gt;$H$6/10*6,"4",IF(D178&gt;$H$6/10*5,"5",IF(D178&gt;$H$6/10*4,"6",IF(D178&gt;$H$6/10*3,"7",IF(D178&gt;$H$6/10*2,"8",IF(D178&gt;$H$6/10,"9","10")))))))))</f>
        <v>7</v>
      </c>
    </row>
    <row r="179" spans="1:5" x14ac:dyDescent="0.55000000000000004">
      <c r="A179">
        <v>1003</v>
      </c>
      <c r="B179">
        <f>estuary_data!Y450*weights!$C$9</f>
        <v>7.273973159576172E-2</v>
      </c>
      <c r="C179">
        <f>estuary_data!X450*weights!$C$10</f>
        <v>0.29954467676388902</v>
      </c>
      <c r="D179">
        <f>SUM(B179:C179)</f>
        <v>0.37228440835965071</v>
      </c>
      <c r="E179" s="2" t="str">
        <f>IF(D179&gt;$H$6/10*9,"1",IF(D179&gt;$H$6/10*8,"2",IF(D179&gt;$H$6/10*7,"3",IF(D179&gt;$H$6/10*6,"4",IF(D179&gt;$H$6/10*5,"5",IF(D179&gt;$H$6/10*4,"6",IF(D179&gt;$H$6/10*3,"7",IF(D179&gt;$H$6/10*2,"8",IF(D179&gt;$H$6/10,"9","10")))))))))</f>
        <v>7</v>
      </c>
    </row>
    <row r="180" spans="1:5" x14ac:dyDescent="0.55000000000000004">
      <c r="A180">
        <v>1044</v>
      </c>
      <c r="B180">
        <f>estuary_data!Y491*weights!$C$9</f>
        <v>5.800295547454546E-2</v>
      </c>
      <c r="C180">
        <f>estuary_data!X491*weights!$C$10</f>
        <v>0.24512837520537031</v>
      </c>
      <c r="D180">
        <f>SUM(B180:C180)</f>
        <v>0.30313133067991577</v>
      </c>
      <c r="E180" s="2" t="str">
        <f>IF(D180&gt;$H$6/10*9,"1",IF(D180&gt;$H$6/10*8,"2",IF(D180&gt;$H$6/10*7,"3",IF(D180&gt;$H$6/10*6,"4",IF(D180&gt;$H$6/10*5,"5",IF(D180&gt;$H$6/10*4,"6",IF(D180&gt;$H$6/10*3,"7",IF(D180&gt;$H$6/10*2,"8",IF(D180&gt;$H$6/10,"9","10")))))))))</f>
        <v>7</v>
      </c>
    </row>
    <row r="181" spans="1:5" x14ac:dyDescent="0.55000000000000004">
      <c r="A181">
        <v>1059</v>
      </c>
      <c r="B181">
        <f>estuary_data!Y506*weights!$C$9</f>
        <v>5.8809800461759154E-2</v>
      </c>
      <c r="C181">
        <f>estuary_data!X506*weights!$C$10</f>
        <v>0.24025529748255431</v>
      </c>
      <c r="D181">
        <f>SUM(B181:C181)</f>
        <v>0.29906509794431346</v>
      </c>
      <c r="E181" s="2" t="str">
        <f>IF(D181&gt;$H$6/10*9,"1",IF(D181&gt;$H$6/10*8,"2",IF(D181&gt;$H$6/10*7,"3",IF(D181&gt;$H$6/10*6,"4",IF(D181&gt;$H$6/10*5,"5",IF(D181&gt;$H$6/10*4,"6",IF(D181&gt;$H$6/10*3,"7",IF(D181&gt;$H$6/10*2,"8",IF(D181&gt;$H$6/10,"9","10")))))))))</f>
        <v>7</v>
      </c>
    </row>
    <row r="182" spans="1:5" x14ac:dyDescent="0.55000000000000004">
      <c r="A182">
        <v>1065</v>
      </c>
      <c r="B182">
        <f>estuary_data!Y512*weights!$C$9</f>
        <v>5.7909823291723124E-2</v>
      </c>
      <c r="C182">
        <f>estuary_data!X512*weights!$C$10</f>
        <v>0.2552169760480803</v>
      </c>
      <c r="D182">
        <f>SUM(B182:C182)</f>
        <v>0.31312679933980342</v>
      </c>
      <c r="E182" s="2" t="str">
        <f>IF(D182&gt;$H$6/10*9,"1",IF(D182&gt;$H$6/10*8,"2",IF(D182&gt;$H$6/10*7,"3",IF(D182&gt;$H$6/10*6,"4",IF(D182&gt;$H$6/10*5,"5",IF(D182&gt;$H$6/10*4,"6",IF(D182&gt;$H$6/10*3,"7",IF(D182&gt;$H$6/10*2,"8",IF(D182&gt;$H$6/10,"9","10")))))))))</f>
        <v>7</v>
      </c>
    </row>
    <row r="183" spans="1:5" x14ac:dyDescent="0.55000000000000004">
      <c r="A183">
        <v>1072</v>
      </c>
      <c r="B183">
        <f>estuary_data!Y519*weights!$C$9</f>
        <v>5.9423058646379728E-2</v>
      </c>
      <c r="C183">
        <f>estuary_data!X519*weights!$C$10</f>
        <v>0.27183011809021884</v>
      </c>
      <c r="D183">
        <f>SUM(B183:C183)</f>
        <v>0.3312531767365986</v>
      </c>
      <c r="E183" s="2" t="str">
        <f>IF(D183&gt;$H$6/10*9,"1",IF(D183&gt;$H$6/10*8,"2",IF(D183&gt;$H$6/10*7,"3",IF(D183&gt;$H$6/10*6,"4",IF(D183&gt;$H$6/10*5,"5",IF(D183&gt;$H$6/10*4,"6",IF(D183&gt;$H$6/10*3,"7",IF(D183&gt;$H$6/10*2,"8",IF(D183&gt;$H$6/10,"9","10")))))))))</f>
        <v>7</v>
      </c>
    </row>
    <row r="184" spans="1:5" x14ac:dyDescent="0.55000000000000004">
      <c r="A184">
        <v>1151</v>
      </c>
      <c r="B184">
        <f>estuary_data!Y598*weights!$C$9</f>
        <v>7.3741204319829348E-2</v>
      </c>
      <c r="C184">
        <f>estuary_data!X598*weights!$C$10</f>
        <v>0.23084582541046347</v>
      </c>
      <c r="D184">
        <f>SUM(B184:C184)</f>
        <v>0.30458702973029284</v>
      </c>
      <c r="E184" s="2" t="str">
        <f>IF(D184&gt;$H$6/10*9,"1",IF(D184&gt;$H$6/10*8,"2",IF(D184&gt;$H$6/10*7,"3",IF(D184&gt;$H$6/10*6,"4",IF(D184&gt;$H$6/10*5,"5",IF(D184&gt;$H$6/10*4,"6",IF(D184&gt;$H$6/10*3,"7",IF(D184&gt;$H$6/10*2,"8",IF(D184&gt;$H$6/10,"9","10")))))))))</f>
        <v>7</v>
      </c>
    </row>
    <row r="185" spans="1:5" x14ac:dyDescent="0.55000000000000004">
      <c r="A185">
        <v>1152</v>
      </c>
      <c r="B185">
        <f>estuary_data!Y599*weights!$C$9</f>
        <v>8.1642413725910884E-2</v>
      </c>
      <c r="C185">
        <f>estuary_data!X599*weights!$C$10</f>
        <v>0.28557102091878467</v>
      </c>
      <c r="D185">
        <f>SUM(B185:C185)</f>
        <v>0.36721343464469558</v>
      </c>
      <c r="E185" s="2" t="str">
        <f>IF(D185&gt;$H$6/10*9,"1",IF(D185&gt;$H$6/10*8,"2",IF(D185&gt;$H$6/10*7,"3",IF(D185&gt;$H$6/10*6,"4",IF(D185&gt;$H$6/10*5,"5",IF(D185&gt;$H$6/10*4,"6",IF(D185&gt;$H$6/10*3,"7",IF(D185&gt;$H$6/10*2,"8",IF(D185&gt;$H$6/10,"9","10")))))))))</f>
        <v>7</v>
      </c>
    </row>
    <row r="186" spans="1:5" x14ac:dyDescent="0.55000000000000004">
      <c r="A186">
        <v>2020</v>
      </c>
      <c r="B186">
        <f>estuary_data!Y633*weights!$C$9</f>
        <v>6.5771638744718905E-2</v>
      </c>
      <c r="C186">
        <f>estuary_data!X633*weights!$C$10</f>
        <v>0.25861918610783041</v>
      </c>
      <c r="D186">
        <f>SUM(B186:C186)</f>
        <v>0.32439082485254933</v>
      </c>
      <c r="E186" s="2" t="str">
        <f>IF(D186&gt;$H$6/10*9,"1",IF(D186&gt;$H$6/10*8,"2",IF(D186&gt;$H$6/10*7,"3",IF(D186&gt;$H$6/10*6,"4",IF(D186&gt;$H$6/10*5,"5",IF(D186&gt;$H$6/10*4,"6",IF(D186&gt;$H$6/10*3,"7",IF(D186&gt;$H$6/10*2,"8",IF(D186&gt;$H$6/10,"9","10")))))))))</f>
        <v>7</v>
      </c>
    </row>
    <row r="187" spans="1:5" x14ac:dyDescent="0.55000000000000004">
      <c r="A187">
        <v>2021</v>
      </c>
      <c r="B187">
        <f>estuary_data!Y634*weights!$C$9</f>
        <v>6.1224704491393472E-2</v>
      </c>
      <c r="C187">
        <f>estuary_data!X634*weights!$C$10</f>
        <v>0.25861974284998407</v>
      </c>
      <c r="D187">
        <f>SUM(B187:C187)</f>
        <v>0.31984444734137751</v>
      </c>
      <c r="E187" s="2" t="str">
        <f>IF(D187&gt;$H$6/10*9,"1",IF(D187&gt;$H$6/10*8,"2",IF(D187&gt;$H$6/10*7,"3",IF(D187&gt;$H$6/10*6,"4",IF(D187&gt;$H$6/10*5,"5",IF(D187&gt;$H$6/10*4,"6",IF(D187&gt;$H$6/10*3,"7",IF(D187&gt;$H$6/10*2,"8",IF(D187&gt;$H$6/10,"9","10")))))))))</f>
        <v>7</v>
      </c>
    </row>
    <row r="188" spans="1:5" x14ac:dyDescent="0.55000000000000004">
      <c r="A188">
        <v>2033</v>
      </c>
      <c r="B188">
        <f>estuary_data!Y646*weights!$C$9</f>
        <v>7.1214426797659394E-2</v>
      </c>
      <c r="C188">
        <f>estuary_data!X646*weights!$C$10</f>
        <v>0.26493229158692377</v>
      </c>
      <c r="D188">
        <f>SUM(B188:C188)</f>
        <v>0.33614671838458315</v>
      </c>
      <c r="E188" s="2" t="str">
        <f>IF(D188&gt;$H$6/10*9,"1",IF(D188&gt;$H$6/10*8,"2",IF(D188&gt;$H$6/10*7,"3",IF(D188&gt;$H$6/10*6,"4",IF(D188&gt;$H$6/10*5,"5",IF(D188&gt;$H$6/10*4,"6",IF(D188&gt;$H$6/10*3,"7",IF(D188&gt;$H$6/10*2,"8",IF(D188&gt;$H$6/10,"9","10")))))))))</f>
        <v>7</v>
      </c>
    </row>
    <row r="189" spans="1:5" x14ac:dyDescent="0.55000000000000004">
      <c r="A189">
        <v>2039</v>
      </c>
      <c r="B189">
        <f>estuary_data!Y652*weights!$C$9</f>
        <v>6.3848800363249816E-2</v>
      </c>
      <c r="C189">
        <f>estuary_data!X652*weights!$C$10</f>
        <v>0.29067112829725111</v>
      </c>
      <c r="D189">
        <f>SUM(B189:C189)</f>
        <v>0.35451992866050092</v>
      </c>
      <c r="E189" s="2" t="str">
        <f>IF(D189&gt;$H$6/10*9,"1",IF(D189&gt;$H$6/10*8,"2",IF(D189&gt;$H$6/10*7,"3",IF(D189&gt;$H$6/10*6,"4",IF(D189&gt;$H$6/10*5,"5",IF(D189&gt;$H$6/10*4,"6",IF(D189&gt;$H$6/10*3,"7",IF(D189&gt;$H$6/10*2,"8",IF(D189&gt;$H$6/10,"9","10")))))))))</f>
        <v>7</v>
      </c>
    </row>
    <row r="190" spans="1:5" x14ac:dyDescent="0.55000000000000004">
      <c r="A190">
        <v>2047</v>
      </c>
      <c r="B190">
        <f>estuary_data!Y660*weights!$C$9</f>
        <v>5.7340347154255435E-2</v>
      </c>
      <c r="C190">
        <f>estuary_data!X660*weights!$C$10</f>
        <v>0.27855960355111975</v>
      </c>
      <c r="D190">
        <f>SUM(B190:C190)</f>
        <v>0.33589995070537521</v>
      </c>
      <c r="E190" s="2" t="str">
        <f>IF(D190&gt;$H$6/10*9,"1",IF(D190&gt;$H$6/10*8,"2",IF(D190&gt;$H$6/10*7,"3",IF(D190&gt;$H$6/10*6,"4",IF(D190&gt;$H$6/10*5,"5",IF(D190&gt;$H$6/10*4,"6",IF(D190&gt;$H$6/10*3,"7",IF(D190&gt;$H$6/10*2,"8",IF(D190&gt;$H$6/10,"9","10")))))))))</f>
        <v>7</v>
      </c>
    </row>
    <row r="191" spans="1:5" x14ac:dyDescent="0.55000000000000004">
      <c r="A191">
        <v>2050</v>
      </c>
      <c r="B191">
        <f>estuary_data!Y663*weights!$C$9</f>
        <v>6.5650675034785735E-2</v>
      </c>
      <c r="C191">
        <f>estuary_data!X663*weights!$C$10</f>
        <v>0.24782906566539115</v>
      </c>
      <c r="D191">
        <f>SUM(B191:C191)</f>
        <v>0.31347974070017687</v>
      </c>
      <c r="E191" s="2" t="str">
        <f>IF(D191&gt;$H$6/10*9,"1",IF(D191&gt;$H$6/10*8,"2",IF(D191&gt;$H$6/10*7,"3",IF(D191&gt;$H$6/10*6,"4",IF(D191&gt;$H$6/10*5,"5",IF(D191&gt;$H$6/10*4,"6",IF(D191&gt;$H$6/10*3,"7",IF(D191&gt;$H$6/10*2,"8",IF(D191&gt;$H$6/10,"9","10")))))))))</f>
        <v>7</v>
      </c>
    </row>
    <row r="192" spans="1:5" x14ac:dyDescent="0.55000000000000004">
      <c r="A192">
        <v>2067</v>
      </c>
      <c r="B192">
        <f>estuary_data!Y680*weights!$C$9</f>
        <v>5.8222341288392633E-2</v>
      </c>
      <c r="C192">
        <f>estuary_data!X680*weights!$C$10</f>
        <v>0.32395492693899336</v>
      </c>
      <c r="D192">
        <f>SUM(B192:C192)</f>
        <v>0.38217726822738601</v>
      </c>
      <c r="E192" s="2" t="str">
        <f>IF(D192&gt;$H$6/10*9,"1",IF(D192&gt;$H$6/10*8,"2",IF(D192&gt;$H$6/10*7,"3",IF(D192&gt;$H$6/10*6,"4",IF(D192&gt;$H$6/10*5,"5",IF(D192&gt;$H$6/10*4,"6",IF(D192&gt;$H$6/10*3,"7",IF(D192&gt;$H$6/10*2,"8",IF(D192&gt;$H$6/10,"9","10")))))))))</f>
        <v>7</v>
      </c>
    </row>
    <row r="193" spans="1:5" x14ac:dyDescent="0.55000000000000004">
      <c r="A193">
        <v>2105</v>
      </c>
      <c r="B193">
        <f>estuary_data!Y718*weights!$C$9</f>
        <v>5.0828883326872222E-2</v>
      </c>
      <c r="C193">
        <f>estuary_data!X718*weights!$C$10</f>
        <v>0.25526187498299951</v>
      </c>
      <c r="D193">
        <f>SUM(B193:C193)</f>
        <v>0.30609075830987176</v>
      </c>
      <c r="E193" s="2" t="str">
        <f>IF(D193&gt;$H$6/10*9,"1",IF(D193&gt;$H$6/10*8,"2",IF(D193&gt;$H$6/10*7,"3",IF(D193&gt;$H$6/10*6,"4",IF(D193&gt;$H$6/10*5,"5",IF(D193&gt;$H$6/10*4,"6",IF(D193&gt;$H$6/10*3,"7",IF(D193&gt;$H$6/10*2,"8",IF(D193&gt;$H$6/10,"9","10")))))))))</f>
        <v>7</v>
      </c>
    </row>
    <row r="194" spans="1:5" x14ac:dyDescent="0.55000000000000004">
      <c r="A194">
        <v>1</v>
      </c>
      <c r="B194">
        <f>estuary_data!Y2*weights!$C$9</f>
        <v>5.1836839445545103E-2</v>
      </c>
      <c r="C194">
        <f>estuary_data!X2*weights!$C$10</f>
        <v>0.2070337392628078</v>
      </c>
      <c r="D194">
        <f>SUM(B194:C194)</f>
        <v>0.25887057870835289</v>
      </c>
      <c r="E194" s="2" t="str">
        <f>IF(D194&gt;$H$6/10*9,"1",IF(D194&gt;$H$6/10*8,"2",IF(D194&gt;$H$6/10*7,"3",IF(D194&gt;$H$6/10*6,"4",IF(D194&gt;$H$6/10*5,"5",IF(D194&gt;$H$6/10*4,"6",IF(D194&gt;$H$6/10*3,"7",IF(D194&gt;$H$6/10*2,"8",IF(D194&gt;$H$6/10,"9","10")))))))))</f>
        <v>8</v>
      </c>
    </row>
    <row r="195" spans="1:5" x14ac:dyDescent="0.55000000000000004">
      <c r="A195">
        <v>5</v>
      </c>
      <c r="B195">
        <f>estuary_data!Y6*weights!$C$9</f>
        <v>4.6148987702653951E-2</v>
      </c>
      <c r="C195">
        <f>estuary_data!X6*weights!$C$10</f>
        <v>0.18177603731726036</v>
      </c>
      <c r="D195">
        <f>SUM(B195:C195)</f>
        <v>0.2279250250199143</v>
      </c>
      <c r="E195" s="2" t="str">
        <f>IF(D195&gt;$H$6/10*9,"1",IF(D195&gt;$H$6/10*8,"2",IF(D195&gt;$H$6/10*7,"3",IF(D195&gt;$H$6/10*6,"4",IF(D195&gt;$H$6/10*5,"5",IF(D195&gt;$H$6/10*4,"6",IF(D195&gt;$H$6/10*3,"7",IF(D195&gt;$H$6/10*2,"8",IF(D195&gt;$H$6/10,"9","10")))))))))</f>
        <v>8</v>
      </c>
    </row>
    <row r="196" spans="1:5" x14ac:dyDescent="0.55000000000000004">
      <c r="A196">
        <v>9</v>
      </c>
      <c r="B196">
        <f>estuary_data!Y10*weights!$C$9</f>
        <v>6.4231904443701165E-2</v>
      </c>
      <c r="C196">
        <f>estuary_data!X10*weights!$C$10</f>
        <v>0.21605861462852868</v>
      </c>
      <c r="D196">
        <f>SUM(B196:C196)</f>
        <v>0.28029051907222985</v>
      </c>
      <c r="E196" s="2" t="str">
        <f>IF(D196&gt;$H$6/10*9,"1",IF(D196&gt;$H$6/10*8,"2",IF(D196&gt;$H$6/10*7,"3",IF(D196&gt;$H$6/10*6,"4",IF(D196&gt;$H$6/10*5,"5",IF(D196&gt;$H$6/10*4,"6",IF(D196&gt;$H$6/10*3,"7",IF(D196&gt;$H$6/10*2,"8",IF(D196&gt;$H$6/10,"9","10")))))))))</f>
        <v>8</v>
      </c>
    </row>
    <row r="197" spans="1:5" x14ac:dyDescent="0.55000000000000004">
      <c r="A197">
        <v>10</v>
      </c>
      <c r="B197">
        <f>estuary_data!Y11*weights!$C$9</f>
        <v>4.3657404522926879E-2</v>
      </c>
      <c r="C197">
        <f>estuary_data!X11*weights!$C$10</f>
        <v>0.16675711096654885</v>
      </c>
      <c r="D197">
        <f>SUM(B197:C197)</f>
        <v>0.21041451548947573</v>
      </c>
      <c r="E197" s="2" t="str">
        <f>IF(D197&gt;$H$6/10*9,"1",IF(D197&gt;$H$6/10*8,"2",IF(D197&gt;$H$6/10*7,"3",IF(D197&gt;$H$6/10*6,"4",IF(D197&gt;$H$6/10*5,"5",IF(D197&gt;$H$6/10*4,"6",IF(D197&gt;$H$6/10*3,"7",IF(D197&gt;$H$6/10*2,"8",IF(D197&gt;$H$6/10,"9","10")))))))))</f>
        <v>8</v>
      </c>
    </row>
    <row r="198" spans="1:5" x14ac:dyDescent="0.55000000000000004">
      <c r="A198">
        <v>11</v>
      </c>
      <c r="B198">
        <f>estuary_data!Y12*weights!$C$9</f>
        <v>5.129156950795704E-2</v>
      </c>
      <c r="C198">
        <f>estuary_data!X12*weights!$C$10</f>
        <v>0.20336330836058059</v>
      </c>
      <c r="D198">
        <f>SUM(B198:C198)</f>
        <v>0.25465487786853763</v>
      </c>
      <c r="E198" s="2" t="str">
        <f>IF(D198&gt;$H$6/10*9,"1",IF(D198&gt;$H$6/10*8,"2",IF(D198&gt;$H$6/10*7,"3",IF(D198&gt;$H$6/10*6,"4",IF(D198&gt;$H$6/10*5,"5",IF(D198&gt;$H$6/10*4,"6",IF(D198&gt;$H$6/10*3,"7",IF(D198&gt;$H$6/10*2,"8",IF(D198&gt;$H$6/10,"9","10")))))))))</f>
        <v>8</v>
      </c>
    </row>
    <row r="199" spans="1:5" x14ac:dyDescent="0.55000000000000004">
      <c r="A199">
        <v>13</v>
      </c>
      <c r="B199">
        <f>estuary_data!Y14*weights!$C$9</f>
        <v>4.8899341686794752E-2</v>
      </c>
      <c r="C199">
        <f>estuary_data!X14*weights!$C$10</f>
        <v>0.16954852075622301</v>
      </c>
      <c r="D199">
        <f>SUM(B199:C199)</f>
        <v>0.21844786244301775</v>
      </c>
      <c r="E199" s="2" t="str">
        <f>IF(D199&gt;$H$6/10*9,"1",IF(D199&gt;$H$6/10*8,"2",IF(D199&gt;$H$6/10*7,"3",IF(D199&gt;$H$6/10*6,"4",IF(D199&gt;$H$6/10*5,"5",IF(D199&gt;$H$6/10*4,"6",IF(D199&gt;$H$6/10*3,"7",IF(D199&gt;$H$6/10*2,"8",IF(D199&gt;$H$6/10,"9","10")))))))))</f>
        <v>8</v>
      </c>
    </row>
    <row r="200" spans="1:5" x14ac:dyDescent="0.55000000000000004">
      <c r="A200">
        <v>22</v>
      </c>
      <c r="B200">
        <f>estuary_data!Y23*weights!$C$9</f>
        <v>4.8329762350976815E-2</v>
      </c>
      <c r="C200">
        <f>estuary_data!X23*weights!$C$10</f>
        <v>0.234822290515182</v>
      </c>
      <c r="D200">
        <f>SUM(B200:C200)</f>
        <v>0.2831520528661588</v>
      </c>
      <c r="E200" s="2" t="str">
        <f>IF(D200&gt;$H$6/10*9,"1",IF(D200&gt;$H$6/10*8,"2",IF(D200&gt;$H$6/10*7,"3",IF(D200&gt;$H$6/10*6,"4",IF(D200&gt;$H$6/10*5,"5",IF(D200&gt;$H$6/10*4,"6",IF(D200&gt;$H$6/10*3,"7",IF(D200&gt;$H$6/10*2,"8",IF(D200&gt;$H$6/10,"9","10")))))))))</f>
        <v>8</v>
      </c>
    </row>
    <row r="201" spans="1:5" x14ac:dyDescent="0.55000000000000004">
      <c r="A201">
        <v>34</v>
      </c>
      <c r="B201">
        <f>estuary_data!Y35*weights!$C$9</f>
        <v>6.1344367036441215E-2</v>
      </c>
      <c r="C201">
        <f>estuary_data!X35*weights!$C$10</f>
        <v>0.21811796905786149</v>
      </c>
      <c r="D201">
        <f>SUM(B201:C201)</f>
        <v>0.27946233609430271</v>
      </c>
      <c r="E201" s="2" t="str">
        <f>IF(D201&gt;$H$6/10*9,"1",IF(D201&gt;$H$6/10*8,"2",IF(D201&gt;$H$6/10*7,"3",IF(D201&gt;$H$6/10*6,"4",IF(D201&gt;$H$6/10*5,"5",IF(D201&gt;$H$6/10*4,"6",IF(D201&gt;$H$6/10*3,"7",IF(D201&gt;$H$6/10*2,"8",IF(D201&gt;$H$6/10,"9","10")))))))))</f>
        <v>8</v>
      </c>
    </row>
    <row r="202" spans="1:5" x14ac:dyDescent="0.55000000000000004">
      <c r="A202">
        <v>36</v>
      </c>
      <c r="B202">
        <f>estuary_data!Y37*weights!$C$9</f>
        <v>5.6661299256776473E-2</v>
      </c>
      <c r="C202">
        <f>estuary_data!X37*weights!$C$10</f>
        <v>0.21275689910499149</v>
      </c>
      <c r="D202">
        <f>SUM(B202:C202)</f>
        <v>0.26941819836176795</v>
      </c>
      <c r="E202" s="2" t="str">
        <f>IF(D202&gt;$H$6/10*9,"1",IF(D202&gt;$H$6/10*8,"2",IF(D202&gt;$H$6/10*7,"3",IF(D202&gt;$H$6/10*6,"4",IF(D202&gt;$H$6/10*5,"5",IF(D202&gt;$H$6/10*4,"6",IF(D202&gt;$H$6/10*3,"7",IF(D202&gt;$H$6/10*2,"8",IF(D202&gt;$H$6/10,"9","10")))))))))</f>
        <v>8</v>
      </c>
    </row>
    <row r="203" spans="1:5" x14ac:dyDescent="0.55000000000000004">
      <c r="A203">
        <v>74</v>
      </c>
      <c r="B203">
        <f>estuary_data!Y75*weights!$C$9</f>
        <v>4.5491467399776379E-2</v>
      </c>
      <c r="C203">
        <f>estuary_data!X75*weights!$C$10</f>
        <v>0.19046549615558941</v>
      </c>
      <c r="D203">
        <f>SUM(B203:C203)</f>
        <v>0.2359569635553658</v>
      </c>
      <c r="E203" s="2" t="str">
        <f>IF(D203&gt;$H$6/10*9,"1",IF(D203&gt;$H$6/10*8,"2",IF(D203&gt;$H$6/10*7,"3",IF(D203&gt;$H$6/10*6,"4",IF(D203&gt;$H$6/10*5,"5",IF(D203&gt;$H$6/10*4,"6",IF(D203&gt;$H$6/10*3,"7",IF(D203&gt;$H$6/10*2,"8",IF(D203&gt;$H$6/10,"9","10")))))))))</f>
        <v>8</v>
      </c>
    </row>
    <row r="204" spans="1:5" x14ac:dyDescent="0.55000000000000004">
      <c r="A204">
        <v>80</v>
      </c>
      <c r="B204">
        <f>estuary_data!Y81*weights!$C$9</f>
        <v>6.1191897119501466E-2</v>
      </c>
      <c r="C204">
        <f>estuary_data!X81*weights!$C$10</f>
        <v>0.14442837665149907</v>
      </c>
      <c r="D204">
        <f>SUM(B204:C204)</f>
        <v>0.20562027377100053</v>
      </c>
      <c r="E204" s="2" t="str">
        <f>IF(D204&gt;$H$6/10*9,"1",IF(D204&gt;$H$6/10*8,"2",IF(D204&gt;$H$6/10*7,"3",IF(D204&gt;$H$6/10*6,"4",IF(D204&gt;$H$6/10*5,"5",IF(D204&gt;$H$6/10*4,"6",IF(D204&gt;$H$6/10*3,"7",IF(D204&gt;$H$6/10*2,"8",IF(D204&gt;$H$6/10,"9","10")))))))))</f>
        <v>8</v>
      </c>
    </row>
    <row r="205" spans="1:5" x14ac:dyDescent="0.55000000000000004">
      <c r="A205">
        <v>94</v>
      </c>
      <c r="B205">
        <f>estuary_data!Y95*weights!$C$9</f>
        <v>4.2387922719054553E-2</v>
      </c>
      <c r="C205">
        <f>estuary_data!X95*weights!$C$10</f>
        <v>0.18454390155335987</v>
      </c>
      <c r="D205">
        <f>SUM(B205:C205)</f>
        <v>0.22693182427241443</v>
      </c>
      <c r="E205" s="2" t="str">
        <f>IF(D205&gt;$H$6/10*9,"1",IF(D205&gt;$H$6/10*8,"2",IF(D205&gt;$H$6/10*7,"3",IF(D205&gt;$H$6/10*6,"4",IF(D205&gt;$H$6/10*5,"5",IF(D205&gt;$H$6/10*4,"6",IF(D205&gt;$H$6/10*3,"7",IF(D205&gt;$H$6/10*2,"8",IF(D205&gt;$H$6/10,"9","10")))))))))</f>
        <v>8</v>
      </c>
    </row>
    <row r="206" spans="1:5" x14ac:dyDescent="0.55000000000000004">
      <c r="A206">
        <v>98</v>
      </c>
      <c r="B206">
        <f>estuary_data!Y99*weights!$C$9</f>
        <v>6.5498075008414536E-2</v>
      </c>
      <c r="C206">
        <f>estuary_data!X99*weights!$C$10</f>
        <v>0.21918929947801802</v>
      </c>
      <c r="D206">
        <f>SUM(B206:C206)</f>
        <v>0.28468737448643255</v>
      </c>
      <c r="E206" s="2" t="str">
        <f>IF(D206&gt;$H$6/10*9,"1",IF(D206&gt;$H$6/10*8,"2",IF(D206&gt;$H$6/10*7,"3",IF(D206&gt;$H$6/10*6,"4",IF(D206&gt;$H$6/10*5,"5",IF(D206&gt;$H$6/10*4,"6",IF(D206&gt;$H$6/10*3,"7",IF(D206&gt;$H$6/10*2,"8",IF(D206&gt;$H$6/10,"9","10")))))))))</f>
        <v>8</v>
      </c>
    </row>
    <row r="207" spans="1:5" x14ac:dyDescent="0.55000000000000004">
      <c r="A207">
        <v>106</v>
      </c>
      <c r="B207">
        <f>estuary_data!Y107*weights!$C$9</f>
        <v>5.3489151643703506E-2</v>
      </c>
      <c r="C207">
        <f>estuary_data!X107*weights!$C$10</f>
        <v>0.14787390949882115</v>
      </c>
      <c r="D207">
        <f>SUM(B207:C207)</f>
        <v>0.20136306114252467</v>
      </c>
      <c r="E207" s="2" t="str">
        <f>IF(D207&gt;$H$6/10*9,"1",IF(D207&gt;$H$6/10*8,"2",IF(D207&gt;$H$6/10*7,"3",IF(D207&gt;$H$6/10*6,"4",IF(D207&gt;$H$6/10*5,"5",IF(D207&gt;$H$6/10*4,"6",IF(D207&gt;$H$6/10*3,"7",IF(D207&gt;$H$6/10*2,"8",IF(D207&gt;$H$6/10,"9","10")))))))))</f>
        <v>8</v>
      </c>
    </row>
    <row r="208" spans="1:5" x14ac:dyDescent="0.55000000000000004">
      <c r="A208">
        <v>125</v>
      </c>
      <c r="B208">
        <f>estuary_data!Y126*weights!$C$9</f>
        <v>6.1235558019742113E-2</v>
      </c>
      <c r="C208">
        <f>estuary_data!X126*weights!$C$10</f>
        <v>0.14485431017400963</v>
      </c>
      <c r="D208">
        <f>SUM(B208:C208)</f>
        <v>0.20608986819375175</v>
      </c>
      <c r="E208" s="2" t="str">
        <f>IF(D208&gt;$H$6/10*9,"1",IF(D208&gt;$H$6/10*8,"2",IF(D208&gt;$H$6/10*7,"3",IF(D208&gt;$H$6/10*6,"4",IF(D208&gt;$H$6/10*5,"5",IF(D208&gt;$H$6/10*4,"6",IF(D208&gt;$H$6/10*3,"7",IF(D208&gt;$H$6/10*2,"8",IF(D208&gt;$H$6/10,"9","10")))))))))</f>
        <v>8</v>
      </c>
    </row>
    <row r="209" spans="1:5" x14ac:dyDescent="0.55000000000000004">
      <c r="A209">
        <v>132</v>
      </c>
      <c r="B209">
        <f>estuary_data!Y133*weights!$C$9</f>
        <v>5.1098368564160376E-2</v>
      </c>
      <c r="C209">
        <f>estuary_data!X133*weights!$C$10</f>
        <v>0.15664750212882969</v>
      </c>
      <c r="D209">
        <f>SUM(B209:C209)</f>
        <v>0.20774587069299005</v>
      </c>
      <c r="E209" s="2" t="str">
        <f>IF(D209&gt;$H$6/10*9,"1",IF(D209&gt;$H$6/10*8,"2",IF(D209&gt;$H$6/10*7,"3",IF(D209&gt;$H$6/10*6,"4",IF(D209&gt;$H$6/10*5,"5",IF(D209&gt;$H$6/10*4,"6",IF(D209&gt;$H$6/10*3,"7",IF(D209&gt;$H$6/10*2,"8",IF(D209&gt;$H$6/10,"9","10")))))))))</f>
        <v>8</v>
      </c>
    </row>
    <row r="210" spans="1:5" x14ac:dyDescent="0.55000000000000004">
      <c r="A210">
        <v>145</v>
      </c>
      <c r="B210">
        <f>estuary_data!Y146*weights!$C$9</f>
        <v>6.3531611623828865E-2</v>
      </c>
      <c r="C210">
        <f>estuary_data!X146*weights!$C$10</f>
        <v>0.15115705535178028</v>
      </c>
      <c r="D210">
        <f>SUM(B210:C210)</f>
        <v>0.21468866697560915</v>
      </c>
      <c r="E210" s="2" t="str">
        <f>IF(D210&gt;$H$6/10*9,"1",IF(D210&gt;$H$6/10*8,"2",IF(D210&gt;$H$6/10*7,"3",IF(D210&gt;$H$6/10*6,"4",IF(D210&gt;$H$6/10*5,"5",IF(D210&gt;$H$6/10*4,"6",IF(D210&gt;$H$6/10*3,"7",IF(D210&gt;$H$6/10*2,"8",IF(D210&gt;$H$6/10,"9","10")))))))))</f>
        <v>8</v>
      </c>
    </row>
    <row r="211" spans="1:5" x14ac:dyDescent="0.55000000000000004">
      <c r="A211">
        <v>181</v>
      </c>
      <c r="B211">
        <f>estuary_data!Y182*weights!$C$9</f>
        <v>6.5351150761931667E-2</v>
      </c>
      <c r="C211">
        <f>estuary_data!X182*weights!$C$10</f>
        <v>0.18442314778878396</v>
      </c>
      <c r="D211">
        <f>SUM(B211:C211)</f>
        <v>0.24977429855071565</v>
      </c>
      <c r="E211" s="2" t="str">
        <f>IF(D211&gt;$H$6/10*9,"1",IF(D211&gt;$H$6/10*8,"2",IF(D211&gt;$H$6/10*7,"3",IF(D211&gt;$H$6/10*6,"4",IF(D211&gt;$H$6/10*5,"5",IF(D211&gt;$H$6/10*4,"6",IF(D211&gt;$H$6/10*3,"7",IF(D211&gt;$H$6/10*2,"8",IF(D211&gt;$H$6/10,"9","10")))))))))</f>
        <v>8</v>
      </c>
    </row>
    <row r="212" spans="1:5" x14ac:dyDescent="0.55000000000000004">
      <c r="A212">
        <v>198</v>
      </c>
      <c r="B212">
        <f>estuary_data!Y199*weights!$C$9</f>
        <v>6.0291193103277164E-2</v>
      </c>
      <c r="C212">
        <f>estuary_data!X199*weights!$C$10</f>
        <v>0.14203974145725706</v>
      </c>
      <c r="D212">
        <f>SUM(B212:C212)</f>
        <v>0.20233093456053422</v>
      </c>
      <c r="E212" s="2" t="str">
        <f>IF(D212&gt;$H$6/10*9,"1",IF(D212&gt;$H$6/10*8,"2",IF(D212&gt;$H$6/10*7,"3",IF(D212&gt;$H$6/10*6,"4",IF(D212&gt;$H$6/10*5,"5",IF(D212&gt;$H$6/10*4,"6",IF(D212&gt;$H$6/10*3,"7",IF(D212&gt;$H$6/10*2,"8",IF(D212&gt;$H$6/10,"9","10")))))))))</f>
        <v>8</v>
      </c>
    </row>
    <row r="213" spans="1:5" x14ac:dyDescent="0.55000000000000004">
      <c r="A213">
        <v>199</v>
      </c>
      <c r="B213">
        <f>estuary_data!Y200*weights!$C$9</f>
        <v>6.4042889678530474E-2</v>
      </c>
      <c r="C213">
        <f>estuary_data!X200*weights!$C$10</f>
        <v>0.16118088079143933</v>
      </c>
      <c r="D213">
        <f>SUM(B213:C213)</f>
        <v>0.2252237704699698</v>
      </c>
      <c r="E213" s="2" t="str">
        <f>IF(D213&gt;$H$6/10*9,"1",IF(D213&gt;$H$6/10*8,"2",IF(D213&gt;$H$6/10*7,"3",IF(D213&gt;$H$6/10*6,"4",IF(D213&gt;$H$6/10*5,"5",IF(D213&gt;$H$6/10*4,"6",IF(D213&gt;$H$6/10*3,"7",IF(D213&gt;$H$6/10*2,"8",IF(D213&gt;$H$6/10,"9","10")))))))))</f>
        <v>8</v>
      </c>
    </row>
    <row r="214" spans="1:5" x14ac:dyDescent="0.55000000000000004">
      <c r="A214">
        <v>228</v>
      </c>
      <c r="B214">
        <f>estuary_data!Y229*weights!$C$9</f>
        <v>4.3618396428637685E-2</v>
      </c>
      <c r="C214">
        <f>estuary_data!X229*weights!$C$10</f>
        <v>0.19065511583153827</v>
      </c>
      <c r="D214">
        <f>SUM(B214:C214)</f>
        <v>0.23427351226017595</v>
      </c>
      <c r="E214" s="2" t="str">
        <f>IF(D214&gt;$H$6/10*9,"1",IF(D214&gt;$H$6/10*8,"2",IF(D214&gt;$H$6/10*7,"3",IF(D214&gt;$H$6/10*6,"4",IF(D214&gt;$H$6/10*5,"5",IF(D214&gt;$H$6/10*4,"6",IF(D214&gt;$H$6/10*3,"7",IF(D214&gt;$H$6/10*2,"8",IF(D214&gt;$H$6/10,"9","10")))))))))</f>
        <v>8</v>
      </c>
    </row>
    <row r="215" spans="1:5" x14ac:dyDescent="0.55000000000000004">
      <c r="A215">
        <v>292</v>
      </c>
      <c r="B215">
        <f>estuary_data!Y293*weights!$C$9</f>
        <v>4.9958133072901659E-2</v>
      </c>
      <c r="C215">
        <f>estuary_data!X293*weights!$C$10</f>
        <v>0.19881971244845001</v>
      </c>
      <c r="D215">
        <f>SUM(B215:C215)</f>
        <v>0.24877784552135168</v>
      </c>
      <c r="E215" s="2" t="str">
        <f>IF(D215&gt;$H$6/10*9,"1",IF(D215&gt;$H$6/10*8,"2",IF(D215&gt;$H$6/10*7,"3",IF(D215&gt;$H$6/10*6,"4",IF(D215&gt;$H$6/10*5,"5",IF(D215&gt;$H$6/10*4,"6",IF(D215&gt;$H$6/10*3,"7",IF(D215&gt;$H$6/10*2,"8",IF(D215&gt;$H$6/10,"9","10")))))))))</f>
        <v>8</v>
      </c>
    </row>
    <row r="216" spans="1:5" x14ac:dyDescent="0.55000000000000004">
      <c r="A216">
        <v>340</v>
      </c>
      <c r="B216">
        <f>estuary_data!Y341*weights!$C$9</f>
        <v>4.2881271583543226E-2</v>
      </c>
      <c r="C216">
        <f>estuary_data!X341*weights!$C$10</f>
        <v>0.17601145431235132</v>
      </c>
      <c r="D216">
        <f>SUM(B216:C216)</f>
        <v>0.21889272589589454</v>
      </c>
      <c r="E216" s="2" t="str">
        <f>IF(D216&gt;$H$6/10*9,"1",IF(D216&gt;$H$6/10*8,"2",IF(D216&gt;$H$6/10*7,"3",IF(D216&gt;$H$6/10*6,"4",IF(D216&gt;$H$6/10*5,"5",IF(D216&gt;$H$6/10*4,"6",IF(D216&gt;$H$6/10*3,"7",IF(D216&gt;$H$6/10*2,"8",IF(D216&gt;$H$6/10,"9","10")))))))))</f>
        <v>8</v>
      </c>
    </row>
    <row r="217" spans="1:5" x14ac:dyDescent="0.55000000000000004">
      <c r="A217">
        <v>408</v>
      </c>
      <c r="B217">
        <f>estuary_data!Y409*weights!$C$9</f>
        <v>5.2897380675300816E-2</v>
      </c>
      <c r="C217">
        <f>estuary_data!X409*weights!$C$10</f>
        <v>0.1873988572738296</v>
      </c>
      <c r="D217">
        <f>SUM(B217:C217)</f>
        <v>0.24029623794913041</v>
      </c>
      <c r="E217" s="2" t="str">
        <f>IF(D217&gt;$H$6/10*9,"1",IF(D217&gt;$H$6/10*8,"2",IF(D217&gt;$H$6/10*7,"3",IF(D217&gt;$H$6/10*6,"4",IF(D217&gt;$H$6/10*5,"5",IF(D217&gt;$H$6/10*4,"6",IF(D217&gt;$H$6/10*3,"7",IF(D217&gt;$H$6/10*2,"8",IF(D217&gt;$H$6/10,"9","10")))))))))</f>
        <v>8</v>
      </c>
    </row>
    <row r="218" spans="1:5" x14ac:dyDescent="0.55000000000000004">
      <c r="A218">
        <v>409</v>
      </c>
      <c r="B218">
        <f>estuary_data!Y410*weights!$C$9</f>
        <v>4.4995762968839295E-2</v>
      </c>
      <c r="C218">
        <f>estuary_data!X410*weights!$C$10</f>
        <v>0.1694507532255578</v>
      </c>
      <c r="D218">
        <f>SUM(B218:C218)</f>
        <v>0.21444651619439709</v>
      </c>
      <c r="E218" s="2" t="str">
        <f>IF(D218&gt;$H$6/10*9,"1",IF(D218&gt;$H$6/10*8,"2",IF(D218&gt;$H$6/10*7,"3",IF(D218&gt;$H$6/10*6,"4",IF(D218&gt;$H$6/10*5,"5",IF(D218&gt;$H$6/10*4,"6",IF(D218&gt;$H$6/10*3,"7",IF(D218&gt;$H$6/10*2,"8",IF(D218&gt;$H$6/10,"9","10")))))))))</f>
        <v>8</v>
      </c>
    </row>
    <row r="219" spans="1:5" x14ac:dyDescent="0.55000000000000004">
      <c r="A219">
        <v>1000</v>
      </c>
      <c r="B219">
        <f>estuary_data!Y447*weights!$C$9</f>
        <v>5.693314455353448E-2</v>
      </c>
      <c r="C219">
        <f>estuary_data!X447*weights!$C$10</f>
        <v>0.15008040495104641</v>
      </c>
      <c r="D219">
        <f>SUM(B219:C219)</f>
        <v>0.2070135495045809</v>
      </c>
      <c r="E219" s="2" t="str">
        <f>IF(D219&gt;$H$6/10*9,"1",IF(D219&gt;$H$6/10*8,"2",IF(D219&gt;$H$6/10*7,"3",IF(D219&gt;$H$6/10*6,"4",IF(D219&gt;$H$6/10*5,"5",IF(D219&gt;$H$6/10*4,"6",IF(D219&gt;$H$6/10*3,"7",IF(D219&gt;$H$6/10*2,"8",IF(D219&gt;$H$6/10,"9","10")))))))))</f>
        <v>8</v>
      </c>
    </row>
    <row r="220" spans="1:5" x14ac:dyDescent="0.55000000000000004">
      <c r="A220">
        <v>1009</v>
      </c>
      <c r="B220">
        <f>estuary_data!Y456*weights!$C$9</f>
        <v>4.1924621840889097E-2</v>
      </c>
      <c r="C220">
        <f>estuary_data!X456*weights!$C$10</f>
        <v>0.1778019924944037</v>
      </c>
      <c r="D220">
        <f>SUM(B220:C220)</f>
        <v>0.21972661433529281</v>
      </c>
      <c r="E220" s="2" t="str">
        <f>IF(D220&gt;$H$6/10*9,"1",IF(D220&gt;$H$6/10*8,"2",IF(D220&gt;$H$6/10*7,"3",IF(D220&gt;$H$6/10*6,"4",IF(D220&gt;$H$6/10*5,"5",IF(D220&gt;$H$6/10*4,"6",IF(D220&gt;$H$6/10*3,"7",IF(D220&gt;$H$6/10*2,"8",IF(D220&gt;$H$6/10,"9","10")))))))))</f>
        <v>8</v>
      </c>
    </row>
    <row r="221" spans="1:5" x14ac:dyDescent="0.55000000000000004">
      <c r="A221">
        <v>1014</v>
      </c>
      <c r="B221">
        <f>estuary_data!Y461*weights!$C$9</f>
        <v>4.6713030342296034E-2</v>
      </c>
      <c r="C221">
        <f>estuary_data!X461*weights!$C$10</f>
        <v>0.19620025608139227</v>
      </c>
      <c r="D221">
        <f>SUM(B221:C221)</f>
        <v>0.24291328642368831</v>
      </c>
      <c r="E221" s="2" t="str">
        <f>IF(D221&gt;$H$6/10*9,"1",IF(D221&gt;$H$6/10*8,"2",IF(D221&gt;$H$6/10*7,"3",IF(D221&gt;$H$6/10*6,"4",IF(D221&gt;$H$6/10*5,"5",IF(D221&gt;$H$6/10*4,"6",IF(D221&gt;$H$6/10*3,"7",IF(D221&gt;$H$6/10*2,"8",IF(D221&gt;$H$6/10,"9","10")))))))))</f>
        <v>8</v>
      </c>
    </row>
    <row r="222" spans="1:5" x14ac:dyDescent="0.55000000000000004">
      <c r="A222">
        <v>1015</v>
      </c>
      <c r="B222">
        <f>estuary_data!Y462*weights!$C$9</f>
        <v>5.1520090410606595E-2</v>
      </c>
      <c r="C222">
        <f>estuary_data!X462*weights!$C$10</f>
        <v>0.15668861727911271</v>
      </c>
      <c r="D222">
        <f>SUM(B222:C222)</f>
        <v>0.2082087076897193</v>
      </c>
      <c r="E222" s="2" t="str">
        <f>IF(D222&gt;$H$6/10*9,"1",IF(D222&gt;$H$6/10*8,"2",IF(D222&gt;$H$6/10*7,"3",IF(D222&gt;$H$6/10*6,"4",IF(D222&gt;$H$6/10*5,"5",IF(D222&gt;$H$6/10*4,"6",IF(D222&gt;$H$6/10*3,"7",IF(D222&gt;$H$6/10*2,"8",IF(D222&gt;$H$6/10,"9","10")))))))))</f>
        <v>8</v>
      </c>
    </row>
    <row r="223" spans="1:5" x14ac:dyDescent="0.55000000000000004">
      <c r="A223">
        <v>1019</v>
      </c>
      <c r="B223">
        <f>estuary_data!Y466*weights!$C$9</f>
        <v>6.5067585995162519E-2</v>
      </c>
      <c r="C223">
        <f>estuary_data!X466*weights!$C$10</f>
        <v>0.21525934554070525</v>
      </c>
      <c r="D223">
        <f>SUM(B223:C223)</f>
        <v>0.28032693153586774</v>
      </c>
      <c r="E223" s="2" t="str">
        <f>IF(D223&gt;$H$6/10*9,"1",IF(D223&gt;$H$6/10*8,"2",IF(D223&gt;$H$6/10*7,"3",IF(D223&gt;$H$6/10*6,"4",IF(D223&gt;$H$6/10*5,"5",IF(D223&gt;$H$6/10*4,"6",IF(D223&gt;$H$6/10*3,"7",IF(D223&gt;$H$6/10*2,"8",IF(D223&gt;$H$6/10,"9","10")))))))))</f>
        <v>8</v>
      </c>
    </row>
    <row r="224" spans="1:5" x14ac:dyDescent="0.55000000000000004">
      <c r="A224">
        <v>1022</v>
      </c>
      <c r="B224">
        <f>estuary_data!Y469*weights!$C$9</f>
        <v>5.9576627812763759E-2</v>
      </c>
      <c r="C224">
        <f>estuary_data!X469*weights!$C$10</f>
        <v>0.21287354302992056</v>
      </c>
      <c r="D224">
        <f>SUM(B224:C224)</f>
        <v>0.2724501708426843</v>
      </c>
      <c r="E224" s="2" t="str">
        <f>IF(D224&gt;$H$6/10*9,"1",IF(D224&gt;$H$6/10*8,"2",IF(D224&gt;$H$6/10*7,"3",IF(D224&gt;$H$6/10*6,"4",IF(D224&gt;$H$6/10*5,"5",IF(D224&gt;$H$6/10*4,"6",IF(D224&gt;$H$6/10*3,"7",IF(D224&gt;$H$6/10*2,"8",IF(D224&gt;$H$6/10,"9","10")))))))))</f>
        <v>8</v>
      </c>
    </row>
    <row r="225" spans="1:5" x14ac:dyDescent="0.55000000000000004">
      <c r="A225">
        <v>1024</v>
      </c>
      <c r="B225">
        <f>estuary_data!Y471*weights!$C$9</f>
        <v>5.0286395192912559E-2</v>
      </c>
      <c r="C225">
        <f>estuary_data!X471*weights!$C$10</f>
        <v>0.16735410480447135</v>
      </c>
      <c r="D225">
        <f>SUM(B225:C225)</f>
        <v>0.21764049999738391</v>
      </c>
      <c r="E225" s="2" t="str">
        <f>IF(D225&gt;$H$6/10*9,"1",IF(D225&gt;$H$6/10*8,"2",IF(D225&gt;$H$6/10*7,"3",IF(D225&gt;$H$6/10*6,"4",IF(D225&gt;$H$6/10*5,"5",IF(D225&gt;$H$6/10*4,"6",IF(D225&gt;$H$6/10*3,"7",IF(D225&gt;$H$6/10*2,"8",IF(D225&gt;$H$6/10,"9","10")))))))))</f>
        <v>8</v>
      </c>
    </row>
    <row r="226" spans="1:5" x14ac:dyDescent="0.55000000000000004">
      <c r="A226">
        <v>1027</v>
      </c>
      <c r="B226">
        <f>estuary_data!Y474*weights!$C$9</f>
        <v>5.1279046892726582E-2</v>
      </c>
      <c r="C226">
        <f>estuary_data!X474*weights!$C$10</f>
        <v>0.17324541366455576</v>
      </c>
      <c r="D226">
        <f>SUM(B226:C226)</f>
        <v>0.22452446055728234</v>
      </c>
      <c r="E226" s="2" t="str">
        <f>IF(D226&gt;$H$6/10*9,"1",IF(D226&gt;$H$6/10*8,"2",IF(D226&gt;$H$6/10*7,"3",IF(D226&gt;$H$6/10*6,"4",IF(D226&gt;$H$6/10*5,"5",IF(D226&gt;$H$6/10*4,"6",IF(D226&gt;$H$6/10*3,"7",IF(D226&gt;$H$6/10*2,"8",IF(D226&gt;$H$6/10,"9","10")))))))))</f>
        <v>8</v>
      </c>
    </row>
    <row r="227" spans="1:5" x14ac:dyDescent="0.55000000000000004">
      <c r="A227">
        <v>1028</v>
      </c>
      <c r="B227">
        <f>estuary_data!Y475*weights!$C$9</f>
        <v>5.2136772007017322E-2</v>
      </c>
      <c r="C227">
        <f>estuary_data!X475*weights!$C$10</f>
        <v>0.17315073914585499</v>
      </c>
      <c r="D227">
        <f>SUM(B227:C227)</f>
        <v>0.22528751115287232</v>
      </c>
      <c r="E227" s="2" t="str">
        <f>IF(D227&gt;$H$6/10*9,"1",IF(D227&gt;$H$6/10*8,"2",IF(D227&gt;$H$6/10*7,"3",IF(D227&gt;$H$6/10*6,"4",IF(D227&gt;$H$6/10*5,"5",IF(D227&gt;$H$6/10*4,"6",IF(D227&gt;$H$6/10*3,"7",IF(D227&gt;$H$6/10*2,"8",IF(D227&gt;$H$6/10,"9","10")))))))))</f>
        <v>8</v>
      </c>
    </row>
    <row r="228" spans="1:5" x14ac:dyDescent="0.55000000000000004">
      <c r="A228">
        <v>1029</v>
      </c>
      <c r="B228">
        <f>estuary_data!Y476*weights!$C$9</f>
        <v>6.0301476805950084E-2</v>
      </c>
      <c r="C228">
        <f>estuary_data!X476*weights!$C$10</f>
        <v>0.19656776131915274</v>
      </c>
      <c r="D228">
        <f>SUM(B228:C228)</f>
        <v>0.25686923812510282</v>
      </c>
      <c r="E228" s="2" t="str">
        <f>IF(D228&gt;$H$6/10*9,"1",IF(D228&gt;$H$6/10*8,"2",IF(D228&gt;$H$6/10*7,"3",IF(D228&gt;$H$6/10*6,"4",IF(D228&gt;$H$6/10*5,"5",IF(D228&gt;$H$6/10*4,"6",IF(D228&gt;$H$6/10*3,"7",IF(D228&gt;$H$6/10*2,"8",IF(D228&gt;$H$6/10,"9","10")))))))))</f>
        <v>8</v>
      </c>
    </row>
    <row r="229" spans="1:5" x14ac:dyDescent="0.55000000000000004">
      <c r="A229">
        <v>1030</v>
      </c>
      <c r="B229">
        <f>estuary_data!Y477*weights!$C$9</f>
        <v>5.23684112311893E-2</v>
      </c>
      <c r="C229">
        <f>estuary_data!X477*weights!$C$10</f>
        <v>0.16932112638291139</v>
      </c>
      <c r="D229">
        <f>SUM(B229:C229)</f>
        <v>0.22168953761410068</v>
      </c>
      <c r="E229" s="2" t="str">
        <f>IF(D229&gt;$H$6/10*9,"1",IF(D229&gt;$H$6/10*8,"2",IF(D229&gt;$H$6/10*7,"3",IF(D229&gt;$H$6/10*6,"4",IF(D229&gt;$H$6/10*5,"5",IF(D229&gt;$H$6/10*4,"6",IF(D229&gt;$H$6/10*3,"7",IF(D229&gt;$H$6/10*2,"8",IF(D229&gt;$H$6/10,"9","10")))))))))</f>
        <v>8</v>
      </c>
    </row>
    <row r="230" spans="1:5" x14ac:dyDescent="0.55000000000000004">
      <c r="A230">
        <v>1035</v>
      </c>
      <c r="B230">
        <f>estuary_data!Y482*weights!$C$9</f>
        <v>4.8327056822855735E-2</v>
      </c>
      <c r="C230">
        <f>estuary_data!X482*weights!$C$10</f>
        <v>0.15372925049603128</v>
      </c>
      <c r="D230">
        <f>SUM(B230:C230)</f>
        <v>0.20205630731888702</v>
      </c>
      <c r="E230" s="2" t="str">
        <f>IF(D230&gt;$H$6/10*9,"1",IF(D230&gt;$H$6/10*8,"2",IF(D230&gt;$H$6/10*7,"3",IF(D230&gt;$H$6/10*6,"4",IF(D230&gt;$H$6/10*5,"5",IF(D230&gt;$H$6/10*4,"6",IF(D230&gt;$H$6/10*3,"7",IF(D230&gt;$H$6/10*2,"8",IF(D230&gt;$H$6/10,"9","10")))))))))</f>
        <v>8</v>
      </c>
    </row>
    <row r="231" spans="1:5" x14ac:dyDescent="0.55000000000000004">
      <c r="A231">
        <v>1036</v>
      </c>
      <c r="B231">
        <f>estuary_data!Y483*weights!$C$9</f>
        <v>5.3330157953774909E-2</v>
      </c>
      <c r="C231">
        <f>estuary_data!X483*weights!$C$10</f>
        <v>0.18477859285739567</v>
      </c>
      <c r="D231">
        <f>SUM(B231:C231)</f>
        <v>0.23810875081117058</v>
      </c>
      <c r="E231" s="2" t="str">
        <f>IF(D231&gt;$H$6/10*9,"1",IF(D231&gt;$H$6/10*8,"2",IF(D231&gt;$H$6/10*7,"3",IF(D231&gt;$H$6/10*6,"4",IF(D231&gt;$H$6/10*5,"5",IF(D231&gt;$H$6/10*4,"6",IF(D231&gt;$H$6/10*3,"7",IF(D231&gt;$H$6/10*2,"8",IF(D231&gt;$H$6/10,"9","10")))))))))</f>
        <v>8</v>
      </c>
    </row>
    <row r="232" spans="1:5" x14ac:dyDescent="0.55000000000000004">
      <c r="A232">
        <v>1045</v>
      </c>
      <c r="B232">
        <f>estuary_data!Y492*weights!$C$9</f>
        <v>4.4083774682303026E-2</v>
      </c>
      <c r="C232">
        <f>estuary_data!X492*weights!$C$10</f>
        <v>0.17235561856032808</v>
      </c>
      <c r="D232">
        <f>SUM(B232:C232)</f>
        <v>0.21643939324263112</v>
      </c>
      <c r="E232" s="2" t="str">
        <f>IF(D232&gt;$H$6/10*9,"1",IF(D232&gt;$H$6/10*8,"2",IF(D232&gt;$H$6/10*7,"3",IF(D232&gt;$H$6/10*6,"4",IF(D232&gt;$H$6/10*5,"5",IF(D232&gt;$H$6/10*4,"6",IF(D232&gt;$H$6/10*3,"7",IF(D232&gt;$H$6/10*2,"8",IF(D232&gt;$H$6/10,"9","10")))))))))</f>
        <v>8</v>
      </c>
    </row>
    <row r="233" spans="1:5" x14ac:dyDescent="0.55000000000000004">
      <c r="A233">
        <v>1046</v>
      </c>
      <c r="B233">
        <f>estuary_data!Y493*weights!$C$9</f>
        <v>4.4786360248656912E-2</v>
      </c>
      <c r="C233">
        <f>estuary_data!X493*weights!$C$10</f>
        <v>0.16798046034721478</v>
      </c>
      <c r="D233">
        <f>SUM(B233:C233)</f>
        <v>0.21276682059587171</v>
      </c>
      <c r="E233" s="2" t="str">
        <f>IF(D233&gt;$H$6/10*9,"1",IF(D233&gt;$H$6/10*8,"2",IF(D233&gt;$H$6/10*7,"3",IF(D233&gt;$H$6/10*6,"4",IF(D233&gt;$H$6/10*5,"5",IF(D233&gt;$H$6/10*4,"6",IF(D233&gt;$H$6/10*3,"7",IF(D233&gt;$H$6/10*2,"8",IF(D233&gt;$H$6/10,"9","10")))))))))</f>
        <v>8</v>
      </c>
    </row>
    <row r="234" spans="1:5" x14ac:dyDescent="0.55000000000000004">
      <c r="A234">
        <v>1050</v>
      </c>
      <c r="B234">
        <f>estuary_data!Y497*weights!$C$9</f>
        <v>5.2248986486944669E-2</v>
      </c>
      <c r="C234">
        <f>estuary_data!X497*weights!$C$10</f>
        <v>0.16145202195271321</v>
      </c>
      <c r="D234">
        <f>SUM(B234:C234)</f>
        <v>0.21370100843965789</v>
      </c>
      <c r="E234" s="2" t="str">
        <f>IF(D234&gt;$H$6/10*9,"1",IF(D234&gt;$H$6/10*8,"2",IF(D234&gt;$H$6/10*7,"3",IF(D234&gt;$H$6/10*6,"4",IF(D234&gt;$H$6/10*5,"5",IF(D234&gt;$H$6/10*4,"6",IF(D234&gt;$H$6/10*3,"7",IF(D234&gt;$H$6/10*2,"8",IF(D234&gt;$H$6/10,"9","10")))))))))</f>
        <v>8</v>
      </c>
    </row>
    <row r="235" spans="1:5" x14ac:dyDescent="0.55000000000000004">
      <c r="A235">
        <v>1051</v>
      </c>
      <c r="B235">
        <f>estuary_data!Y498*weights!$C$9</f>
        <v>5.3472124304038686E-2</v>
      </c>
      <c r="C235">
        <f>estuary_data!X498*weights!$C$10</f>
        <v>0.15757727956770914</v>
      </c>
      <c r="D235">
        <f>SUM(B235:C235)</f>
        <v>0.21104940387174784</v>
      </c>
      <c r="E235" s="2" t="str">
        <f>IF(D235&gt;$H$6/10*9,"1",IF(D235&gt;$H$6/10*8,"2",IF(D235&gt;$H$6/10*7,"3",IF(D235&gt;$H$6/10*6,"4",IF(D235&gt;$H$6/10*5,"5",IF(D235&gt;$H$6/10*4,"6",IF(D235&gt;$H$6/10*3,"7",IF(D235&gt;$H$6/10*2,"8",IF(D235&gt;$H$6/10,"9","10")))))))))</f>
        <v>8</v>
      </c>
    </row>
    <row r="236" spans="1:5" x14ac:dyDescent="0.55000000000000004">
      <c r="A236">
        <v>1052</v>
      </c>
      <c r="B236">
        <f>estuary_data!Y499*weights!$C$9</f>
        <v>5.2248986486944669E-2</v>
      </c>
      <c r="C236">
        <f>estuary_data!X499*weights!$C$10</f>
        <v>0.16145202195271321</v>
      </c>
      <c r="D236">
        <f>SUM(B236:C236)</f>
        <v>0.21370100843965789</v>
      </c>
      <c r="E236" s="2" t="str">
        <f>IF(D236&gt;$H$6/10*9,"1",IF(D236&gt;$H$6/10*8,"2",IF(D236&gt;$H$6/10*7,"3",IF(D236&gt;$H$6/10*6,"4",IF(D236&gt;$H$6/10*5,"5",IF(D236&gt;$H$6/10*4,"6",IF(D236&gt;$H$6/10*3,"7",IF(D236&gt;$H$6/10*2,"8",IF(D236&gt;$H$6/10,"9","10")))))))))</f>
        <v>8</v>
      </c>
    </row>
    <row r="237" spans="1:5" x14ac:dyDescent="0.55000000000000004">
      <c r="A237">
        <v>1054</v>
      </c>
      <c r="B237">
        <f>estuary_data!Y501*weights!$C$9</f>
        <v>6.0332951597092295E-2</v>
      </c>
      <c r="C237">
        <f>estuary_data!X501*weights!$C$10</f>
        <v>0.15312342353144259</v>
      </c>
      <c r="D237">
        <f>SUM(B237:C237)</f>
        <v>0.21345637512853488</v>
      </c>
      <c r="E237" s="2" t="str">
        <f>IF(D237&gt;$H$6/10*9,"1",IF(D237&gt;$H$6/10*8,"2",IF(D237&gt;$H$6/10*7,"3",IF(D237&gt;$H$6/10*6,"4",IF(D237&gt;$H$6/10*5,"5",IF(D237&gt;$H$6/10*4,"6",IF(D237&gt;$H$6/10*3,"7",IF(D237&gt;$H$6/10*2,"8",IF(D237&gt;$H$6/10,"9","10")))))))))</f>
        <v>8</v>
      </c>
    </row>
    <row r="238" spans="1:5" x14ac:dyDescent="0.55000000000000004">
      <c r="A238">
        <v>1055</v>
      </c>
      <c r="B238">
        <f>estuary_data!Y502*weights!$C$9</f>
        <v>4.7345666951770241E-2</v>
      </c>
      <c r="C238">
        <f>estuary_data!X502*weights!$C$10</f>
        <v>0.1601920500216415</v>
      </c>
      <c r="D238">
        <f>SUM(B238:C238)</f>
        <v>0.20753771697341172</v>
      </c>
      <c r="E238" s="2" t="str">
        <f>IF(D238&gt;$H$6/10*9,"1",IF(D238&gt;$H$6/10*8,"2",IF(D238&gt;$H$6/10*7,"3",IF(D238&gt;$H$6/10*6,"4",IF(D238&gt;$H$6/10*5,"5",IF(D238&gt;$H$6/10*4,"6",IF(D238&gt;$H$6/10*3,"7",IF(D238&gt;$H$6/10*2,"8",IF(D238&gt;$H$6/10,"9","10")))))))))</f>
        <v>8</v>
      </c>
    </row>
    <row r="239" spans="1:5" x14ac:dyDescent="0.55000000000000004">
      <c r="A239">
        <v>1056</v>
      </c>
      <c r="B239">
        <f>estuary_data!Y503*weights!$C$9</f>
        <v>6.3929611834520922E-2</v>
      </c>
      <c r="C239">
        <f>estuary_data!X503*weights!$C$10</f>
        <v>0.19524076897384618</v>
      </c>
      <c r="D239">
        <f>SUM(B239:C239)</f>
        <v>0.25917038080836707</v>
      </c>
      <c r="E239" s="2" t="str">
        <f>IF(D239&gt;$H$6/10*9,"1",IF(D239&gt;$H$6/10*8,"2",IF(D239&gt;$H$6/10*7,"3",IF(D239&gt;$H$6/10*6,"4",IF(D239&gt;$H$6/10*5,"5",IF(D239&gt;$H$6/10*4,"6",IF(D239&gt;$H$6/10*3,"7",IF(D239&gt;$H$6/10*2,"8",IF(D239&gt;$H$6/10,"9","10")))))))))</f>
        <v>8</v>
      </c>
    </row>
    <row r="240" spans="1:5" x14ac:dyDescent="0.55000000000000004">
      <c r="A240">
        <v>1061</v>
      </c>
      <c r="B240">
        <f>estuary_data!Y508*weights!$C$9</f>
        <v>5.6182563850320631E-2</v>
      </c>
      <c r="C240">
        <f>estuary_data!X508*weights!$C$10</f>
        <v>0.17620946636076248</v>
      </c>
      <c r="D240">
        <f>SUM(B240:C240)</f>
        <v>0.23239203021108312</v>
      </c>
      <c r="E240" s="2" t="str">
        <f>IF(D240&gt;$H$6/10*9,"1",IF(D240&gt;$H$6/10*8,"2",IF(D240&gt;$H$6/10*7,"3",IF(D240&gt;$H$6/10*6,"4",IF(D240&gt;$H$6/10*5,"5",IF(D240&gt;$H$6/10*4,"6",IF(D240&gt;$H$6/10*3,"7",IF(D240&gt;$H$6/10*2,"8",IF(D240&gt;$H$6/10,"9","10")))))))))</f>
        <v>8</v>
      </c>
    </row>
    <row r="241" spans="1:5" x14ac:dyDescent="0.55000000000000004">
      <c r="A241">
        <v>1062</v>
      </c>
      <c r="B241">
        <f>estuary_data!Y509*weights!$C$9</f>
        <v>5.6895469016471328E-2</v>
      </c>
      <c r="C241">
        <f>estuary_data!X509*weights!$C$10</f>
        <v>0.16764414169133388</v>
      </c>
      <c r="D241">
        <f>SUM(B241:C241)</f>
        <v>0.2245396107078052</v>
      </c>
      <c r="E241" s="2" t="str">
        <f>IF(D241&gt;$H$6/10*9,"1",IF(D241&gt;$H$6/10*8,"2",IF(D241&gt;$H$6/10*7,"3",IF(D241&gt;$H$6/10*6,"4",IF(D241&gt;$H$6/10*5,"5",IF(D241&gt;$H$6/10*4,"6",IF(D241&gt;$H$6/10*3,"7",IF(D241&gt;$H$6/10*2,"8",IF(D241&gt;$H$6/10,"9","10")))))))))</f>
        <v>8</v>
      </c>
    </row>
    <row r="242" spans="1:5" x14ac:dyDescent="0.55000000000000004">
      <c r="A242">
        <v>1064</v>
      </c>
      <c r="B242">
        <f>estuary_data!Y511*weights!$C$9</f>
        <v>5.0865316014233615E-2</v>
      </c>
      <c r="C242">
        <f>estuary_data!X511*weights!$C$10</f>
        <v>0.15713693260944694</v>
      </c>
      <c r="D242">
        <f>SUM(B242:C242)</f>
        <v>0.20800224862368055</v>
      </c>
      <c r="E242" s="2" t="str">
        <f>IF(D242&gt;$H$6/10*9,"1",IF(D242&gt;$H$6/10*8,"2",IF(D242&gt;$H$6/10*7,"3",IF(D242&gt;$H$6/10*6,"4",IF(D242&gt;$H$6/10*5,"5",IF(D242&gt;$H$6/10*4,"6",IF(D242&gt;$H$6/10*3,"7",IF(D242&gt;$H$6/10*2,"8",IF(D242&gt;$H$6/10,"9","10")))))))))</f>
        <v>8</v>
      </c>
    </row>
    <row r="243" spans="1:5" x14ac:dyDescent="0.55000000000000004">
      <c r="A243">
        <v>1078</v>
      </c>
      <c r="B243">
        <f>estuary_data!Y525*weights!$C$9</f>
        <v>5.6436645963420941E-2</v>
      </c>
      <c r="C243">
        <f>estuary_data!X525*weights!$C$10</f>
        <v>0.21140236735441234</v>
      </c>
      <c r="D243">
        <f>SUM(B243:C243)</f>
        <v>0.26783901331783327</v>
      </c>
      <c r="E243" s="2" t="str">
        <f>IF(D243&gt;$H$6/10*9,"1",IF(D243&gt;$H$6/10*8,"2",IF(D243&gt;$H$6/10*7,"3",IF(D243&gt;$H$6/10*6,"4",IF(D243&gt;$H$6/10*5,"5",IF(D243&gt;$H$6/10*4,"6",IF(D243&gt;$H$6/10*3,"7",IF(D243&gt;$H$6/10*2,"8",IF(D243&gt;$H$6/10,"9","10")))))))))</f>
        <v>8</v>
      </c>
    </row>
    <row r="244" spans="1:5" x14ac:dyDescent="0.55000000000000004">
      <c r="A244">
        <v>1080</v>
      </c>
      <c r="B244">
        <f>estuary_data!Y527*weights!$C$9</f>
        <v>5.1008727106116557E-2</v>
      </c>
      <c r="C244">
        <f>estuary_data!X527*weights!$C$10</f>
        <v>0.17092096877860249</v>
      </c>
      <c r="D244">
        <f>SUM(B244:C244)</f>
        <v>0.22192969588471906</v>
      </c>
      <c r="E244" s="2" t="str">
        <f>IF(D244&gt;$H$6/10*9,"1",IF(D244&gt;$H$6/10*8,"2",IF(D244&gt;$H$6/10*7,"3",IF(D244&gt;$H$6/10*6,"4",IF(D244&gt;$H$6/10*5,"5",IF(D244&gt;$H$6/10*4,"6",IF(D244&gt;$H$6/10*3,"7",IF(D244&gt;$H$6/10*2,"8",IF(D244&gt;$H$6/10,"9","10")))))))))</f>
        <v>8</v>
      </c>
    </row>
    <row r="245" spans="1:5" x14ac:dyDescent="0.55000000000000004">
      <c r="A245">
        <v>1081</v>
      </c>
      <c r="B245">
        <f>estuary_data!Y528*weights!$C$9</f>
        <v>4.5569829080529679E-2</v>
      </c>
      <c r="C245">
        <f>estuary_data!X528*weights!$C$10</f>
        <v>0.16231289610632474</v>
      </c>
      <c r="D245">
        <f>SUM(B245:C245)</f>
        <v>0.20788272518685441</v>
      </c>
      <c r="E245" s="2" t="str">
        <f>IF(D245&gt;$H$6/10*9,"1",IF(D245&gt;$H$6/10*8,"2",IF(D245&gt;$H$6/10*7,"3",IF(D245&gt;$H$6/10*6,"4",IF(D245&gt;$H$6/10*5,"5",IF(D245&gt;$H$6/10*4,"6",IF(D245&gt;$H$6/10*3,"7",IF(D245&gt;$H$6/10*2,"8",IF(D245&gt;$H$6/10,"9","10")))))))))</f>
        <v>8</v>
      </c>
    </row>
    <row r="246" spans="1:5" x14ac:dyDescent="0.55000000000000004">
      <c r="A246">
        <v>1083</v>
      </c>
      <c r="B246">
        <f>estuary_data!Y530*weights!$C$9</f>
        <v>4.7939681313990061E-2</v>
      </c>
      <c r="C246">
        <f>estuary_data!X530*weights!$C$10</f>
        <v>0.16641220920246871</v>
      </c>
      <c r="D246">
        <f>SUM(B246:C246)</f>
        <v>0.21435189051645878</v>
      </c>
      <c r="E246" s="2" t="str">
        <f>IF(D246&gt;$H$6/10*9,"1",IF(D246&gt;$H$6/10*8,"2",IF(D246&gt;$H$6/10*7,"3",IF(D246&gt;$H$6/10*6,"4",IF(D246&gt;$H$6/10*5,"5",IF(D246&gt;$H$6/10*4,"6",IF(D246&gt;$H$6/10*3,"7",IF(D246&gt;$H$6/10*2,"8",IF(D246&gt;$H$6/10,"9","10")))))))))</f>
        <v>8</v>
      </c>
    </row>
    <row r="247" spans="1:5" x14ac:dyDescent="0.55000000000000004">
      <c r="A247">
        <v>1085</v>
      </c>
      <c r="B247">
        <f>estuary_data!Y532*weights!$C$9</f>
        <v>4.2516078744743009E-2</v>
      </c>
      <c r="C247">
        <f>estuary_data!X532*weights!$C$10</f>
        <v>0.15759133730708422</v>
      </c>
      <c r="D247">
        <f>SUM(B247:C247)</f>
        <v>0.20010741605182722</v>
      </c>
      <c r="E247" s="2" t="str">
        <f>IF(D247&gt;$H$6/10*9,"1",IF(D247&gt;$H$6/10*8,"2",IF(D247&gt;$H$6/10*7,"3",IF(D247&gt;$H$6/10*6,"4",IF(D247&gt;$H$6/10*5,"5",IF(D247&gt;$H$6/10*4,"6",IF(D247&gt;$H$6/10*3,"7",IF(D247&gt;$H$6/10*2,"8",IF(D247&gt;$H$6/10,"9","10")))))))))</f>
        <v>8</v>
      </c>
    </row>
    <row r="248" spans="1:5" x14ac:dyDescent="0.55000000000000004">
      <c r="A248">
        <v>1088</v>
      </c>
      <c r="B248">
        <f>estuary_data!Y535*weights!$C$9</f>
        <v>5.4367865942784296E-2</v>
      </c>
      <c r="C248">
        <f>estuary_data!X535*weights!$C$10</f>
        <v>0.16822903669745795</v>
      </c>
      <c r="D248">
        <f>SUM(B248:C248)</f>
        <v>0.22259690264024223</v>
      </c>
      <c r="E248" s="2" t="str">
        <f>IF(D248&gt;$H$6/10*9,"1",IF(D248&gt;$H$6/10*8,"2",IF(D248&gt;$H$6/10*7,"3",IF(D248&gt;$H$6/10*6,"4",IF(D248&gt;$H$6/10*5,"5",IF(D248&gt;$H$6/10*4,"6",IF(D248&gt;$H$6/10*3,"7",IF(D248&gt;$H$6/10*2,"8",IF(D248&gt;$H$6/10,"9","10")))))))))</f>
        <v>8</v>
      </c>
    </row>
    <row r="249" spans="1:5" x14ac:dyDescent="0.55000000000000004">
      <c r="A249">
        <v>1089</v>
      </c>
      <c r="B249">
        <f>estuary_data!Y536*weights!$C$9</f>
        <v>4.2146452952232648E-2</v>
      </c>
      <c r="C249">
        <f>estuary_data!X536*weights!$C$10</f>
        <v>0.17448846682018562</v>
      </c>
      <c r="D249">
        <f>SUM(B249:C249)</f>
        <v>0.21663491977241828</v>
      </c>
      <c r="E249" s="2" t="str">
        <f>IF(D249&gt;$H$6/10*9,"1",IF(D249&gt;$H$6/10*8,"2",IF(D249&gt;$H$6/10*7,"3",IF(D249&gt;$H$6/10*6,"4",IF(D249&gt;$H$6/10*5,"5",IF(D249&gt;$H$6/10*4,"6",IF(D249&gt;$H$6/10*3,"7",IF(D249&gt;$H$6/10*2,"8",IF(D249&gt;$H$6/10,"9","10")))))))))</f>
        <v>8</v>
      </c>
    </row>
    <row r="250" spans="1:5" x14ac:dyDescent="0.55000000000000004">
      <c r="A250">
        <v>1095</v>
      </c>
      <c r="B250">
        <f>estuary_data!Y542*weights!$C$9</f>
        <v>3.9780822794522309E-2</v>
      </c>
      <c r="C250">
        <f>estuary_data!X542*weights!$C$10</f>
        <v>0.15965873743378833</v>
      </c>
      <c r="D250">
        <f>SUM(B250:C250)</f>
        <v>0.19943956022831064</v>
      </c>
      <c r="E250" s="2" t="str">
        <f>IF(D250&gt;$H$6/10*9,"1",IF(D250&gt;$H$6/10*8,"2",IF(D250&gt;$H$6/10*7,"3",IF(D250&gt;$H$6/10*6,"4",IF(D250&gt;$H$6/10*5,"5",IF(D250&gt;$H$6/10*4,"6",IF(D250&gt;$H$6/10*3,"7",IF(D250&gt;$H$6/10*2,"8",IF(D250&gt;$H$6/10,"9","10")))))))))</f>
        <v>8</v>
      </c>
    </row>
    <row r="251" spans="1:5" x14ac:dyDescent="0.55000000000000004">
      <c r="A251">
        <v>1102</v>
      </c>
      <c r="B251">
        <f>estuary_data!Y549*weights!$C$9</f>
        <v>4.3853288565023033E-2</v>
      </c>
      <c r="C251">
        <f>estuary_data!X549*weights!$C$10</f>
        <v>0.16210461010317473</v>
      </c>
      <c r="D251">
        <f>SUM(B251:C251)</f>
        <v>0.20595789866819775</v>
      </c>
      <c r="E251" s="2" t="str">
        <f>IF(D251&gt;$H$6/10*9,"1",IF(D251&gt;$H$6/10*8,"2",IF(D251&gt;$H$6/10*7,"3",IF(D251&gt;$H$6/10*6,"4",IF(D251&gt;$H$6/10*5,"5",IF(D251&gt;$H$6/10*4,"6",IF(D251&gt;$H$6/10*3,"7",IF(D251&gt;$H$6/10*2,"8",IF(D251&gt;$H$6/10,"9","10")))))))))</f>
        <v>8</v>
      </c>
    </row>
    <row r="252" spans="1:5" x14ac:dyDescent="0.55000000000000004">
      <c r="A252">
        <v>1110</v>
      </c>
      <c r="B252">
        <f>estuary_data!Y557*weights!$C$9</f>
        <v>4.5599311745960429E-2</v>
      </c>
      <c r="C252">
        <f>estuary_data!X557*weights!$C$10</f>
        <v>0.15621811989797904</v>
      </c>
      <c r="D252">
        <f>SUM(B252:C252)</f>
        <v>0.20181743164393948</v>
      </c>
      <c r="E252" s="2" t="str">
        <f>IF(D252&gt;$H$6/10*9,"1",IF(D252&gt;$H$6/10*8,"2",IF(D252&gt;$H$6/10*7,"3",IF(D252&gt;$H$6/10*6,"4",IF(D252&gt;$H$6/10*5,"5",IF(D252&gt;$H$6/10*4,"6",IF(D252&gt;$H$6/10*3,"7",IF(D252&gt;$H$6/10*2,"8",IF(D252&gt;$H$6/10,"9","10")))))))))</f>
        <v>8</v>
      </c>
    </row>
    <row r="253" spans="1:5" x14ac:dyDescent="0.55000000000000004">
      <c r="A253">
        <v>1111</v>
      </c>
      <c r="B253">
        <f>estuary_data!Y558*weights!$C$9</f>
        <v>4.2097259848837588E-2</v>
      </c>
      <c r="C253">
        <f>estuary_data!X558*weights!$C$10</f>
        <v>0.19641518561648966</v>
      </c>
      <c r="D253">
        <f>SUM(B253:C253)</f>
        <v>0.23851244546532724</v>
      </c>
      <c r="E253" s="2" t="str">
        <f>IF(D253&gt;$H$6/10*9,"1",IF(D253&gt;$H$6/10*8,"2",IF(D253&gt;$H$6/10*7,"3",IF(D253&gt;$H$6/10*6,"4",IF(D253&gt;$H$6/10*5,"5",IF(D253&gt;$H$6/10*4,"6",IF(D253&gt;$H$6/10*3,"7",IF(D253&gt;$H$6/10*2,"8",IF(D253&gt;$H$6/10,"9","10")))))))))</f>
        <v>8</v>
      </c>
    </row>
    <row r="254" spans="1:5" x14ac:dyDescent="0.55000000000000004">
      <c r="A254">
        <v>1113</v>
      </c>
      <c r="B254">
        <f>estuary_data!Y560*weights!$C$9</f>
        <v>5.0214382304311717E-2</v>
      </c>
      <c r="C254">
        <f>estuary_data!X560*weights!$C$10</f>
        <v>0.19483904084746143</v>
      </c>
      <c r="D254">
        <f>SUM(B254:C254)</f>
        <v>0.24505342315177314</v>
      </c>
      <c r="E254" s="2" t="str">
        <f>IF(D254&gt;$H$6/10*9,"1",IF(D254&gt;$H$6/10*8,"2",IF(D254&gt;$H$6/10*7,"3",IF(D254&gt;$H$6/10*6,"4",IF(D254&gt;$H$6/10*5,"5",IF(D254&gt;$H$6/10*4,"6",IF(D254&gt;$H$6/10*3,"7",IF(D254&gt;$H$6/10*2,"8",IF(D254&gt;$H$6/10,"9","10")))))))))</f>
        <v>8</v>
      </c>
    </row>
    <row r="255" spans="1:5" x14ac:dyDescent="0.55000000000000004">
      <c r="A255">
        <v>1135</v>
      </c>
      <c r="B255">
        <f>estuary_data!Y582*weights!$C$9</f>
        <v>4.7607919494919708E-2</v>
      </c>
      <c r="C255">
        <f>estuary_data!X582*weights!$C$10</f>
        <v>0.15192498191837003</v>
      </c>
      <c r="D255">
        <f>SUM(B255:C255)</f>
        <v>0.19953290141328975</v>
      </c>
      <c r="E255" s="2" t="str">
        <f>IF(D255&gt;$H$6/10*9,"1",IF(D255&gt;$H$6/10*8,"2",IF(D255&gt;$H$6/10*7,"3",IF(D255&gt;$H$6/10*6,"4",IF(D255&gt;$H$6/10*5,"5",IF(D255&gt;$H$6/10*4,"6",IF(D255&gt;$H$6/10*3,"7",IF(D255&gt;$H$6/10*2,"8",IF(D255&gt;$H$6/10,"9","10")))))))))</f>
        <v>8</v>
      </c>
    </row>
    <row r="256" spans="1:5" x14ac:dyDescent="0.55000000000000004">
      <c r="A256">
        <v>1138</v>
      </c>
      <c r="B256">
        <f>estuary_data!Y585*weights!$C$9</f>
        <v>6.5534570515742852E-2</v>
      </c>
      <c r="C256">
        <f>estuary_data!X585*weights!$C$10</f>
        <v>0.20811117580408284</v>
      </c>
      <c r="D256">
        <f>SUM(B256:C256)</f>
        <v>0.27364574631982569</v>
      </c>
      <c r="E256" s="2" t="str">
        <f>IF(D256&gt;$H$6/10*9,"1",IF(D256&gt;$H$6/10*8,"2",IF(D256&gt;$H$6/10*7,"3",IF(D256&gt;$H$6/10*6,"4",IF(D256&gt;$H$6/10*5,"5",IF(D256&gt;$H$6/10*4,"6",IF(D256&gt;$H$6/10*3,"7",IF(D256&gt;$H$6/10*2,"8",IF(D256&gt;$H$6/10,"9","10")))))))))</f>
        <v>8</v>
      </c>
    </row>
    <row r="257" spans="1:5" x14ac:dyDescent="0.55000000000000004">
      <c r="A257">
        <v>1139</v>
      </c>
      <c r="B257">
        <f>estuary_data!Y586*weights!$C$9</f>
        <v>6.8088012990829186E-2</v>
      </c>
      <c r="C257">
        <f>estuary_data!X586*weights!$C$10</f>
        <v>0.21194169198427024</v>
      </c>
      <c r="D257">
        <f>SUM(B257:C257)</f>
        <v>0.28002970497509944</v>
      </c>
      <c r="E257" s="2" t="str">
        <f>IF(D257&gt;$H$6/10*9,"1",IF(D257&gt;$H$6/10*8,"2",IF(D257&gt;$H$6/10*7,"3",IF(D257&gt;$H$6/10*6,"4",IF(D257&gt;$H$6/10*5,"5",IF(D257&gt;$H$6/10*4,"6",IF(D257&gt;$H$6/10*3,"7",IF(D257&gt;$H$6/10*2,"8",IF(D257&gt;$H$6/10,"9","10")))))))))</f>
        <v>8</v>
      </c>
    </row>
    <row r="258" spans="1:5" x14ac:dyDescent="0.55000000000000004">
      <c r="A258">
        <v>1140</v>
      </c>
      <c r="B258">
        <f>estuary_data!Y587*weights!$C$9</f>
        <v>6.5883588501000109E-2</v>
      </c>
      <c r="C258">
        <f>estuary_data!X587*weights!$C$10</f>
        <v>0.18044802685551581</v>
      </c>
      <c r="D258">
        <f>SUM(B258:C258)</f>
        <v>0.24633161535651593</v>
      </c>
      <c r="E258" s="2" t="str">
        <f>IF(D258&gt;$H$6/10*9,"1",IF(D258&gt;$H$6/10*8,"2",IF(D258&gt;$H$6/10*7,"3",IF(D258&gt;$H$6/10*6,"4",IF(D258&gt;$H$6/10*5,"5",IF(D258&gt;$H$6/10*4,"6",IF(D258&gt;$H$6/10*3,"7",IF(D258&gt;$H$6/10*2,"8",IF(D258&gt;$H$6/10,"9","10")))))))))</f>
        <v>8</v>
      </c>
    </row>
    <row r="259" spans="1:5" x14ac:dyDescent="0.55000000000000004">
      <c r="A259">
        <v>1142</v>
      </c>
      <c r="B259">
        <f>estuary_data!Y589*weights!$C$9</f>
        <v>6.5199353880779798E-2</v>
      </c>
      <c r="C259">
        <f>estuary_data!X589*weights!$C$10</f>
        <v>0.18393792122692826</v>
      </c>
      <c r="D259">
        <f>SUM(B259:C259)</f>
        <v>0.24913727510770806</v>
      </c>
      <c r="E259" s="2" t="str">
        <f>IF(D259&gt;$H$6/10*9,"1",IF(D259&gt;$H$6/10*8,"2",IF(D259&gt;$H$6/10*7,"3",IF(D259&gt;$H$6/10*6,"4",IF(D259&gt;$H$6/10*5,"5",IF(D259&gt;$H$6/10*4,"6",IF(D259&gt;$H$6/10*3,"7",IF(D259&gt;$H$6/10*2,"8",IF(D259&gt;$H$6/10,"9","10")))))))))</f>
        <v>8</v>
      </c>
    </row>
    <row r="260" spans="1:5" x14ac:dyDescent="0.55000000000000004">
      <c r="A260">
        <v>1143</v>
      </c>
      <c r="B260">
        <f>estuary_data!Y590*weights!$C$9</f>
        <v>7.1320620017285438E-2</v>
      </c>
      <c r="C260">
        <f>estuary_data!X590*weights!$C$10</f>
        <v>0.19003417563724156</v>
      </c>
      <c r="D260">
        <f>SUM(B260:C260)</f>
        <v>0.26135479565452702</v>
      </c>
      <c r="E260" s="2" t="str">
        <f>IF(D260&gt;$H$6/10*9,"1",IF(D260&gt;$H$6/10*8,"2",IF(D260&gt;$H$6/10*7,"3",IF(D260&gt;$H$6/10*6,"4",IF(D260&gt;$H$6/10*5,"5",IF(D260&gt;$H$6/10*4,"6",IF(D260&gt;$H$6/10*3,"7",IF(D260&gt;$H$6/10*2,"8",IF(D260&gt;$H$6/10,"9","10")))))))))</f>
        <v>8</v>
      </c>
    </row>
    <row r="261" spans="1:5" x14ac:dyDescent="0.55000000000000004">
      <c r="A261">
        <v>1144</v>
      </c>
      <c r="B261">
        <f>estuary_data!Y591*weights!$C$9</f>
        <v>7.1320620017285438E-2</v>
      </c>
      <c r="C261">
        <f>estuary_data!X591*weights!$C$10</f>
        <v>0.19003417563724156</v>
      </c>
      <c r="D261">
        <f>SUM(B261:C261)</f>
        <v>0.26135479565452702</v>
      </c>
      <c r="E261" s="2" t="str">
        <f>IF(D261&gt;$H$6/10*9,"1",IF(D261&gt;$H$6/10*8,"2",IF(D261&gt;$H$6/10*7,"3",IF(D261&gt;$H$6/10*6,"4",IF(D261&gt;$H$6/10*5,"5",IF(D261&gt;$H$6/10*4,"6",IF(D261&gt;$H$6/10*3,"7",IF(D261&gt;$H$6/10*2,"8",IF(D261&gt;$H$6/10,"9","10")))))))))</f>
        <v>8</v>
      </c>
    </row>
    <row r="262" spans="1:5" x14ac:dyDescent="0.55000000000000004">
      <c r="A262">
        <v>1145</v>
      </c>
      <c r="B262">
        <f>estuary_data!Y592*weights!$C$9</f>
        <v>6.5650921809869894E-2</v>
      </c>
      <c r="C262">
        <f>estuary_data!X592*weights!$C$10</f>
        <v>0.18452969174089656</v>
      </c>
      <c r="D262">
        <f>SUM(B262:C262)</f>
        <v>0.25018061355076648</v>
      </c>
      <c r="E262" s="2" t="str">
        <f>IF(D262&gt;$H$6/10*9,"1",IF(D262&gt;$H$6/10*8,"2",IF(D262&gt;$H$6/10*7,"3",IF(D262&gt;$H$6/10*6,"4",IF(D262&gt;$H$6/10*5,"5",IF(D262&gt;$H$6/10*4,"6",IF(D262&gt;$H$6/10*3,"7",IF(D262&gt;$H$6/10*2,"8",IF(D262&gt;$H$6/10,"9","10")))))))))</f>
        <v>8</v>
      </c>
    </row>
    <row r="263" spans="1:5" x14ac:dyDescent="0.55000000000000004">
      <c r="A263">
        <v>1146</v>
      </c>
      <c r="B263">
        <f>estuary_data!Y593*weights!$C$9</f>
        <v>6.4381929051382625E-2</v>
      </c>
      <c r="C263">
        <f>estuary_data!X593*weights!$C$10</f>
        <v>0.17616988740642059</v>
      </c>
      <c r="D263">
        <f>SUM(B263:C263)</f>
        <v>0.24055181645780321</v>
      </c>
      <c r="E263" s="2" t="str">
        <f>IF(D263&gt;$H$6/10*9,"1",IF(D263&gt;$H$6/10*8,"2",IF(D263&gt;$H$6/10*7,"3",IF(D263&gt;$H$6/10*6,"4",IF(D263&gt;$H$6/10*5,"5",IF(D263&gt;$H$6/10*4,"6",IF(D263&gt;$H$6/10*3,"7",IF(D263&gt;$H$6/10*2,"8",IF(D263&gt;$H$6/10,"9","10")))))))))</f>
        <v>8</v>
      </c>
    </row>
    <row r="264" spans="1:5" x14ac:dyDescent="0.55000000000000004">
      <c r="A264">
        <v>1147</v>
      </c>
      <c r="B264">
        <f>estuary_data!Y594*weights!$C$9</f>
        <v>6.9629407392685957E-2</v>
      </c>
      <c r="C264">
        <f>estuary_data!X594*weights!$C$10</f>
        <v>0.18547546649540297</v>
      </c>
      <c r="D264">
        <f>SUM(B264:C264)</f>
        <v>0.25510487388808895</v>
      </c>
      <c r="E264" s="2" t="str">
        <f>IF(D264&gt;$H$6/10*9,"1",IF(D264&gt;$H$6/10*8,"2",IF(D264&gt;$H$6/10*7,"3",IF(D264&gt;$H$6/10*6,"4",IF(D264&gt;$H$6/10*5,"5",IF(D264&gt;$H$6/10*4,"6",IF(D264&gt;$H$6/10*3,"7",IF(D264&gt;$H$6/10*2,"8",IF(D264&gt;$H$6/10,"9","10")))))))))</f>
        <v>8</v>
      </c>
    </row>
    <row r="265" spans="1:5" x14ac:dyDescent="0.55000000000000004">
      <c r="A265">
        <v>1148</v>
      </c>
      <c r="B265">
        <f>estuary_data!Y595*weights!$C$9</f>
        <v>5.3248592701710763E-2</v>
      </c>
      <c r="C265">
        <f>estuary_data!X595*weights!$C$10</f>
        <v>0.15487392138486877</v>
      </c>
      <c r="D265">
        <f>SUM(B265:C265)</f>
        <v>0.20812251408657953</v>
      </c>
      <c r="E265" s="2" t="str">
        <f>IF(D265&gt;$H$6/10*9,"1",IF(D265&gt;$H$6/10*8,"2",IF(D265&gt;$H$6/10*7,"3",IF(D265&gt;$H$6/10*6,"4",IF(D265&gt;$H$6/10*5,"5",IF(D265&gt;$H$6/10*4,"6",IF(D265&gt;$H$6/10*3,"7",IF(D265&gt;$H$6/10*2,"8",IF(D265&gt;$H$6/10,"9","10")))))))))</f>
        <v>8</v>
      </c>
    </row>
    <row r="266" spans="1:5" x14ac:dyDescent="0.55000000000000004">
      <c r="A266">
        <v>1157</v>
      </c>
      <c r="B266">
        <f>estuary_data!Y604*weights!$C$9</f>
        <v>4.7590308874038624E-2</v>
      </c>
      <c r="C266">
        <f>estuary_data!X604*weights!$C$10</f>
        <v>0.15146389502613575</v>
      </c>
      <c r="D266">
        <f>SUM(B266:C266)</f>
        <v>0.19905420390017436</v>
      </c>
      <c r="E266" s="2" t="str">
        <f>IF(D266&gt;$H$6/10*9,"1",IF(D266&gt;$H$6/10*8,"2",IF(D266&gt;$H$6/10*7,"3",IF(D266&gt;$H$6/10*6,"4",IF(D266&gt;$H$6/10*5,"5",IF(D266&gt;$H$6/10*4,"6",IF(D266&gt;$H$6/10*3,"7",IF(D266&gt;$H$6/10*2,"8",IF(D266&gt;$H$6/10,"9","10")))))))))</f>
        <v>8</v>
      </c>
    </row>
    <row r="267" spans="1:5" x14ac:dyDescent="0.55000000000000004">
      <c r="A267">
        <v>1162</v>
      </c>
      <c r="B267">
        <f>estuary_data!Y609*weights!$C$9</f>
        <v>5.1451285574576129E-2</v>
      </c>
      <c r="C267">
        <f>estuary_data!X609*weights!$C$10</f>
        <v>0.14781015350096288</v>
      </c>
      <c r="D267">
        <f>SUM(B267:C267)</f>
        <v>0.199261439075539</v>
      </c>
      <c r="E267" s="2" t="str">
        <f>IF(D267&gt;$H$6/10*9,"1",IF(D267&gt;$H$6/10*8,"2",IF(D267&gt;$H$6/10*7,"3",IF(D267&gt;$H$6/10*6,"4",IF(D267&gt;$H$6/10*5,"5",IF(D267&gt;$H$6/10*4,"6",IF(D267&gt;$H$6/10*3,"7",IF(D267&gt;$H$6/10*2,"8",IF(D267&gt;$H$6/10,"9","10")))))))))</f>
        <v>8</v>
      </c>
    </row>
    <row r="268" spans="1:5" x14ac:dyDescent="0.55000000000000004">
      <c r="A268">
        <v>1165</v>
      </c>
      <c r="B268">
        <f>estuary_data!Y612*weights!$C$9</f>
        <v>5.3428678763017906E-2</v>
      </c>
      <c r="C268">
        <f>estuary_data!X612*weights!$C$10</f>
        <v>0.14923165798184268</v>
      </c>
      <c r="D268">
        <f>SUM(B268:C268)</f>
        <v>0.20266033674486059</v>
      </c>
      <c r="E268" s="2" t="str">
        <f>IF(D268&gt;$H$6/10*9,"1",IF(D268&gt;$H$6/10*8,"2",IF(D268&gt;$H$6/10*7,"3",IF(D268&gt;$H$6/10*6,"4",IF(D268&gt;$H$6/10*5,"5",IF(D268&gt;$H$6/10*4,"6",IF(D268&gt;$H$6/10*3,"7",IF(D268&gt;$H$6/10*2,"8",IF(D268&gt;$H$6/10,"9","10")))))))))</f>
        <v>8</v>
      </c>
    </row>
    <row r="269" spans="1:5" x14ac:dyDescent="0.55000000000000004">
      <c r="A269">
        <v>2000</v>
      </c>
      <c r="B269">
        <f>estuary_data!Y613*weights!$C$9</f>
        <v>6.1098486757492514E-2</v>
      </c>
      <c r="C269">
        <f>estuary_data!X613*weights!$C$10</f>
        <v>0.20271458003129897</v>
      </c>
      <c r="D269">
        <f>SUM(B269:C269)</f>
        <v>0.26381306678879146</v>
      </c>
      <c r="E269" s="2" t="str">
        <f>IF(D269&gt;$H$6/10*9,"1",IF(D269&gt;$H$6/10*8,"2",IF(D269&gt;$H$6/10*7,"3",IF(D269&gt;$H$6/10*6,"4",IF(D269&gt;$H$6/10*5,"5",IF(D269&gt;$H$6/10*4,"6",IF(D269&gt;$H$6/10*3,"7",IF(D269&gt;$H$6/10*2,"8",IF(D269&gt;$H$6/10,"9","10")))))))))</f>
        <v>8</v>
      </c>
    </row>
    <row r="270" spans="1:5" x14ac:dyDescent="0.55000000000000004">
      <c r="A270">
        <v>2001</v>
      </c>
      <c r="B270">
        <f>estuary_data!Y614*weights!$C$9</f>
        <v>5.5019127184557259E-2</v>
      </c>
      <c r="C270">
        <f>estuary_data!X614*weights!$C$10</f>
        <v>0.17106419198633968</v>
      </c>
      <c r="D270">
        <f>SUM(B270:C270)</f>
        <v>0.22608331917089694</v>
      </c>
      <c r="E270" s="2" t="str">
        <f>IF(D270&gt;$H$6/10*9,"1",IF(D270&gt;$H$6/10*8,"2",IF(D270&gt;$H$6/10*7,"3",IF(D270&gt;$H$6/10*6,"4",IF(D270&gt;$H$6/10*5,"5",IF(D270&gt;$H$6/10*4,"6",IF(D270&gt;$H$6/10*3,"7",IF(D270&gt;$H$6/10*2,"8",IF(D270&gt;$H$6/10,"9","10")))))))))</f>
        <v>8</v>
      </c>
    </row>
    <row r="271" spans="1:5" x14ac:dyDescent="0.55000000000000004">
      <c r="A271">
        <v>2003</v>
      </c>
      <c r="B271">
        <f>estuary_data!Y616*weights!$C$9</f>
        <v>6.1568262055982273E-2</v>
      </c>
      <c r="C271">
        <f>estuary_data!X616*weights!$C$10</f>
        <v>0.15375308215321221</v>
      </c>
      <c r="D271">
        <f>SUM(B271:C271)</f>
        <v>0.21532134420919447</v>
      </c>
      <c r="E271" s="2" t="str">
        <f>IF(D271&gt;$H$6/10*9,"1",IF(D271&gt;$H$6/10*8,"2",IF(D271&gt;$H$6/10*7,"3",IF(D271&gt;$H$6/10*6,"4",IF(D271&gt;$H$6/10*5,"5",IF(D271&gt;$H$6/10*4,"6",IF(D271&gt;$H$6/10*3,"7",IF(D271&gt;$H$6/10*2,"8",IF(D271&gt;$H$6/10,"9","10")))))))))</f>
        <v>8</v>
      </c>
    </row>
    <row r="272" spans="1:5" x14ac:dyDescent="0.55000000000000004">
      <c r="A272">
        <v>2009</v>
      </c>
      <c r="B272">
        <f>estuary_data!Y622*weights!$C$9</f>
        <v>6.3316968346981001E-2</v>
      </c>
      <c r="C272">
        <f>estuary_data!X622*weights!$C$10</f>
        <v>0.13966160188361329</v>
      </c>
      <c r="D272">
        <f>SUM(B272:C272)</f>
        <v>0.20297857023059429</v>
      </c>
      <c r="E272" s="2" t="str">
        <f>IF(D272&gt;$H$6/10*9,"1",IF(D272&gt;$H$6/10*8,"2",IF(D272&gt;$H$6/10*7,"3",IF(D272&gt;$H$6/10*6,"4",IF(D272&gt;$H$6/10*5,"5",IF(D272&gt;$H$6/10*4,"6",IF(D272&gt;$H$6/10*3,"7",IF(D272&gt;$H$6/10*2,"8",IF(D272&gt;$H$6/10,"9","10")))))))))</f>
        <v>8</v>
      </c>
    </row>
    <row r="273" spans="1:5" x14ac:dyDescent="0.55000000000000004">
      <c r="A273">
        <v>2014</v>
      </c>
      <c r="B273">
        <f>estuary_data!Y627*weights!$C$9</f>
        <v>5.6673938525897818E-2</v>
      </c>
      <c r="C273">
        <f>estuary_data!X627*weights!$C$10</f>
        <v>0.14940246699003207</v>
      </c>
      <c r="D273">
        <f>SUM(B273:C273)</f>
        <v>0.20607640551592987</v>
      </c>
      <c r="E273" s="2" t="str">
        <f>IF(D273&gt;$H$6/10*9,"1",IF(D273&gt;$H$6/10*8,"2",IF(D273&gt;$H$6/10*7,"3",IF(D273&gt;$H$6/10*6,"4",IF(D273&gt;$H$6/10*5,"5",IF(D273&gt;$H$6/10*4,"6",IF(D273&gt;$H$6/10*3,"7",IF(D273&gt;$H$6/10*2,"8",IF(D273&gt;$H$6/10,"9","10")))))))))</f>
        <v>8</v>
      </c>
    </row>
    <row r="274" spans="1:5" x14ac:dyDescent="0.55000000000000004">
      <c r="A274">
        <v>2016</v>
      </c>
      <c r="B274">
        <f>estuary_data!Y629*weights!$C$9</f>
        <v>5.5372053157492121E-2</v>
      </c>
      <c r="C274">
        <f>estuary_data!X629*weights!$C$10</f>
        <v>0.17806587281009273</v>
      </c>
      <c r="D274">
        <f>SUM(B274:C274)</f>
        <v>0.23343792596758484</v>
      </c>
      <c r="E274" s="2" t="str">
        <f>IF(D274&gt;$H$6/10*9,"1",IF(D274&gt;$H$6/10*8,"2",IF(D274&gt;$H$6/10*7,"3",IF(D274&gt;$H$6/10*6,"4",IF(D274&gt;$H$6/10*5,"5",IF(D274&gt;$H$6/10*4,"6",IF(D274&gt;$H$6/10*3,"7",IF(D274&gt;$H$6/10*2,"8",IF(D274&gt;$H$6/10,"9","10")))))))))</f>
        <v>8</v>
      </c>
    </row>
    <row r="275" spans="1:5" x14ac:dyDescent="0.55000000000000004">
      <c r="A275">
        <v>2018</v>
      </c>
      <c r="B275">
        <f>estuary_data!Y631*weights!$C$9</f>
        <v>6.0751887146888596E-2</v>
      </c>
      <c r="C275">
        <f>estuary_data!X631*weights!$C$10</f>
        <v>0.20777343694020878</v>
      </c>
      <c r="D275">
        <f>SUM(B275:C275)</f>
        <v>0.26852532408709739</v>
      </c>
      <c r="E275" s="2" t="str">
        <f>IF(D275&gt;$H$6/10*9,"1",IF(D275&gt;$H$6/10*8,"2",IF(D275&gt;$H$6/10*7,"3",IF(D275&gt;$H$6/10*6,"4",IF(D275&gt;$H$6/10*5,"5",IF(D275&gt;$H$6/10*4,"6",IF(D275&gt;$H$6/10*3,"7",IF(D275&gt;$H$6/10*2,"8",IF(D275&gt;$H$6/10,"9","10")))))))))</f>
        <v>8</v>
      </c>
    </row>
    <row r="276" spans="1:5" x14ac:dyDescent="0.55000000000000004">
      <c r="A276">
        <v>2019</v>
      </c>
      <c r="B276">
        <f>estuary_data!Y632*weights!$C$9</f>
        <v>4.8991580993349812E-2</v>
      </c>
      <c r="C276">
        <f>estuary_data!X632*weights!$C$10</f>
        <v>0.16588552081523805</v>
      </c>
      <c r="D276">
        <f>SUM(B276:C276)</f>
        <v>0.21487710180858788</v>
      </c>
      <c r="E276" s="2" t="str">
        <f>IF(D276&gt;$H$6/10*9,"1",IF(D276&gt;$H$6/10*8,"2",IF(D276&gt;$H$6/10*7,"3",IF(D276&gt;$H$6/10*6,"4",IF(D276&gt;$H$6/10*5,"5",IF(D276&gt;$H$6/10*4,"6",IF(D276&gt;$H$6/10*3,"7",IF(D276&gt;$H$6/10*2,"8",IF(D276&gt;$H$6/10,"9","10")))))))))</f>
        <v>8</v>
      </c>
    </row>
    <row r="277" spans="1:5" x14ac:dyDescent="0.55000000000000004">
      <c r="A277">
        <v>2024</v>
      </c>
      <c r="B277">
        <f>estuary_data!Y637*weights!$C$9</f>
        <v>6.3986589509168565E-2</v>
      </c>
      <c r="C277">
        <f>estuary_data!X637*weights!$C$10</f>
        <v>0.20648055020682293</v>
      </c>
      <c r="D277">
        <f>SUM(B277:C277)</f>
        <v>0.27046713971599151</v>
      </c>
      <c r="E277" s="2" t="str">
        <f>IF(D277&gt;$H$6/10*9,"1",IF(D277&gt;$H$6/10*8,"2",IF(D277&gt;$H$6/10*7,"3",IF(D277&gt;$H$6/10*6,"4",IF(D277&gt;$H$6/10*5,"5",IF(D277&gt;$H$6/10*4,"6",IF(D277&gt;$H$6/10*3,"7",IF(D277&gt;$H$6/10*2,"8",IF(D277&gt;$H$6/10,"9","10")))))))))</f>
        <v>8</v>
      </c>
    </row>
    <row r="278" spans="1:5" x14ac:dyDescent="0.55000000000000004">
      <c r="A278">
        <v>2036</v>
      </c>
      <c r="B278">
        <f>estuary_data!Y649*weights!$C$9</f>
        <v>5.765811917489274E-2</v>
      </c>
      <c r="C278">
        <f>estuary_data!X649*weights!$C$10</f>
        <v>0.18386342990004501</v>
      </c>
      <c r="D278">
        <f>SUM(B278:C278)</f>
        <v>0.24152154907493775</v>
      </c>
      <c r="E278" s="2" t="str">
        <f>IF(D278&gt;$H$6/10*9,"1",IF(D278&gt;$H$6/10*8,"2",IF(D278&gt;$H$6/10*7,"3",IF(D278&gt;$H$6/10*6,"4",IF(D278&gt;$H$6/10*5,"5",IF(D278&gt;$H$6/10*4,"6",IF(D278&gt;$H$6/10*3,"7",IF(D278&gt;$H$6/10*2,"8",IF(D278&gt;$H$6/10,"9","10")))))))))</f>
        <v>8</v>
      </c>
    </row>
    <row r="279" spans="1:5" x14ac:dyDescent="0.55000000000000004">
      <c r="A279">
        <v>2037</v>
      </c>
      <c r="B279">
        <f>estuary_data!Y650*weights!$C$9</f>
        <v>5.4317990841082145E-2</v>
      </c>
      <c r="C279">
        <f>estuary_data!X650*weights!$C$10</f>
        <v>0.14686836228811423</v>
      </c>
      <c r="D279">
        <f>SUM(B279:C279)</f>
        <v>0.20118635312919636</v>
      </c>
      <c r="E279" s="2" t="str">
        <f>IF(D279&gt;$H$6/10*9,"1",IF(D279&gt;$H$6/10*8,"2",IF(D279&gt;$H$6/10*7,"3",IF(D279&gt;$H$6/10*6,"4",IF(D279&gt;$H$6/10*5,"5",IF(D279&gt;$H$6/10*4,"6",IF(D279&gt;$H$6/10*3,"7",IF(D279&gt;$H$6/10*2,"8",IF(D279&gt;$H$6/10,"9","10")))))))))</f>
        <v>8</v>
      </c>
    </row>
    <row r="280" spans="1:5" x14ac:dyDescent="0.55000000000000004">
      <c r="A280">
        <v>2038</v>
      </c>
      <c r="B280">
        <f>estuary_data!Y651*weights!$C$9</f>
        <v>5.5717001629776122E-2</v>
      </c>
      <c r="C280">
        <f>estuary_data!X651*weights!$C$10</f>
        <v>0.15355679961399121</v>
      </c>
      <c r="D280">
        <f>SUM(B280:C280)</f>
        <v>0.20927380124376732</v>
      </c>
      <c r="E280" s="2" t="str">
        <f>IF(D280&gt;$H$6/10*9,"1",IF(D280&gt;$H$6/10*8,"2",IF(D280&gt;$H$6/10*7,"3",IF(D280&gt;$H$6/10*6,"4",IF(D280&gt;$H$6/10*5,"5",IF(D280&gt;$H$6/10*4,"6",IF(D280&gt;$H$6/10*3,"7",IF(D280&gt;$H$6/10*2,"8",IF(D280&gt;$H$6/10,"9","10")))))))))</f>
        <v>8</v>
      </c>
    </row>
    <row r="281" spans="1:5" x14ac:dyDescent="0.55000000000000004">
      <c r="A281">
        <v>2040</v>
      </c>
      <c r="B281">
        <f>estuary_data!Y653*weights!$C$9</f>
        <v>5.1721991219982708E-2</v>
      </c>
      <c r="C281">
        <f>estuary_data!X653*weights!$C$10</f>
        <v>0.18268206042425808</v>
      </c>
      <c r="D281">
        <f>SUM(B281:C281)</f>
        <v>0.23440405164424077</v>
      </c>
      <c r="E281" s="2" t="str">
        <f>IF(D281&gt;$H$6/10*9,"1",IF(D281&gt;$H$6/10*8,"2",IF(D281&gt;$H$6/10*7,"3",IF(D281&gt;$H$6/10*6,"4",IF(D281&gt;$H$6/10*5,"5",IF(D281&gt;$H$6/10*4,"6",IF(D281&gt;$H$6/10*3,"7",IF(D281&gt;$H$6/10*2,"8",IF(D281&gt;$H$6/10,"9","10")))))))))</f>
        <v>8</v>
      </c>
    </row>
    <row r="282" spans="1:5" x14ac:dyDescent="0.55000000000000004">
      <c r="A282">
        <v>2042</v>
      </c>
      <c r="B282">
        <f>estuary_data!Y655*weights!$C$9</f>
        <v>4.6610305417626993E-2</v>
      </c>
      <c r="C282">
        <f>estuary_data!X655*weights!$C$10</f>
        <v>0.1735337236197384</v>
      </c>
      <c r="D282">
        <f>SUM(B282:C282)</f>
        <v>0.22014402903736541</v>
      </c>
      <c r="E282" s="2" t="str">
        <f>IF(D282&gt;$H$6/10*9,"1",IF(D282&gt;$H$6/10*8,"2",IF(D282&gt;$H$6/10*7,"3",IF(D282&gt;$H$6/10*6,"4",IF(D282&gt;$H$6/10*5,"5",IF(D282&gt;$H$6/10*4,"6",IF(D282&gt;$H$6/10*3,"7",IF(D282&gt;$H$6/10*2,"8",IF(D282&gt;$H$6/10,"9","10")))))))))</f>
        <v>8</v>
      </c>
    </row>
    <row r="283" spans="1:5" x14ac:dyDescent="0.55000000000000004">
      <c r="A283">
        <v>2046</v>
      </c>
      <c r="B283">
        <f>estuary_data!Y659*weights!$C$9</f>
        <v>5.5284385876597855E-2</v>
      </c>
      <c r="C283">
        <f>estuary_data!X659*weights!$C$10</f>
        <v>0.18840706318607053</v>
      </c>
      <c r="D283">
        <f>SUM(B283:C283)</f>
        <v>0.24369144906266837</v>
      </c>
      <c r="E283" s="2" t="str">
        <f>IF(D283&gt;$H$6/10*9,"1",IF(D283&gt;$H$6/10*8,"2",IF(D283&gt;$H$6/10*7,"3",IF(D283&gt;$H$6/10*6,"4",IF(D283&gt;$H$6/10*5,"5",IF(D283&gt;$H$6/10*4,"6",IF(D283&gt;$H$6/10*3,"7",IF(D283&gt;$H$6/10*2,"8",IF(D283&gt;$H$6/10,"9","10")))))))))</f>
        <v>8</v>
      </c>
    </row>
    <row r="284" spans="1:5" x14ac:dyDescent="0.55000000000000004">
      <c r="A284">
        <v>2049</v>
      </c>
      <c r="B284">
        <f>estuary_data!Y662*weights!$C$9</f>
        <v>4.2769483352557758E-2</v>
      </c>
      <c r="C284">
        <f>estuary_data!X662*weights!$C$10</f>
        <v>0.16087177419706483</v>
      </c>
      <c r="D284">
        <f>SUM(B284:C284)</f>
        <v>0.20364125754962259</v>
      </c>
      <c r="E284" s="2" t="str">
        <f>IF(D284&gt;$H$6/10*9,"1",IF(D284&gt;$H$6/10*8,"2",IF(D284&gt;$H$6/10*7,"3",IF(D284&gt;$H$6/10*6,"4",IF(D284&gt;$H$6/10*5,"5",IF(D284&gt;$H$6/10*4,"6",IF(D284&gt;$H$6/10*3,"7",IF(D284&gt;$H$6/10*2,"8",IF(D284&gt;$H$6/10,"9","10")))))))))</f>
        <v>8</v>
      </c>
    </row>
    <row r="285" spans="1:5" x14ac:dyDescent="0.55000000000000004">
      <c r="A285">
        <v>2060</v>
      </c>
      <c r="B285">
        <f>estuary_data!Y673*weights!$C$9</f>
        <v>6.3759957545642051E-2</v>
      </c>
      <c r="C285">
        <f>estuary_data!X673*weights!$C$10</f>
        <v>0.21104189098633988</v>
      </c>
      <c r="D285">
        <f>SUM(B285:C285)</f>
        <v>0.27480184853198192</v>
      </c>
      <c r="E285" s="2" t="str">
        <f>IF(D285&gt;$H$6/10*9,"1",IF(D285&gt;$H$6/10*8,"2",IF(D285&gt;$H$6/10*7,"3",IF(D285&gt;$H$6/10*6,"4",IF(D285&gt;$H$6/10*5,"5",IF(D285&gt;$H$6/10*4,"6",IF(D285&gt;$H$6/10*3,"7",IF(D285&gt;$H$6/10*2,"8",IF(D285&gt;$H$6/10,"9","10")))))))))</f>
        <v>8</v>
      </c>
    </row>
    <row r="286" spans="1:5" x14ac:dyDescent="0.55000000000000004">
      <c r="A286">
        <v>2063</v>
      </c>
      <c r="B286">
        <f>estuary_data!Y676*weights!$C$9</f>
        <v>5.0225334537989261E-2</v>
      </c>
      <c r="C286">
        <f>estuary_data!X676*weights!$C$10</f>
        <v>0.18014387423530281</v>
      </c>
      <c r="D286">
        <f>SUM(B286:C286)</f>
        <v>0.23036920877329209</v>
      </c>
      <c r="E286" s="2" t="str">
        <f>IF(D286&gt;$H$6/10*9,"1",IF(D286&gt;$H$6/10*8,"2",IF(D286&gt;$H$6/10*7,"3",IF(D286&gt;$H$6/10*6,"4",IF(D286&gt;$H$6/10*5,"5",IF(D286&gt;$H$6/10*4,"6",IF(D286&gt;$H$6/10*3,"7",IF(D286&gt;$H$6/10*2,"8",IF(D286&gt;$H$6/10,"9","10")))))))))</f>
        <v>8</v>
      </c>
    </row>
    <row r="287" spans="1:5" x14ac:dyDescent="0.55000000000000004">
      <c r="A287">
        <v>2064</v>
      </c>
      <c r="B287">
        <f>estuary_data!Y677*weights!$C$9</f>
        <v>3.9564541834895162E-2</v>
      </c>
      <c r="C287">
        <f>estuary_data!X677*weights!$C$10</f>
        <v>0.18963358161524366</v>
      </c>
      <c r="D287">
        <f>SUM(B287:C287)</f>
        <v>0.22919812345013882</v>
      </c>
      <c r="E287" s="2" t="str">
        <f>IF(D287&gt;$H$6/10*9,"1",IF(D287&gt;$H$6/10*8,"2",IF(D287&gt;$H$6/10*7,"3",IF(D287&gt;$H$6/10*6,"4",IF(D287&gt;$H$6/10*5,"5",IF(D287&gt;$H$6/10*4,"6",IF(D287&gt;$H$6/10*3,"7",IF(D287&gt;$H$6/10*2,"8",IF(D287&gt;$H$6/10,"9","10")))))))))</f>
        <v>8</v>
      </c>
    </row>
    <row r="288" spans="1:5" x14ac:dyDescent="0.55000000000000004">
      <c r="A288">
        <v>2065</v>
      </c>
      <c r="B288">
        <f>estuary_data!Y678*weights!$C$9</f>
        <v>6.2232920840691063E-2</v>
      </c>
      <c r="C288">
        <f>estuary_data!X678*weights!$C$10</f>
        <v>0.17578540539924481</v>
      </c>
      <c r="D288">
        <f>SUM(B288:C288)</f>
        <v>0.23801832623993588</v>
      </c>
      <c r="E288" s="2" t="str">
        <f>IF(D288&gt;$H$6/10*9,"1",IF(D288&gt;$H$6/10*8,"2",IF(D288&gt;$H$6/10*7,"3",IF(D288&gt;$H$6/10*6,"4",IF(D288&gt;$H$6/10*5,"5",IF(D288&gt;$H$6/10*4,"6",IF(D288&gt;$H$6/10*3,"7",IF(D288&gt;$H$6/10*2,"8",IF(D288&gt;$H$6/10,"9","10")))))))))</f>
        <v>8</v>
      </c>
    </row>
    <row r="289" spans="1:5" x14ac:dyDescent="0.55000000000000004">
      <c r="A289">
        <v>2068</v>
      </c>
      <c r="B289">
        <f>estuary_data!Y681*weights!$C$9</f>
        <v>4.542001535080839E-2</v>
      </c>
      <c r="C289">
        <f>estuary_data!X681*weights!$C$10</f>
        <v>0.16044083772770296</v>
      </c>
      <c r="D289">
        <f>SUM(B289:C289)</f>
        <v>0.20586085307851135</v>
      </c>
      <c r="E289" s="2" t="str">
        <f>IF(D289&gt;$H$6/10*9,"1",IF(D289&gt;$H$6/10*8,"2",IF(D289&gt;$H$6/10*7,"3",IF(D289&gt;$H$6/10*6,"4",IF(D289&gt;$H$6/10*5,"5",IF(D289&gt;$H$6/10*4,"6",IF(D289&gt;$H$6/10*3,"7",IF(D289&gt;$H$6/10*2,"8",IF(D289&gt;$H$6/10,"9","10")))))))))</f>
        <v>8</v>
      </c>
    </row>
    <row r="290" spans="1:5" x14ac:dyDescent="0.55000000000000004">
      <c r="A290">
        <v>2069</v>
      </c>
      <c r="B290">
        <f>estuary_data!Y682*weights!$C$9</f>
        <v>4.7465612157264303E-2</v>
      </c>
      <c r="C290">
        <f>estuary_data!X682*weights!$C$10</f>
        <v>0.1899393078052927</v>
      </c>
      <c r="D290">
        <f>SUM(B290:C290)</f>
        <v>0.237404919962557</v>
      </c>
      <c r="E290" s="2" t="str">
        <f>IF(D290&gt;$H$6/10*9,"1",IF(D290&gt;$H$6/10*8,"2",IF(D290&gt;$H$6/10*7,"3",IF(D290&gt;$H$6/10*6,"4",IF(D290&gt;$H$6/10*5,"5",IF(D290&gt;$H$6/10*4,"6",IF(D290&gt;$H$6/10*3,"7",IF(D290&gt;$H$6/10*2,"8",IF(D290&gt;$H$6/10,"9","10")))))))))</f>
        <v>8</v>
      </c>
    </row>
    <row r="291" spans="1:5" x14ac:dyDescent="0.55000000000000004">
      <c r="A291">
        <v>2070</v>
      </c>
      <c r="B291">
        <f>estuary_data!Y683*weights!$C$9</f>
        <v>4.9634218645050722E-2</v>
      </c>
      <c r="C291">
        <f>estuary_data!X683*weights!$C$10</f>
        <v>0.1985995776319685</v>
      </c>
      <c r="D291">
        <f>SUM(B291:C291)</f>
        <v>0.24823379627701922</v>
      </c>
      <c r="E291" s="2" t="str">
        <f>IF(D291&gt;$H$6/10*9,"1",IF(D291&gt;$H$6/10*8,"2",IF(D291&gt;$H$6/10*7,"3",IF(D291&gt;$H$6/10*6,"4",IF(D291&gt;$H$6/10*5,"5",IF(D291&gt;$H$6/10*4,"6",IF(D291&gt;$H$6/10*3,"7",IF(D291&gt;$H$6/10*2,"8",IF(D291&gt;$H$6/10,"9","10")))))))))</f>
        <v>8</v>
      </c>
    </row>
    <row r="292" spans="1:5" x14ac:dyDescent="0.55000000000000004">
      <c r="A292">
        <v>2073</v>
      </c>
      <c r="B292">
        <f>estuary_data!Y686*weights!$C$9</f>
        <v>4.1324402263250737E-2</v>
      </c>
      <c r="C292">
        <f>estuary_data!X686*weights!$C$10</f>
        <v>0.16200557572636015</v>
      </c>
      <c r="D292">
        <f>SUM(B292:C292)</f>
        <v>0.20332997798961089</v>
      </c>
      <c r="E292" s="2" t="str">
        <f>IF(D292&gt;$H$6/10*9,"1",IF(D292&gt;$H$6/10*8,"2",IF(D292&gt;$H$6/10*7,"3",IF(D292&gt;$H$6/10*6,"4",IF(D292&gt;$H$6/10*5,"5",IF(D292&gt;$H$6/10*4,"6",IF(D292&gt;$H$6/10*3,"7",IF(D292&gt;$H$6/10*2,"8",IF(D292&gt;$H$6/10,"9","10")))))))))</f>
        <v>8</v>
      </c>
    </row>
    <row r="293" spans="1:5" x14ac:dyDescent="0.55000000000000004">
      <c r="A293">
        <v>2079</v>
      </c>
      <c r="B293">
        <f>estuary_data!Y692*weights!$C$9</f>
        <v>4.2014631232691328E-2</v>
      </c>
      <c r="C293">
        <f>estuary_data!X692*weights!$C$10</f>
        <v>0.15809862864303761</v>
      </c>
      <c r="D293">
        <f>SUM(B293:C293)</f>
        <v>0.20011325987572895</v>
      </c>
      <c r="E293" s="2" t="str">
        <f>IF(D293&gt;$H$6/10*9,"1",IF(D293&gt;$H$6/10*8,"2",IF(D293&gt;$H$6/10*7,"3",IF(D293&gt;$H$6/10*6,"4",IF(D293&gt;$H$6/10*5,"5",IF(D293&gt;$H$6/10*4,"6",IF(D293&gt;$H$6/10*3,"7",IF(D293&gt;$H$6/10*2,"8",IF(D293&gt;$H$6/10,"9","10")))))))))</f>
        <v>8</v>
      </c>
    </row>
    <row r="294" spans="1:5" x14ac:dyDescent="0.55000000000000004">
      <c r="A294">
        <v>2089</v>
      </c>
      <c r="B294">
        <f>estuary_data!Y702*weights!$C$9</f>
        <v>5.8610268674372031E-2</v>
      </c>
      <c r="C294">
        <f>estuary_data!X702*weights!$C$10</f>
        <v>0.2021778677077955</v>
      </c>
      <c r="D294">
        <f>SUM(B294:C294)</f>
        <v>0.26078813638216752</v>
      </c>
      <c r="E294" s="2" t="str">
        <f>IF(D294&gt;$H$6/10*9,"1",IF(D294&gt;$H$6/10*8,"2",IF(D294&gt;$H$6/10*7,"3",IF(D294&gt;$H$6/10*6,"4",IF(D294&gt;$H$6/10*5,"5",IF(D294&gt;$H$6/10*4,"6",IF(D294&gt;$H$6/10*3,"7",IF(D294&gt;$H$6/10*2,"8",IF(D294&gt;$H$6/10,"9","10")))))))))</f>
        <v>8</v>
      </c>
    </row>
    <row r="295" spans="1:5" x14ac:dyDescent="0.55000000000000004">
      <c r="A295">
        <v>2090</v>
      </c>
      <c r="B295">
        <f>estuary_data!Y703*weights!$C$9</f>
        <v>4.6643054462573511E-2</v>
      </c>
      <c r="C295">
        <f>estuary_data!X703*weights!$C$10</f>
        <v>0.18811522204222889</v>
      </c>
      <c r="D295">
        <f>SUM(B295:C295)</f>
        <v>0.23475827650480241</v>
      </c>
      <c r="E295" s="2" t="str">
        <f>IF(D295&gt;$H$6/10*9,"1",IF(D295&gt;$H$6/10*8,"2",IF(D295&gt;$H$6/10*7,"3",IF(D295&gt;$H$6/10*6,"4",IF(D295&gt;$H$6/10*5,"5",IF(D295&gt;$H$6/10*4,"6",IF(D295&gt;$H$6/10*3,"7",IF(D295&gt;$H$6/10*2,"8",IF(D295&gt;$H$6/10,"9","10")))))))))</f>
        <v>8</v>
      </c>
    </row>
    <row r="296" spans="1:5" x14ac:dyDescent="0.55000000000000004">
      <c r="A296">
        <v>2101</v>
      </c>
      <c r="B296">
        <f>estuary_data!Y714*weights!$C$9</f>
        <v>3.8787677544539961E-2</v>
      </c>
      <c r="C296">
        <f>estuary_data!X714*weights!$C$10</f>
        <v>0.18056255979977903</v>
      </c>
      <c r="D296">
        <f>SUM(B296:C296)</f>
        <v>0.21935023734431899</v>
      </c>
      <c r="E296" s="2" t="str">
        <f>IF(D296&gt;$H$6/10*9,"1",IF(D296&gt;$H$6/10*8,"2",IF(D296&gt;$H$6/10*7,"3",IF(D296&gt;$H$6/10*6,"4",IF(D296&gt;$H$6/10*5,"5",IF(D296&gt;$H$6/10*4,"6",IF(D296&gt;$H$6/10*3,"7",IF(D296&gt;$H$6/10*2,"8",IF(D296&gt;$H$6/10,"9","10")))))))))</f>
        <v>8</v>
      </c>
    </row>
    <row r="297" spans="1:5" x14ac:dyDescent="0.55000000000000004">
      <c r="A297">
        <v>2102</v>
      </c>
      <c r="B297">
        <f>estuary_data!Y715*weights!$C$9</f>
        <v>4.4172330346443217E-2</v>
      </c>
      <c r="C297">
        <f>estuary_data!X715*weights!$C$10</f>
        <v>0.18808979490637678</v>
      </c>
      <c r="D297">
        <f>SUM(B297:C297)</f>
        <v>0.23226212525282</v>
      </c>
      <c r="E297" s="2" t="str">
        <f>IF(D297&gt;$H$6/10*9,"1",IF(D297&gt;$H$6/10*8,"2",IF(D297&gt;$H$6/10*7,"3",IF(D297&gt;$H$6/10*6,"4",IF(D297&gt;$H$6/10*5,"5",IF(D297&gt;$H$6/10*4,"6",IF(D297&gt;$H$6/10*3,"7",IF(D297&gt;$H$6/10*2,"8",IF(D297&gt;$H$6/10,"9","10")))))))))</f>
        <v>8</v>
      </c>
    </row>
    <row r="298" spans="1:5" x14ac:dyDescent="0.55000000000000004">
      <c r="A298">
        <v>3011</v>
      </c>
      <c r="B298">
        <f>estuary_data!Y734*weights!$C$9</f>
        <v>5.4041447890491506E-2</v>
      </c>
      <c r="C298">
        <f>estuary_data!X734*weights!$C$10</f>
        <v>0.1562558559326922</v>
      </c>
      <c r="D298">
        <f>SUM(B298:C298)</f>
        <v>0.21029730382318371</v>
      </c>
      <c r="E298" s="2" t="str">
        <f>IF(D298&gt;$H$6/10*9,"1",IF(D298&gt;$H$6/10*8,"2",IF(D298&gt;$H$6/10*7,"3",IF(D298&gt;$H$6/10*6,"4",IF(D298&gt;$H$6/10*5,"5",IF(D298&gt;$H$6/10*4,"6",IF(D298&gt;$H$6/10*3,"7",IF(D298&gt;$H$6/10*2,"8",IF(D298&gt;$H$6/10,"9","10")))))))))</f>
        <v>8</v>
      </c>
    </row>
    <row r="299" spans="1:5" x14ac:dyDescent="0.55000000000000004">
      <c r="A299">
        <v>3012</v>
      </c>
      <c r="B299">
        <f>estuary_data!Y735*weights!$C$9</f>
        <v>5.2830173131904377E-2</v>
      </c>
      <c r="C299">
        <f>estuary_data!X735*weights!$C$10</f>
        <v>0.15898821239144706</v>
      </c>
      <c r="D299">
        <f>SUM(B299:C299)</f>
        <v>0.21181838552335144</v>
      </c>
      <c r="E299" s="2" t="str">
        <f>IF(D299&gt;$H$6/10*9,"1",IF(D299&gt;$H$6/10*8,"2",IF(D299&gt;$H$6/10*7,"3",IF(D299&gt;$H$6/10*6,"4",IF(D299&gt;$H$6/10*5,"5",IF(D299&gt;$H$6/10*4,"6",IF(D299&gt;$H$6/10*3,"7",IF(D299&gt;$H$6/10*2,"8",IF(D299&gt;$H$6/10,"9","10")))))))))</f>
        <v>8</v>
      </c>
    </row>
    <row r="300" spans="1:5" x14ac:dyDescent="0.55000000000000004">
      <c r="A300">
        <v>3028</v>
      </c>
      <c r="B300">
        <f>estuary_data!Y751*weights!$C$9</f>
        <v>5.3485566706617534E-2</v>
      </c>
      <c r="C300">
        <f>estuary_data!X751*weights!$C$10</f>
        <v>0.17829835647683956</v>
      </c>
      <c r="D300">
        <f>SUM(B300:C300)</f>
        <v>0.23178392318345709</v>
      </c>
      <c r="E300" s="2" t="str">
        <f>IF(D300&gt;$H$6/10*9,"1",IF(D300&gt;$H$6/10*8,"2",IF(D300&gt;$H$6/10*7,"3",IF(D300&gt;$H$6/10*6,"4",IF(D300&gt;$H$6/10*5,"5",IF(D300&gt;$H$6/10*4,"6",IF(D300&gt;$H$6/10*3,"7",IF(D300&gt;$H$6/10*2,"8",IF(D300&gt;$H$6/10,"9","10")))))))))</f>
        <v>8</v>
      </c>
    </row>
    <row r="301" spans="1:5" x14ac:dyDescent="0.55000000000000004">
      <c r="A301">
        <v>3029</v>
      </c>
      <c r="B301">
        <f>estuary_data!Y752*weights!$C$9</f>
        <v>5.9372380411220178E-2</v>
      </c>
      <c r="C301">
        <f>estuary_data!X752*weights!$C$10</f>
        <v>0.19783159178264964</v>
      </c>
      <c r="D301">
        <f>SUM(B301:C301)</f>
        <v>0.25720397219386981</v>
      </c>
      <c r="E301" s="2" t="str">
        <f>IF(D301&gt;$H$6/10*9,"1",IF(D301&gt;$H$6/10*8,"2",IF(D301&gt;$H$6/10*7,"3",IF(D301&gt;$H$6/10*6,"4",IF(D301&gt;$H$6/10*5,"5",IF(D301&gt;$H$6/10*4,"6",IF(D301&gt;$H$6/10*3,"7",IF(D301&gt;$H$6/10*2,"8",IF(D301&gt;$H$6/10,"9","10")))))))))</f>
        <v>8</v>
      </c>
    </row>
    <row r="302" spans="1:5" x14ac:dyDescent="0.55000000000000004">
      <c r="A302">
        <v>3</v>
      </c>
      <c r="B302">
        <f>estuary_data!Y4*weights!$C$9</f>
        <v>4.4657822845431509E-2</v>
      </c>
      <c r="C302">
        <f>estuary_data!X4*weights!$C$10</f>
        <v>0.12550976277429518</v>
      </c>
      <c r="D302">
        <f>SUM(B302:C302)</f>
        <v>0.1701675856197267</v>
      </c>
      <c r="E302" s="2" t="str">
        <f>IF(D302&gt;$H$6/10*9,"1",IF(D302&gt;$H$6/10*8,"2",IF(D302&gt;$H$6/10*7,"3",IF(D302&gt;$H$6/10*6,"4",IF(D302&gt;$H$6/10*5,"5",IF(D302&gt;$H$6/10*4,"6",IF(D302&gt;$H$6/10*3,"7",IF(D302&gt;$H$6/10*2,"8",IF(D302&gt;$H$6/10,"9","10")))))))))</f>
        <v>9</v>
      </c>
    </row>
    <row r="303" spans="1:5" x14ac:dyDescent="0.55000000000000004">
      <c r="A303">
        <v>4</v>
      </c>
      <c r="B303">
        <f>estuary_data!Y5*weights!$C$9</f>
        <v>4.3349821992655045E-2</v>
      </c>
      <c r="C303">
        <f>estuary_data!X5*weights!$C$10</f>
        <v>0.10869842696929406</v>
      </c>
      <c r="D303">
        <f>SUM(B303:C303)</f>
        <v>0.1520482489619491</v>
      </c>
      <c r="E303" s="2" t="str">
        <f>IF(D303&gt;$H$6/10*9,"1",IF(D303&gt;$H$6/10*8,"2",IF(D303&gt;$H$6/10*7,"3",IF(D303&gt;$H$6/10*6,"4",IF(D303&gt;$H$6/10*5,"5",IF(D303&gt;$H$6/10*4,"6",IF(D303&gt;$H$6/10*3,"7",IF(D303&gt;$H$6/10*2,"8",IF(D303&gt;$H$6/10,"9","10")))))))))</f>
        <v>9</v>
      </c>
    </row>
    <row r="304" spans="1:5" x14ac:dyDescent="0.55000000000000004">
      <c r="A304">
        <v>7</v>
      </c>
      <c r="B304">
        <f>estuary_data!Y8*weights!$C$9</f>
        <v>2.5622269794268786E-2</v>
      </c>
      <c r="C304">
        <f>estuary_data!X8*weights!$C$10</f>
        <v>8.4695117934488487E-2</v>
      </c>
      <c r="D304">
        <f>SUM(B304:C304)</f>
        <v>0.11031738772875727</v>
      </c>
      <c r="E304" s="2" t="str">
        <f>IF(D304&gt;$H$6/10*9,"1",IF(D304&gt;$H$6/10*8,"2",IF(D304&gt;$H$6/10*7,"3",IF(D304&gt;$H$6/10*6,"4",IF(D304&gt;$H$6/10*5,"5",IF(D304&gt;$H$6/10*4,"6",IF(D304&gt;$H$6/10*3,"7",IF(D304&gt;$H$6/10*2,"8",IF(D304&gt;$H$6/10,"9","10")))))))))</f>
        <v>9</v>
      </c>
    </row>
    <row r="305" spans="1:5" x14ac:dyDescent="0.55000000000000004">
      <c r="A305">
        <v>8</v>
      </c>
      <c r="B305">
        <f>estuary_data!Y9*weights!$C$9</f>
        <v>2.8922203264523046E-2</v>
      </c>
      <c r="C305">
        <f>estuary_data!X9*weights!$C$10</f>
        <v>9.0629914542783394E-2</v>
      </c>
      <c r="D305">
        <f>SUM(B305:C305)</f>
        <v>0.11955211780730644</v>
      </c>
      <c r="E305" s="2" t="str">
        <f>IF(D305&gt;$H$6/10*9,"1",IF(D305&gt;$H$6/10*8,"2",IF(D305&gt;$H$6/10*7,"3",IF(D305&gt;$H$6/10*6,"4",IF(D305&gt;$H$6/10*5,"5",IF(D305&gt;$H$6/10*4,"6",IF(D305&gt;$H$6/10*3,"7",IF(D305&gt;$H$6/10*2,"8",IF(D305&gt;$H$6/10,"9","10")))))))))</f>
        <v>9</v>
      </c>
    </row>
    <row r="306" spans="1:5" x14ac:dyDescent="0.55000000000000004">
      <c r="A306">
        <v>17</v>
      </c>
      <c r="B306">
        <f>estuary_data!Y18*weights!$C$9</f>
        <v>4.0806438898502641E-2</v>
      </c>
      <c r="C306">
        <f>estuary_data!X18*weights!$C$10</f>
        <v>0.13189521895824188</v>
      </c>
      <c r="D306">
        <f>SUM(B306:C306)</f>
        <v>0.17270165785674452</v>
      </c>
      <c r="E306" s="2" t="str">
        <f>IF(D306&gt;$H$6/10*9,"1",IF(D306&gt;$H$6/10*8,"2",IF(D306&gt;$H$6/10*7,"3",IF(D306&gt;$H$6/10*6,"4",IF(D306&gt;$H$6/10*5,"5",IF(D306&gt;$H$6/10*4,"6",IF(D306&gt;$H$6/10*3,"7",IF(D306&gt;$H$6/10*2,"8",IF(D306&gt;$H$6/10,"9","10")))))))))</f>
        <v>9</v>
      </c>
    </row>
    <row r="307" spans="1:5" x14ac:dyDescent="0.55000000000000004">
      <c r="A307">
        <v>18</v>
      </c>
      <c r="B307">
        <f>estuary_data!Y19*weights!$C$9</f>
        <v>4.3975441267210251E-2</v>
      </c>
      <c r="C307">
        <f>estuary_data!X19*weights!$C$10</f>
        <v>0.14717479084962992</v>
      </c>
      <c r="D307">
        <f>SUM(B307:C307)</f>
        <v>0.19115023211684018</v>
      </c>
      <c r="E307" s="2" t="str">
        <f>IF(D307&gt;$H$6/10*9,"1",IF(D307&gt;$H$6/10*8,"2",IF(D307&gt;$H$6/10*7,"3",IF(D307&gt;$H$6/10*6,"4",IF(D307&gt;$H$6/10*5,"5",IF(D307&gt;$H$6/10*4,"6",IF(D307&gt;$H$6/10*3,"7",IF(D307&gt;$H$6/10*2,"8",IF(D307&gt;$H$6/10,"9","10")))))))))</f>
        <v>9</v>
      </c>
    </row>
    <row r="308" spans="1:5" x14ac:dyDescent="0.55000000000000004">
      <c r="A308">
        <v>21</v>
      </c>
      <c r="B308">
        <f>estuary_data!Y22*weights!$C$9</f>
        <v>2.2658165409547373E-2</v>
      </c>
      <c r="C308">
        <f>estuary_data!X22*weights!$C$10</f>
        <v>9.1981180588230585E-2</v>
      </c>
      <c r="D308">
        <f>SUM(B308:C308)</f>
        <v>0.11463934599777796</v>
      </c>
      <c r="E308" s="2" t="str">
        <f>IF(D308&gt;$H$6/10*9,"1",IF(D308&gt;$H$6/10*8,"2",IF(D308&gt;$H$6/10*7,"3",IF(D308&gt;$H$6/10*6,"4",IF(D308&gt;$H$6/10*5,"5",IF(D308&gt;$H$6/10*4,"6",IF(D308&gt;$H$6/10*3,"7",IF(D308&gt;$H$6/10*2,"8",IF(D308&gt;$H$6/10,"9","10")))))))))</f>
        <v>9</v>
      </c>
    </row>
    <row r="309" spans="1:5" x14ac:dyDescent="0.55000000000000004">
      <c r="A309">
        <v>23</v>
      </c>
      <c r="B309">
        <f>estuary_data!Y24*weights!$C$9</f>
        <v>3.598486407748825E-2</v>
      </c>
      <c r="C309">
        <f>estuary_data!X24*weights!$C$10</f>
        <v>0.11712140220686425</v>
      </c>
      <c r="D309">
        <f>SUM(B309:C309)</f>
        <v>0.1531062662843525</v>
      </c>
      <c r="E309" s="2" t="str">
        <f>IF(D309&gt;$H$6/10*9,"1",IF(D309&gt;$H$6/10*8,"2",IF(D309&gt;$H$6/10*7,"3",IF(D309&gt;$H$6/10*6,"4",IF(D309&gt;$H$6/10*5,"5",IF(D309&gt;$H$6/10*4,"6",IF(D309&gt;$H$6/10*3,"7",IF(D309&gt;$H$6/10*2,"8",IF(D309&gt;$H$6/10,"9","10")))))))))</f>
        <v>9</v>
      </c>
    </row>
    <row r="310" spans="1:5" x14ac:dyDescent="0.55000000000000004">
      <c r="A310">
        <v>25</v>
      </c>
      <c r="B310">
        <f>estuary_data!Y26*weights!$C$9</f>
        <v>3.6275120893835992E-2</v>
      </c>
      <c r="C310">
        <f>estuary_data!X26*weights!$C$10</f>
        <v>0.13259529901865133</v>
      </c>
      <c r="D310">
        <f>SUM(B310:C310)</f>
        <v>0.16887041991248733</v>
      </c>
      <c r="E310" s="2" t="str">
        <f>IF(D310&gt;$H$6/10*9,"1",IF(D310&gt;$H$6/10*8,"2",IF(D310&gt;$H$6/10*7,"3",IF(D310&gt;$H$6/10*6,"4",IF(D310&gt;$H$6/10*5,"5",IF(D310&gt;$H$6/10*4,"6",IF(D310&gt;$H$6/10*3,"7",IF(D310&gt;$H$6/10*2,"8",IF(D310&gt;$H$6/10,"9","10")))))))))</f>
        <v>9</v>
      </c>
    </row>
    <row r="311" spans="1:5" x14ac:dyDescent="0.55000000000000004">
      <c r="A311">
        <v>26</v>
      </c>
      <c r="B311">
        <f>estuary_data!Y27*weights!$C$9</f>
        <v>3.9954026135125088E-2</v>
      </c>
      <c r="C311">
        <f>estuary_data!X27*weights!$C$10</f>
        <v>0.13810682209472455</v>
      </c>
      <c r="D311">
        <f>SUM(B311:C311)</f>
        <v>0.17806084822984963</v>
      </c>
      <c r="E311" s="2" t="str">
        <f>IF(D311&gt;$H$6/10*9,"1",IF(D311&gt;$H$6/10*8,"2",IF(D311&gt;$H$6/10*7,"3",IF(D311&gt;$H$6/10*6,"4",IF(D311&gt;$H$6/10*5,"5",IF(D311&gt;$H$6/10*4,"6",IF(D311&gt;$H$6/10*3,"7",IF(D311&gt;$H$6/10*2,"8",IF(D311&gt;$H$6/10,"9","10")))))))))</f>
        <v>9</v>
      </c>
    </row>
    <row r="312" spans="1:5" x14ac:dyDescent="0.55000000000000004">
      <c r="A312">
        <v>28</v>
      </c>
      <c r="B312">
        <f>estuary_data!Y29*weights!$C$9</f>
        <v>3.627157858164419E-2</v>
      </c>
      <c r="C312">
        <f>estuary_data!X29*weights!$C$10</f>
        <v>0.13066771205399486</v>
      </c>
      <c r="D312">
        <f>SUM(B312:C312)</f>
        <v>0.16693929063563906</v>
      </c>
      <c r="E312" s="2" t="str">
        <f>IF(D312&gt;$H$6/10*9,"1",IF(D312&gt;$H$6/10*8,"2",IF(D312&gt;$H$6/10*7,"3",IF(D312&gt;$H$6/10*6,"4",IF(D312&gt;$H$6/10*5,"5",IF(D312&gt;$H$6/10*4,"6",IF(D312&gt;$H$6/10*3,"7",IF(D312&gt;$H$6/10*2,"8",IF(D312&gt;$H$6/10,"9","10")))))))))</f>
        <v>9</v>
      </c>
    </row>
    <row r="313" spans="1:5" x14ac:dyDescent="0.55000000000000004">
      <c r="A313">
        <v>29</v>
      </c>
      <c r="B313">
        <f>estuary_data!Y30*weights!$C$9</f>
        <v>4.2170784792045952E-2</v>
      </c>
      <c r="C313">
        <f>estuary_data!X30*weights!$C$10</f>
        <v>0.14679478211100561</v>
      </c>
      <c r="D313">
        <f>SUM(B313:C313)</f>
        <v>0.18896556690305155</v>
      </c>
      <c r="E313" s="2" t="str">
        <f>IF(D313&gt;$H$6/10*9,"1",IF(D313&gt;$H$6/10*8,"2",IF(D313&gt;$H$6/10*7,"3",IF(D313&gt;$H$6/10*6,"4",IF(D313&gt;$H$6/10*5,"5",IF(D313&gt;$H$6/10*4,"6",IF(D313&gt;$H$6/10*3,"7",IF(D313&gt;$H$6/10*2,"8",IF(D313&gt;$H$6/10,"9","10")))))))))</f>
        <v>9</v>
      </c>
    </row>
    <row r="314" spans="1:5" x14ac:dyDescent="0.55000000000000004">
      <c r="A314">
        <v>30</v>
      </c>
      <c r="B314">
        <f>estuary_data!Y31*weights!$C$9</f>
        <v>2.3348560385543296E-2</v>
      </c>
      <c r="C314">
        <f>estuary_data!X31*weights!$C$10</f>
        <v>9.5162813788538803E-2</v>
      </c>
      <c r="D314">
        <f>SUM(B314:C314)</f>
        <v>0.1185113741740821</v>
      </c>
      <c r="E314" s="2" t="str">
        <f>IF(D314&gt;$H$6/10*9,"1",IF(D314&gt;$H$6/10*8,"2",IF(D314&gt;$H$6/10*7,"3",IF(D314&gt;$H$6/10*6,"4",IF(D314&gt;$H$6/10*5,"5",IF(D314&gt;$H$6/10*4,"6",IF(D314&gt;$H$6/10*3,"7",IF(D314&gt;$H$6/10*2,"8",IF(D314&gt;$H$6/10,"9","10")))))))))</f>
        <v>9</v>
      </c>
    </row>
    <row r="315" spans="1:5" x14ac:dyDescent="0.55000000000000004">
      <c r="A315">
        <v>31</v>
      </c>
      <c r="B315">
        <f>estuary_data!Y32*weights!$C$9</f>
        <v>4.4184027386632851E-2</v>
      </c>
      <c r="C315">
        <f>estuary_data!X32*weights!$C$10</f>
        <v>0.11231340661078679</v>
      </c>
      <c r="D315">
        <f>SUM(B315:C315)</f>
        <v>0.15649743399741964</v>
      </c>
      <c r="E315" s="2" t="str">
        <f>IF(D315&gt;$H$6/10*9,"1",IF(D315&gt;$H$6/10*8,"2",IF(D315&gt;$H$6/10*7,"3",IF(D315&gt;$H$6/10*6,"4",IF(D315&gt;$H$6/10*5,"5",IF(D315&gt;$H$6/10*4,"6",IF(D315&gt;$H$6/10*3,"7",IF(D315&gt;$H$6/10*2,"8",IF(D315&gt;$H$6/10,"9","10")))))))))</f>
        <v>9</v>
      </c>
    </row>
    <row r="316" spans="1:5" x14ac:dyDescent="0.55000000000000004">
      <c r="A316">
        <v>32</v>
      </c>
      <c r="B316">
        <f>estuary_data!Y33*weights!$C$9</f>
        <v>4.9662471928082104E-2</v>
      </c>
      <c r="C316">
        <f>estuary_data!X33*weights!$C$10</f>
        <v>0.13135850663473841</v>
      </c>
      <c r="D316">
        <f>SUM(B316:C316)</f>
        <v>0.18102097856282051</v>
      </c>
      <c r="E316" s="2" t="str">
        <f>IF(D316&gt;$H$6/10*9,"1",IF(D316&gt;$H$6/10*8,"2",IF(D316&gt;$H$6/10*7,"3",IF(D316&gt;$H$6/10*6,"4",IF(D316&gt;$H$6/10*5,"5",IF(D316&gt;$H$6/10*4,"6",IF(D316&gt;$H$6/10*3,"7",IF(D316&gt;$H$6/10*2,"8",IF(D316&gt;$H$6/10,"9","10")))))))))</f>
        <v>9</v>
      </c>
    </row>
    <row r="317" spans="1:5" x14ac:dyDescent="0.55000000000000004">
      <c r="A317">
        <v>33</v>
      </c>
      <c r="B317">
        <f>estuary_data!Y34*weights!$C$9</f>
        <v>4.6135531832772726E-2</v>
      </c>
      <c r="C317">
        <f>estuary_data!X34*weights!$C$10</f>
        <v>0.14887638431764402</v>
      </c>
      <c r="D317">
        <f>SUM(B317:C317)</f>
        <v>0.19501191615041674</v>
      </c>
      <c r="E317" s="2" t="str">
        <f>IF(D317&gt;$H$6/10*9,"1",IF(D317&gt;$H$6/10*8,"2",IF(D317&gt;$H$6/10*7,"3",IF(D317&gt;$H$6/10*6,"4",IF(D317&gt;$H$6/10*5,"5",IF(D317&gt;$H$6/10*4,"6",IF(D317&gt;$H$6/10*3,"7",IF(D317&gt;$H$6/10*2,"8",IF(D317&gt;$H$6/10,"9","10")))))))))</f>
        <v>9</v>
      </c>
    </row>
    <row r="318" spans="1:5" x14ac:dyDescent="0.55000000000000004">
      <c r="A318">
        <v>35</v>
      </c>
      <c r="B318">
        <f>estuary_data!Y36*weights!$C$9</f>
        <v>4.3623982465716145E-2</v>
      </c>
      <c r="C318">
        <f>estuary_data!X36*weights!$C$10</f>
        <v>0.10573479698472288</v>
      </c>
      <c r="D318">
        <f>SUM(B318:C318)</f>
        <v>0.14935877945043902</v>
      </c>
      <c r="E318" s="2" t="str">
        <f>IF(D318&gt;$H$6/10*9,"1",IF(D318&gt;$H$6/10*8,"2",IF(D318&gt;$H$6/10*7,"3",IF(D318&gt;$H$6/10*6,"4",IF(D318&gt;$H$6/10*5,"5",IF(D318&gt;$H$6/10*4,"6",IF(D318&gt;$H$6/10*3,"7",IF(D318&gt;$H$6/10*2,"8",IF(D318&gt;$H$6/10,"9","10")))))))))</f>
        <v>9</v>
      </c>
    </row>
    <row r="319" spans="1:5" x14ac:dyDescent="0.55000000000000004">
      <c r="A319">
        <v>37</v>
      </c>
      <c r="B319">
        <f>estuary_data!Y38*weights!$C$9</f>
        <v>2.4779075134733101E-2</v>
      </c>
      <c r="C319">
        <f>estuary_data!X38*weights!$C$10</f>
        <v>0.1004352663711367</v>
      </c>
      <c r="D319">
        <f>SUM(B319:C319)</f>
        <v>0.1252143415058698</v>
      </c>
      <c r="E319" s="2" t="str">
        <f>IF(D319&gt;$H$6/10*9,"1",IF(D319&gt;$H$6/10*8,"2",IF(D319&gt;$H$6/10*7,"3",IF(D319&gt;$H$6/10*6,"4",IF(D319&gt;$H$6/10*5,"5",IF(D319&gt;$H$6/10*4,"6",IF(D319&gt;$H$6/10*3,"7",IF(D319&gt;$H$6/10*2,"8",IF(D319&gt;$H$6/10,"9","10")))))))))</f>
        <v>9</v>
      </c>
    </row>
    <row r="320" spans="1:5" x14ac:dyDescent="0.55000000000000004">
      <c r="A320">
        <v>39</v>
      </c>
      <c r="B320">
        <f>estuary_data!Y40*weights!$C$9</f>
        <v>3.5826070056490134E-2</v>
      </c>
      <c r="C320">
        <f>estuary_data!X40*weights!$C$10</f>
        <v>0.11633275374887254</v>
      </c>
      <c r="D320">
        <f>SUM(B320:C320)</f>
        <v>0.15215882380536266</v>
      </c>
      <c r="E320" s="2" t="str">
        <f>IF(D320&gt;$H$6/10*9,"1",IF(D320&gt;$H$6/10*8,"2",IF(D320&gt;$H$6/10*7,"3",IF(D320&gt;$H$6/10*6,"4",IF(D320&gt;$H$6/10*5,"5",IF(D320&gt;$H$6/10*4,"6",IF(D320&gt;$H$6/10*3,"7",IF(D320&gt;$H$6/10*2,"8",IF(D320&gt;$H$6/10,"9","10")))))))))</f>
        <v>9</v>
      </c>
    </row>
    <row r="321" spans="1:5" x14ac:dyDescent="0.55000000000000004">
      <c r="A321">
        <v>42</v>
      </c>
      <c r="B321">
        <f>estuary_data!Y43*weights!$C$9</f>
        <v>2.594510290947551E-2</v>
      </c>
      <c r="C321">
        <f>estuary_data!X43*weights!$C$10</f>
        <v>9.2770396098416169E-2</v>
      </c>
      <c r="D321">
        <f>SUM(B321:C321)</f>
        <v>0.11871549900789168</v>
      </c>
      <c r="E321" s="2" t="str">
        <f>IF(D321&gt;$H$6/10*9,"1",IF(D321&gt;$H$6/10*8,"2",IF(D321&gt;$H$6/10*7,"3",IF(D321&gt;$H$6/10*6,"4",IF(D321&gt;$H$6/10*5,"5",IF(D321&gt;$H$6/10*4,"6",IF(D321&gt;$H$6/10*3,"7",IF(D321&gt;$H$6/10*2,"8",IF(D321&gt;$H$6/10,"9","10")))))))))</f>
        <v>9</v>
      </c>
    </row>
    <row r="322" spans="1:5" x14ac:dyDescent="0.55000000000000004">
      <c r="A322">
        <v>43</v>
      </c>
      <c r="B322">
        <f>estuary_data!Y44*weights!$C$9</f>
        <v>2.7293424253980056E-2</v>
      </c>
      <c r="C322">
        <f>estuary_data!X44*weights!$C$10</f>
        <v>8.6220775726983223E-2</v>
      </c>
      <c r="D322">
        <f>SUM(B322:C322)</f>
        <v>0.11351419998096328</v>
      </c>
      <c r="E322" s="2" t="str">
        <f>IF(D322&gt;$H$6/10*9,"1",IF(D322&gt;$H$6/10*8,"2",IF(D322&gt;$H$6/10*7,"3",IF(D322&gt;$H$6/10*6,"4",IF(D322&gt;$H$6/10*5,"5",IF(D322&gt;$H$6/10*4,"6",IF(D322&gt;$H$6/10*3,"7",IF(D322&gt;$H$6/10*2,"8",IF(D322&gt;$H$6/10,"9","10")))))))))</f>
        <v>9</v>
      </c>
    </row>
    <row r="323" spans="1:5" x14ac:dyDescent="0.55000000000000004">
      <c r="A323">
        <v>44</v>
      </c>
      <c r="B323">
        <f>estuary_data!Y45*weights!$C$9</f>
        <v>3.321097018972359E-2</v>
      </c>
      <c r="C323">
        <f>estuary_data!X45*weights!$C$10</f>
        <v>7.641078566943911E-2</v>
      </c>
      <c r="D323">
        <f>SUM(B323:C323)</f>
        <v>0.1096217558591627</v>
      </c>
      <c r="E323" s="2" t="str">
        <f>IF(D323&gt;$H$6/10*9,"1",IF(D323&gt;$H$6/10*8,"2",IF(D323&gt;$H$6/10*7,"3",IF(D323&gt;$H$6/10*6,"4",IF(D323&gt;$H$6/10*5,"5",IF(D323&gt;$H$6/10*4,"6",IF(D323&gt;$H$6/10*3,"7",IF(D323&gt;$H$6/10*2,"8",IF(D323&gt;$H$6/10,"9","10")))))))))</f>
        <v>9</v>
      </c>
    </row>
    <row r="324" spans="1:5" x14ac:dyDescent="0.55000000000000004">
      <c r="A324">
        <v>45</v>
      </c>
      <c r="B324">
        <f>estuary_data!Y46*weights!$C$9</f>
        <v>5.794735525205244E-2</v>
      </c>
      <c r="C324">
        <f>estuary_data!X46*weights!$C$10</f>
        <v>0.11877927981703577</v>
      </c>
      <c r="D324">
        <f>SUM(B324:C324)</f>
        <v>0.1767266350690882</v>
      </c>
      <c r="E324" s="2" t="str">
        <f>IF(D324&gt;$H$6/10*9,"1",IF(D324&gt;$H$6/10*8,"2",IF(D324&gt;$H$6/10*7,"3",IF(D324&gt;$H$6/10*6,"4",IF(D324&gt;$H$6/10*5,"5",IF(D324&gt;$H$6/10*4,"6",IF(D324&gt;$H$6/10*3,"7",IF(D324&gt;$H$6/10*2,"8",IF(D324&gt;$H$6/10,"9","10")))))))))</f>
        <v>9</v>
      </c>
    </row>
    <row r="325" spans="1:5" x14ac:dyDescent="0.55000000000000004">
      <c r="A325">
        <v>46</v>
      </c>
      <c r="B325">
        <f>estuary_data!Y47*weights!$C$9</f>
        <v>3.0520001045853985E-2</v>
      </c>
      <c r="C325">
        <f>estuary_data!X47*weights!$C$10</f>
        <v>8.1666798893449702E-2</v>
      </c>
      <c r="D325">
        <f>SUM(B325:C325)</f>
        <v>0.11218679993930369</v>
      </c>
      <c r="E325" s="2" t="str">
        <f>IF(D325&gt;$H$6/10*9,"1",IF(D325&gt;$H$6/10*8,"2",IF(D325&gt;$H$6/10*7,"3",IF(D325&gt;$H$6/10*6,"4",IF(D325&gt;$H$6/10*5,"5",IF(D325&gt;$H$6/10*4,"6",IF(D325&gt;$H$6/10*3,"7",IF(D325&gt;$H$6/10*2,"8",IF(D325&gt;$H$6/10,"9","10")))))))))</f>
        <v>9</v>
      </c>
    </row>
    <row r="326" spans="1:5" x14ac:dyDescent="0.55000000000000004">
      <c r="A326">
        <v>48</v>
      </c>
      <c r="B326">
        <f>estuary_data!Y49*weights!$C$9</f>
        <v>3.1310502914696975E-2</v>
      </c>
      <c r="C326">
        <f>estuary_data!X49*weights!$C$10</f>
        <v>7.3554371078326755E-2</v>
      </c>
      <c r="D326">
        <f>SUM(B326:C326)</f>
        <v>0.10486487399302373</v>
      </c>
      <c r="E326" s="2" t="str">
        <f>IF(D326&gt;$H$6/10*9,"1",IF(D326&gt;$H$6/10*8,"2",IF(D326&gt;$H$6/10*7,"3",IF(D326&gt;$H$6/10*6,"4",IF(D326&gt;$H$6/10*5,"5",IF(D326&gt;$H$6/10*4,"6",IF(D326&gt;$H$6/10*3,"7",IF(D326&gt;$H$6/10*2,"8",IF(D326&gt;$H$6/10,"9","10")))))))))</f>
        <v>9</v>
      </c>
    </row>
    <row r="327" spans="1:5" x14ac:dyDescent="0.55000000000000004">
      <c r="A327">
        <v>49</v>
      </c>
      <c r="B327">
        <f>estuary_data!Y50*weights!$C$9</f>
        <v>2.8538040301249186E-2</v>
      </c>
      <c r="C327">
        <f>estuary_data!X50*weights!$C$10</f>
        <v>7.5045835623561957E-2</v>
      </c>
      <c r="D327">
        <f>SUM(B327:C327)</f>
        <v>0.10358387592481114</v>
      </c>
      <c r="E327" s="2" t="str">
        <f>IF(D327&gt;$H$6/10*9,"1",IF(D327&gt;$H$6/10*8,"2",IF(D327&gt;$H$6/10*7,"3",IF(D327&gt;$H$6/10*6,"4",IF(D327&gt;$H$6/10*5,"5",IF(D327&gt;$H$6/10*4,"6",IF(D327&gt;$H$6/10*3,"7",IF(D327&gt;$H$6/10*2,"8",IF(D327&gt;$H$6/10,"9","10")))))))))</f>
        <v>9</v>
      </c>
    </row>
    <row r="328" spans="1:5" x14ac:dyDescent="0.55000000000000004">
      <c r="A328">
        <v>50</v>
      </c>
      <c r="B328">
        <f>estuary_data!Y51*weights!$C$9</f>
        <v>2.578662743428569E-2</v>
      </c>
      <c r="C328">
        <f>estuary_data!X51*weights!$C$10</f>
        <v>8.1814833023545738E-2</v>
      </c>
      <c r="D328">
        <f>SUM(B328:C328)</f>
        <v>0.10760146045783142</v>
      </c>
      <c r="E328" s="2" t="str">
        <f>IF(D328&gt;$H$6/10*9,"1",IF(D328&gt;$H$6/10*8,"2",IF(D328&gt;$H$6/10*7,"3",IF(D328&gt;$H$6/10*6,"4",IF(D328&gt;$H$6/10*5,"5",IF(D328&gt;$H$6/10*4,"6",IF(D328&gt;$H$6/10*3,"7",IF(D328&gt;$H$6/10*2,"8",IF(D328&gt;$H$6/10,"9","10")))))))))</f>
        <v>9</v>
      </c>
    </row>
    <row r="329" spans="1:5" x14ac:dyDescent="0.55000000000000004">
      <c r="A329">
        <v>51</v>
      </c>
      <c r="B329">
        <f>estuary_data!Y52*weights!$C$9</f>
        <v>3.7102212494076588E-2</v>
      </c>
      <c r="C329">
        <f>estuary_data!X52*weights!$C$10</f>
        <v>8.8804964025124236E-2</v>
      </c>
      <c r="D329">
        <f>SUM(B329:C329)</f>
        <v>0.12590717651920083</v>
      </c>
      <c r="E329" s="2" t="str">
        <f>IF(D329&gt;$H$6/10*9,"1",IF(D329&gt;$H$6/10*8,"2",IF(D329&gt;$H$6/10*7,"3",IF(D329&gt;$H$6/10*6,"4",IF(D329&gt;$H$6/10*5,"5",IF(D329&gt;$H$6/10*4,"6",IF(D329&gt;$H$6/10*3,"7",IF(D329&gt;$H$6/10*2,"8",IF(D329&gt;$H$6/10,"9","10")))))))))</f>
        <v>9</v>
      </c>
    </row>
    <row r="330" spans="1:5" x14ac:dyDescent="0.55000000000000004">
      <c r="A330">
        <v>52</v>
      </c>
      <c r="B330">
        <f>estuary_data!Y53*weights!$C$9</f>
        <v>3.7102212494076588E-2</v>
      </c>
      <c r="C330">
        <f>estuary_data!X53*weights!$C$10</f>
        <v>8.8804964025124236E-2</v>
      </c>
      <c r="D330">
        <f>SUM(B330:C330)</f>
        <v>0.12590717651920083</v>
      </c>
      <c r="E330" s="2" t="str">
        <f>IF(D330&gt;$H$6/10*9,"1",IF(D330&gt;$H$6/10*8,"2",IF(D330&gt;$H$6/10*7,"3",IF(D330&gt;$H$6/10*6,"4",IF(D330&gt;$H$6/10*5,"5",IF(D330&gt;$H$6/10*4,"6",IF(D330&gt;$H$6/10*3,"7",IF(D330&gt;$H$6/10*2,"8",IF(D330&gt;$H$6/10,"9","10")))))))))</f>
        <v>9</v>
      </c>
    </row>
    <row r="331" spans="1:5" x14ac:dyDescent="0.55000000000000004">
      <c r="A331">
        <v>53</v>
      </c>
      <c r="B331">
        <f>estuary_data!Y54*weights!$C$9</f>
        <v>4.5529349310016544E-2</v>
      </c>
      <c r="C331">
        <f>estuary_data!X54*weights!$C$10</f>
        <v>0.10464705684734309</v>
      </c>
      <c r="D331">
        <f>SUM(B331:C331)</f>
        <v>0.15017640615735964</v>
      </c>
      <c r="E331" s="2" t="str">
        <f>IF(D331&gt;$H$6/10*9,"1",IF(D331&gt;$H$6/10*8,"2",IF(D331&gt;$H$6/10*7,"3",IF(D331&gt;$H$6/10*6,"4",IF(D331&gt;$H$6/10*5,"5",IF(D331&gt;$H$6/10*4,"6",IF(D331&gt;$H$6/10*3,"7",IF(D331&gt;$H$6/10*2,"8",IF(D331&gt;$H$6/10,"9","10")))))))))</f>
        <v>9</v>
      </c>
    </row>
    <row r="332" spans="1:5" x14ac:dyDescent="0.55000000000000004">
      <c r="A332">
        <v>54</v>
      </c>
      <c r="B332">
        <f>estuary_data!Y55*weights!$C$9</f>
        <v>3.7548324495519668E-2</v>
      </c>
      <c r="C332">
        <f>estuary_data!X55*weights!$C$10</f>
        <v>8.258735013539209E-2</v>
      </c>
      <c r="D332">
        <f>SUM(B332:C332)</f>
        <v>0.12013567463091177</v>
      </c>
      <c r="E332" s="2" t="str">
        <f>IF(D332&gt;$H$6/10*9,"1",IF(D332&gt;$H$6/10*8,"2",IF(D332&gt;$H$6/10*7,"3",IF(D332&gt;$H$6/10*6,"4",IF(D332&gt;$H$6/10*5,"5",IF(D332&gt;$H$6/10*4,"6",IF(D332&gt;$H$6/10*3,"7",IF(D332&gt;$H$6/10*2,"8",IF(D332&gt;$H$6/10,"9","10")))))))))</f>
        <v>9</v>
      </c>
    </row>
    <row r="333" spans="1:5" x14ac:dyDescent="0.55000000000000004">
      <c r="A333">
        <v>56</v>
      </c>
      <c r="B333">
        <f>estuary_data!Y57*weights!$C$9</f>
        <v>3.2825862751007337E-2</v>
      </c>
      <c r="C333">
        <f>estuary_data!X57*weights!$C$10</f>
        <v>8.837247202849513E-2</v>
      </c>
      <c r="D333">
        <f>SUM(B333:C333)</f>
        <v>0.12119833477950247</v>
      </c>
      <c r="E333" s="2" t="str">
        <f>IF(D333&gt;$H$6/10*9,"1",IF(D333&gt;$H$6/10*8,"2",IF(D333&gt;$H$6/10*7,"3",IF(D333&gt;$H$6/10*6,"4",IF(D333&gt;$H$6/10*5,"5",IF(D333&gt;$H$6/10*4,"6",IF(D333&gt;$H$6/10*3,"7",IF(D333&gt;$H$6/10*2,"8",IF(D333&gt;$H$6/10,"9","10")))))))))</f>
        <v>9</v>
      </c>
    </row>
    <row r="334" spans="1:5" x14ac:dyDescent="0.55000000000000004">
      <c r="A334">
        <v>57</v>
      </c>
      <c r="B334">
        <f>estuary_data!Y58*weights!$C$9</f>
        <v>3.6191832720965975E-2</v>
      </c>
      <c r="C334">
        <f>estuary_data!X58*weights!$C$10</f>
        <v>9.3426546367656335E-2</v>
      </c>
      <c r="D334">
        <f>SUM(B334:C334)</f>
        <v>0.12961837908862231</v>
      </c>
      <c r="E334" s="2" t="str">
        <f>IF(D334&gt;$H$6/10*9,"1",IF(D334&gt;$H$6/10*8,"2",IF(D334&gt;$H$6/10*7,"3",IF(D334&gt;$H$6/10*6,"4",IF(D334&gt;$H$6/10*5,"5",IF(D334&gt;$H$6/10*4,"6",IF(D334&gt;$H$6/10*3,"7",IF(D334&gt;$H$6/10*2,"8",IF(D334&gt;$H$6/10,"9","10")))))))))</f>
        <v>9</v>
      </c>
    </row>
    <row r="335" spans="1:5" x14ac:dyDescent="0.55000000000000004">
      <c r="A335">
        <v>58</v>
      </c>
      <c r="B335">
        <f>estuary_data!Y59*weights!$C$9</f>
        <v>4.1525432637942915E-2</v>
      </c>
      <c r="C335">
        <f>estuary_data!X59*weights!$C$10</f>
        <v>0.10518632348322654</v>
      </c>
      <c r="D335">
        <f>SUM(B335:C335)</f>
        <v>0.14671175612116946</v>
      </c>
      <c r="E335" s="2" t="str">
        <f>IF(D335&gt;$H$6/10*9,"1",IF(D335&gt;$H$6/10*8,"2",IF(D335&gt;$H$6/10*7,"3",IF(D335&gt;$H$6/10*6,"4",IF(D335&gt;$H$6/10*5,"5",IF(D335&gt;$H$6/10*4,"6",IF(D335&gt;$H$6/10*3,"7",IF(D335&gt;$H$6/10*2,"8",IF(D335&gt;$H$6/10,"9","10")))))))))</f>
        <v>9</v>
      </c>
    </row>
    <row r="336" spans="1:5" x14ac:dyDescent="0.55000000000000004">
      <c r="A336">
        <v>59</v>
      </c>
      <c r="B336">
        <f>estuary_data!Y60*weights!$C$9</f>
        <v>3.9219086356902279E-2</v>
      </c>
      <c r="C336">
        <f>estuary_data!X60*weights!$C$10</f>
        <v>0.1036480010954953</v>
      </c>
      <c r="D336">
        <f>SUM(B336:C336)</f>
        <v>0.14286708745239757</v>
      </c>
      <c r="E336" s="2" t="str">
        <f>IF(D336&gt;$H$6/10*9,"1",IF(D336&gt;$H$6/10*8,"2",IF(D336&gt;$H$6/10*7,"3",IF(D336&gt;$H$6/10*6,"4",IF(D336&gt;$H$6/10*5,"5",IF(D336&gt;$H$6/10*4,"6",IF(D336&gt;$H$6/10*3,"7",IF(D336&gt;$H$6/10*2,"8",IF(D336&gt;$H$6/10,"9","10")))))))))</f>
        <v>9</v>
      </c>
    </row>
    <row r="337" spans="1:5" x14ac:dyDescent="0.55000000000000004">
      <c r="A337">
        <v>60</v>
      </c>
      <c r="B337">
        <f>estuary_data!Y61*weights!$C$9</f>
        <v>3.5712516268042789E-2</v>
      </c>
      <c r="C337">
        <f>estuary_data!X61*weights!$C$10</f>
        <v>8.9526561138762117E-2</v>
      </c>
      <c r="D337">
        <f>SUM(B337:C337)</f>
        <v>0.1252390774068049</v>
      </c>
      <c r="E337" s="2" t="str">
        <f>IF(D337&gt;$H$6/10*9,"1",IF(D337&gt;$H$6/10*8,"2",IF(D337&gt;$H$6/10*7,"3",IF(D337&gt;$H$6/10*6,"4",IF(D337&gt;$H$6/10*5,"5",IF(D337&gt;$H$6/10*4,"6",IF(D337&gt;$H$6/10*3,"7",IF(D337&gt;$H$6/10*2,"8",IF(D337&gt;$H$6/10,"9","10")))))))))</f>
        <v>9</v>
      </c>
    </row>
    <row r="338" spans="1:5" x14ac:dyDescent="0.55000000000000004">
      <c r="A338">
        <v>61</v>
      </c>
      <c r="B338">
        <f>estuary_data!Y62*weights!$C$9</f>
        <v>4.6194250388549893E-2</v>
      </c>
      <c r="C338">
        <f>estuary_data!X62*weights!$C$10</f>
        <v>0.10183146099286794</v>
      </c>
      <c r="D338">
        <f>SUM(B338:C338)</f>
        <v>0.14802571138141785</v>
      </c>
      <c r="E338" s="2" t="str">
        <f>IF(D338&gt;$H$6/10*9,"1",IF(D338&gt;$H$6/10*8,"2",IF(D338&gt;$H$6/10*7,"3",IF(D338&gt;$H$6/10*6,"4",IF(D338&gt;$H$6/10*5,"5",IF(D338&gt;$H$6/10*4,"6",IF(D338&gt;$H$6/10*3,"7",IF(D338&gt;$H$6/10*2,"8",IF(D338&gt;$H$6/10,"9","10")))))))))</f>
        <v>9</v>
      </c>
    </row>
    <row r="339" spans="1:5" x14ac:dyDescent="0.55000000000000004">
      <c r="A339">
        <v>62</v>
      </c>
      <c r="B339">
        <f>estuary_data!Y63*weights!$C$9</f>
        <v>2.6416652739708189E-2</v>
      </c>
      <c r="C339">
        <f>estuary_data!X63*weights!$C$10</f>
        <v>0.10333346884263479</v>
      </c>
      <c r="D339">
        <f>SUM(B339:C339)</f>
        <v>0.12975012158234298</v>
      </c>
      <c r="E339" s="2" t="str">
        <f>IF(D339&gt;$H$6/10*9,"1",IF(D339&gt;$H$6/10*8,"2",IF(D339&gt;$H$6/10*7,"3",IF(D339&gt;$H$6/10*6,"4",IF(D339&gt;$H$6/10*5,"5",IF(D339&gt;$H$6/10*4,"6",IF(D339&gt;$H$6/10*3,"7",IF(D339&gt;$H$6/10*2,"8",IF(D339&gt;$H$6/10,"9","10")))))))))</f>
        <v>9</v>
      </c>
    </row>
    <row r="340" spans="1:5" x14ac:dyDescent="0.55000000000000004">
      <c r="A340">
        <v>63</v>
      </c>
      <c r="B340">
        <f>estuary_data!Y64*weights!$C$9</f>
        <v>2.5281922516999102E-2</v>
      </c>
      <c r="C340">
        <f>estuary_data!X64*weights!$C$10</f>
        <v>9.4473046345517842E-2</v>
      </c>
      <c r="D340">
        <f>SUM(B340:C340)</f>
        <v>0.11975496886251694</v>
      </c>
      <c r="E340" s="2" t="str">
        <f>IF(D340&gt;$H$6/10*9,"1",IF(D340&gt;$H$6/10*8,"2",IF(D340&gt;$H$6/10*7,"3",IF(D340&gt;$H$6/10*6,"4",IF(D340&gt;$H$6/10*5,"5",IF(D340&gt;$H$6/10*4,"6",IF(D340&gt;$H$6/10*3,"7",IF(D340&gt;$H$6/10*2,"8",IF(D340&gt;$H$6/10,"9","10")))))))))</f>
        <v>9</v>
      </c>
    </row>
    <row r="341" spans="1:5" x14ac:dyDescent="0.55000000000000004">
      <c r="A341">
        <v>64</v>
      </c>
      <c r="B341">
        <f>estuary_data!Y65*weights!$C$9</f>
        <v>3.2235987449497974E-2</v>
      </c>
      <c r="C341">
        <f>estuary_data!X65*weights!$C$10</f>
        <v>0.11211046894082352</v>
      </c>
      <c r="D341">
        <f>SUM(B341:C341)</f>
        <v>0.14434645639032151</v>
      </c>
      <c r="E341" s="2" t="str">
        <f>IF(D341&gt;$H$6/10*9,"1",IF(D341&gt;$H$6/10*8,"2",IF(D341&gt;$H$6/10*7,"3",IF(D341&gt;$H$6/10*6,"4",IF(D341&gt;$H$6/10*5,"5",IF(D341&gt;$H$6/10*4,"6",IF(D341&gt;$H$6/10*3,"7",IF(D341&gt;$H$6/10*2,"8",IF(D341&gt;$H$6/10,"9","10")))))))))</f>
        <v>9</v>
      </c>
    </row>
    <row r="342" spans="1:5" x14ac:dyDescent="0.55000000000000004">
      <c r="A342">
        <v>65</v>
      </c>
      <c r="B342">
        <f>estuary_data!Y66*weights!$C$9</f>
        <v>4.374343413280371E-2</v>
      </c>
      <c r="C342">
        <f>estuary_data!X66*weights!$C$10</f>
        <v>0.11323728026307955</v>
      </c>
      <c r="D342">
        <f>SUM(B342:C342)</f>
        <v>0.15698071439588326</v>
      </c>
      <c r="E342" s="2" t="str">
        <f>IF(D342&gt;$H$6/10*9,"1",IF(D342&gt;$H$6/10*8,"2",IF(D342&gt;$H$6/10*7,"3",IF(D342&gt;$H$6/10*6,"4",IF(D342&gt;$H$6/10*5,"5",IF(D342&gt;$H$6/10*4,"6",IF(D342&gt;$H$6/10*3,"7",IF(D342&gt;$H$6/10*2,"8",IF(D342&gt;$H$6/10,"9","10")))))))))</f>
        <v>9</v>
      </c>
    </row>
    <row r="343" spans="1:5" x14ac:dyDescent="0.55000000000000004">
      <c r="A343">
        <v>71</v>
      </c>
      <c r="B343">
        <f>estuary_data!Y72*weights!$C$9</f>
        <v>4.7076913053691716E-2</v>
      </c>
      <c r="C343">
        <f>estuary_data!X72*weights!$C$10</f>
        <v>0.12215564002929818</v>
      </c>
      <c r="D343">
        <f>SUM(B343:C343)</f>
        <v>0.1692325530829899</v>
      </c>
      <c r="E343" s="2" t="str">
        <f>IF(D343&gt;$H$6/10*9,"1",IF(D343&gt;$H$6/10*8,"2",IF(D343&gt;$H$6/10*7,"3",IF(D343&gt;$H$6/10*6,"4",IF(D343&gt;$H$6/10*5,"5",IF(D343&gt;$H$6/10*4,"6",IF(D343&gt;$H$6/10*3,"7",IF(D343&gt;$H$6/10*2,"8",IF(D343&gt;$H$6/10,"9","10")))))))))</f>
        <v>9</v>
      </c>
    </row>
    <row r="344" spans="1:5" x14ac:dyDescent="0.55000000000000004">
      <c r="A344">
        <v>72</v>
      </c>
      <c r="B344">
        <f>estuary_data!Y73*weights!$C$9</f>
        <v>3.1612990699786084E-2</v>
      </c>
      <c r="C344">
        <f>estuary_data!X73*weights!$C$10</f>
        <v>9.810602087286481E-2</v>
      </c>
      <c r="D344">
        <f>SUM(B344:C344)</f>
        <v>0.12971901157265089</v>
      </c>
      <c r="E344" s="2" t="str">
        <f>IF(D344&gt;$H$6/10*9,"1",IF(D344&gt;$H$6/10*8,"2",IF(D344&gt;$H$6/10*7,"3",IF(D344&gt;$H$6/10*6,"4",IF(D344&gt;$H$6/10*5,"5",IF(D344&gt;$H$6/10*4,"6",IF(D344&gt;$H$6/10*3,"7",IF(D344&gt;$H$6/10*2,"8",IF(D344&gt;$H$6/10,"9","10")))))))))</f>
        <v>9</v>
      </c>
    </row>
    <row r="345" spans="1:5" x14ac:dyDescent="0.55000000000000004">
      <c r="A345">
        <v>73</v>
      </c>
      <c r="B345">
        <f>estuary_data!Y74*weights!$C$9</f>
        <v>2.8974137804924926E-2</v>
      </c>
      <c r="C345">
        <f>estuary_data!X74*weights!$C$10</f>
        <v>8.0990167729990195E-2</v>
      </c>
      <c r="D345">
        <f>SUM(B345:C345)</f>
        <v>0.10996430553491512</v>
      </c>
      <c r="E345" s="2" t="str">
        <f>IF(D345&gt;$H$6/10*9,"1",IF(D345&gt;$H$6/10*8,"2",IF(D345&gt;$H$6/10*7,"3",IF(D345&gt;$H$6/10*6,"4",IF(D345&gt;$H$6/10*5,"5",IF(D345&gt;$H$6/10*4,"6",IF(D345&gt;$H$6/10*3,"7",IF(D345&gt;$H$6/10*2,"8",IF(D345&gt;$H$6/10,"9","10")))))))))</f>
        <v>9</v>
      </c>
    </row>
    <row r="346" spans="1:5" x14ac:dyDescent="0.55000000000000004">
      <c r="A346">
        <v>76</v>
      </c>
      <c r="B346">
        <f>estuary_data!Y77*weights!$C$9</f>
        <v>2.9676846752939974E-2</v>
      </c>
      <c r="C346">
        <f>estuary_data!X77*weights!$C$10</f>
        <v>0.10515118042354395</v>
      </c>
      <c r="D346">
        <f>SUM(B346:C346)</f>
        <v>0.13482802717648393</v>
      </c>
      <c r="E346" s="2" t="str">
        <f>IF(D346&gt;$H$6/10*9,"1",IF(D346&gt;$H$6/10*8,"2",IF(D346&gt;$H$6/10*7,"3",IF(D346&gt;$H$6/10*6,"4",IF(D346&gt;$H$6/10*5,"5",IF(D346&gt;$H$6/10*4,"6",IF(D346&gt;$H$6/10*3,"7",IF(D346&gt;$H$6/10*2,"8",IF(D346&gt;$H$6/10,"9","10")))))))))</f>
        <v>9</v>
      </c>
    </row>
    <row r="347" spans="1:5" x14ac:dyDescent="0.55000000000000004">
      <c r="A347">
        <v>78</v>
      </c>
      <c r="B347">
        <f>estuary_data!Y79*weights!$C$9</f>
        <v>3.6200074945262908E-2</v>
      </c>
      <c r="C347">
        <f>estuary_data!X79*weights!$C$10</f>
        <v>0.11045144949373613</v>
      </c>
      <c r="D347">
        <f>SUM(B347:C347)</f>
        <v>0.14665152443899904</v>
      </c>
      <c r="E347" s="2" t="str">
        <f>IF(D347&gt;$H$6/10*9,"1",IF(D347&gt;$H$6/10*8,"2",IF(D347&gt;$H$6/10*7,"3",IF(D347&gt;$H$6/10*6,"4",IF(D347&gt;$H$6/10*5,"5",IF(D347&gt;$H$6/10*4,"6",IF(D347&gt;$H$6/10*3,"7",IF(D347&gt;$H$6/10*2,"8",IF(D347&gt;$H$6/10,"9","10")))))))))</f>
        <v>9</v>
      </c>
    </row>
    <row r="348" spans="1:5" x14ac:dyDescent="0.55000000000000004">
      <c r="A348">
        <v>79</v>
      </c>
      <c r="B348">
        <f>estuary_data!Y80*weights!$C$9</f>
        <v>3.3760502569683368E-2</v>
      </c>
      <c r="C348">
        <f>estuary_data!X80*weights!$C$10</f>
        <v>8.7502657781553403E-2</v>
      </c>
      <c r="D348">
        <f>SUM(B348:C348)</f>
        <v>0.12126316035123677</v>
      </c>
      <c r="E348" s="2" t="str">
        <f>IF(D348&gt;$H$6/10*9,"1",IF(D348&gt;$H$6/10*8,"2",IF(D348&gt;$H$6/10*7,"3",IF(D348&gt;$H$6/10*6,"4",IF(D348&gt;$H$6/10*5,"5",IF(D348&gt;$H$6/10*4,"6",IF(D348&gt;$H$6/10*3,"7",IF(D348&gt;$H$6/10*2,"8",IF(D348&gt;$H$6/10,"9","10")))))))))</f>
        <v>9</v>
      </c>
    </row>
    <row r="349" spans="1:5" x14ac:dyDescent="0.55000000000000004">
      <c r="A349">
        <v>81</v>
      </c>
      <c r="B349">
        <f>estuary_data!Y82*weights!$C$9</f>
        <v>4.9662471928082104E-2</v>
      </c>
      <c r="C349">
        <f>estuary_data!X82*weights!$C$10</f>
        <v>0.13135850663473841</v>
      </c>
      <c r="D349">
        <f>SUM(B349:C349)</f>
        <v>0.18102097856282051</v>
      </c>
      <c r="E349" s="2" t="str">
        <f>IF(D349&gt;$H$6/10*9,"1",IF(D349&gt;$H$6/10*8,"2",IF(D349&gt;$H$6/10*7,"3",IF(D349&gt;$H$6/10*6,"4",IF(D349&gt;$H$6/10*5,"5",IF(D349&gt;$H$6/10*4,"6",IF(D349&gt;$H$6/10*3,"7",IF(D349&gt;$H$6/10*2,"8",IF(D349&gt;$H$6/10,"9","10")))))))))</f>
        <v>9</v>
      </c>
    </row>
    <row r="350" spans="1:5" x14ac:dyDescent="0.55000000000000004">
      <c r="A350">
        <v>82</v>
      </c>
      <c r="B350">
        <f>estuary_data!Y83*weights!$C$9</f>
        <v>4.0079476620930615E-2</v>
      </c>
      <c r="C350">
        <f>estuary_data!X83*weights!$C$10</f>
        <v>9.3279857697764507E-2</v>
      </c>
      <c r="D350">
        <f>SUM(B350:C350)</f>
        <v>0.13335933431869512</v>
      </c>
      <c r="E350" s="2" t="str">
        <f>IF(D350&gt;$H$6/10*9,"1",IF(D350&gt;$H$6/10*8,"2",IF(D350&gt;$H$6/10*7,"3",IF(D350&gt;$H$6/10*6,"4",IF(D350&gt;$H$6/10*5,"5",IF(D350&gt;$H$6/10*4,"6",IF(D350&gt;$H$6/10*3,"7",IF(D350&gt;$H$6/10*2,"8",IF(D350&gt;$H$6/10,"9","10")))))))))</f>
        <v>9</v>
      </c>
    </row>
    <row r="351" spans="1:5" x14ac:dyDescent="0.55000000000000004">
      <c r="A351">
        <v>83</v>
      </c>
      <c r="B351">
        <f>estuary_data!Y84*weights!$C$9</f>
        <v>3.8890649244293266E-2</v>
      </c>
      <c r="C351">
        <f>estuary_data!X84*weights!$C$10</f>
        <v>9.640007656802152E-2</v>
      </c>
      <c r="D351">
        <f>SUM(B351:C351)</f>
        <v>0.13529072581231477</v>
      </c>
      <c r="E351" s="2" t="str">
        <f>IF(D351&gt;$H$6/10*9,"1",IF(D351&gt;$H$6/10*8,"2",IF(D351&gt;$H$6/10*7,"3",IF(D351&gt;$H$6/10*6,"4",IF(D351&gt;$H$6/10*5,"5",IF(D351&gt;$H$6/10*4,"6",IF(D351&gt;$H$6/10*3,"7",IF(D351&gt;$H$6/10*2,"8",IF(D351&gt;$H$6/10,"9","10")))))))))</f>
        <v>9</v>
      </c>
    </row>
    <row r="352" spans="1:5" x14ac:dyDescent="0.55000000000000004">
      <c r="A352">
        <v>84</v>
      </c>
      <c r="B352">
        <f>estuary_data!Y85*weights!$C$9</f>
        <v>3.689850799536578E-2</v>
      </c>
      <c r="C352">
        <f>estuary_data!X85*weights!$C$10</f>
        <v>9.7719723009914078E-2</v>
      </c>
      <c r="D352">
        <f>SUM(B352:C352)</f>
        <v>0.13461823100527986</v>
      </c>
      <c r="E352" s="2" t="str">
        <f>IF(D352&gt;$H$6/10*9,"1",IF(D352&gt;$H$6/10*8,"2",IF(D352&gt;$H$6/10*7,"3",IF(D352&gt;$H$6/10*6,"4",IF(D352&gt;$H$6/10*5,"5",IF(D352&gt;$H$6/10*4,"6",IF(D352&gt;$H$6/10*3,"7",IF(D352&gt;$H$6/10*2,"8",IF(D352&gt;$H$6/10,"9","10")))))))))</f>
        <v>9</v>
      </c>
    </row>
    <row r="353" spans="1:5" x14ac:dyDescent="0.55000000000000004">
      <c r="A353">
        <v>85</v>
      </c>
      <c r="B353">
        <f>estuary_data!Y86*weights!$C$9</f>
        <v>2.7520044996714867E-2</v>
      </c>
      <c r="C353">
        <f>estuary_data!X86*weights!$C$10</f>
        <v>8.4954370331026915E-2</v>
      </c>
      <c r="D353">
        <f>SUM(B353:C353)</f>
        <v>0.11247441532774179</v>
      </c>
      <c r="E353" s="2" t="str">
        <f>IF(D353&gt;$H$6/10*9,"1",IF(D353&gt;$H$6/10*8,"2",IF(D353&gt;$H$6/10*7,"3",IF(D353&gt;$H$6/10*6,"4",IF(D353&gt;$H$6/10*5,"5",IF(D353&gt;$H$6/10*4,"6",IF(D353&gt;$H$6/10*3,"7",IF(D353&gt;$H$6/10*2,"8",IF(D353&gt;$H$6/10,"9","10")))))))))</f>
        <v>9</v>
      </c>
    </row>
    <row r="354" spans="1:5" x14ac:dyDescent="0.55000000000000004">
      <c r="A354">
        <v>87</v>
      </c>
      <c r="B354">
        <f>estuary_data!Y88*weights!$C$9</f>
        <v>4.6233644353397572E-2</v>
      </c>
      <c r="C354">
        <f>estuary_data!X88*weights!$C$10</f>
        <v>0.11211486617283227</v>
      </c>
      <c r="D354">
        <f>SUM(B354:C354)</f>
        <v>0.15834851052622984</v>
      </c>
      <c r="E354" s="2" t="str">
        <f>IF(D354&gt;$H$6/10*9,"1",IF(D354&gt;$H$6/10*8,"2",IF(D354&gt;$H$6/10*7,"3",IF(D354&gt;$H$6/10*6,"4",IF(D354&gt;$H$6/10*5,"5",IF(D354&gt;$H$6/10*4,"6",IF(D354&gt;$H$6/10*3,"7",IF(D354&gt;$H$6/10*2,"8",IF(D354&gt;$H$6/10,"9","10")))))))))</f>
        <v>9</v>
      </c>
    </row>
    <row r="355" spans="1:5" x14ac:dyDescent="0.55000000000000004">
      <c r="A355">
        <v>88</v>
      </c>
      <c r="B355">
        <f>estuary_data!Y89*weights!$C$9</f>
        <v>2.7068479314135523E-2</v>
      </c>
      <c r="C355">
        <f>estuary_data!X89*weights!$C$10</f>
        <v>8.5910727052714866E-2</v>
      </c>
      <c r="D355">
        <f>SUM(B355:C355)</f>
        <v>0.11297920636685038</v>
      </c>
      <c r="E355" s="2" t="str">
        <f>IF(D355&gt;$H$6/10*9,"1",IF(D355&gt;$H$6/10*8,"2",IF(D355&gt;$H$6/10*7,"3",IF(D355&gt;$H$6/10*6,"4",IF(D355&gt;$H$6/10*5,"5",IF(D355&gt;$H$6/10*4,"6",IF(D355&gt;$H$6/10*3,"7",IF(D355&gt;$H$6/10*2,"8",IF(D355&gt;$H$6/10,"9","10")))))))))</f>
        <v>9</v>
      </c>
    </row>
    <row r="356" spans="1:5" x14ac:dyDescent="0.55000000000000004">
      <c r="A356">
        <v>90</v>
      </c>
      <c r="B356">
        <f>estuary_data!Y91*weights!$C$9</f>
        <v>3.3935720477581019E-2</v>
      </c>
      <c r="C356">
        <f>estuary_data!X91*weights!$C$10</f>
        <v>9.4461236194836956E-2</v>
      </c>
      <c r="D356">
        <f>SUM(B356:C356)</f>
        <v>0.12839695667241796</v>
      </c>
      <c r="E356" s="2" t="str">
        <f>IF(D356&gt;$H$6/10*9,"1",IF(D356&gt;$H$6/10*8,"2",IF(D356&gt;$H$6/10*7,"3",IF(D356&gt;$H$6/10*6,"4",IF(D356&gt;$H$6/10*5,"5",IF(D356&gt;$H$6/10*4,"6",IF(D356&gt;$H$6/10*3,"7",IF(D356&gt;$H$6/10*2,"8",IF(D356&gt;$H$6/10,"9","10")))))))))</f>
        <v>9</v>
      </c>
    </row>
    <row r="357" spans="1:5" x14ac:dyDescent="0.55000000000000004">
      <c r="A357">
        <v>91</v>
      </c>
      <c r="B357">
        <f>estuary_data!Y92*weights!$C$9</f>
        <v>2.2565425813291875E-2</v>
      </c>
      <c r="C357">
        <f>estuary_data!X92*weights!$C$10</f>
        <v>9.0707853289250434E-2</v>
      </c>
      <c r="D357">
        <f>SUM(B357:C357)</f>
        <v>0.11327327910254231</v>
      </c>
      <c r="E357" s="2" t="str">
        <f>IF(D357&gt;$H$6/10*9,"1",IF(D357&gt;$H$6/10*8,"2",IF(D357&gt;$H$6/10*7,"3",IF(D357&gt;$H$6/10*6,"4",IF(D357&gt;$H$6/10*5,"5",IF(D357&gt;$H$6/10*4,"6",IF(D357&gt;$H$6/10*3,"7",IF(D357&gt;$H$6/10*2,"8",IF(D357&gt;$H$6/10,"9","10")))))))))</f>
        <v>9</v>
      </c>
    </row>
    <row r="358" spans="1:5" x14ac:dyDescent="0.55000000000000004">
      <c r="A358">
        <v>92</v>
      </c>
      <c r="B358">
        <f>estuary_data!Y93*weights!$C$9</f>
        <v>2.3742684012660366E-2</v>
      </c>
      <c r="C358">
        <f>estuary_data!X93*weights!$C$10</f>
        <v>9.5618802366052358E-2</v>
      </c>
      <c r="D358">
        <f>SUM(B358:C358)</f>
        <v>0.11936148637871272</v>
      </c>
      <c r="E358" s="2" t="str">
        <f>IF(D358&gt;$H$6/10*9,"1",IF(D358&gt;$H$6/10*8,"2",IF(D358&gt;$H$6/10*7,"3",IF(D358&gt;$H$6/10*6,"4",IF(D358&gt;$H$6/10*5,"5",IF(D358&gt;$H$6/10*4,"6",IF(D358&gt;$H$6/10*3,"7",IF(D358&gt;$H$6/10*2,"8",IF(D358&gt;$H$6/10,"9","10")))))))))</f>
        <v>9</v>
      </c>
    </row>
    <row r="359" spans="1:5" x14ac:dyDescent="0.55000000000000004">
      <c r="A359">
        <v>93</v>
      </c>
      <c r="B359">
        <f>estuary_data!Y94*weights!$C$9</f>
        <v>2.8685087929393217E-2</v>
      </c>
      <c r="C359">
        <f>estuary_data!X94*weights!$C$10</f>
        <v>0.11312389044448778</v>
      </c>
      <c r="D359">
        <f>SUM(B359:C359)</f>
        <v>0.14180897837388101</v>
      </c>
      <c r="E359" s="2" t="str">
        <f>IF(D359&gt;$H$6/10*9,"1",IF(D359&gt;$H$6/10*8,"2",IF(D359&gt;$H$6/10*7,"3",IF(D359&gt;$H$6/10*6,"4",IF(D359&gt;$H$6/10*5,"5",IF(D359&gt;$H$6/10*4,"6",IF(D359&gt;$H$6/10*3,"7",IF(D359&gt;$H$6/10*2,"8",IF(D359&gt;$H$6/10,"9","10")))))))))</f>
        <v>9</v>
      </c>
    </row>
    <row r="360" spans="1:5" x14ac:dyDescent="0.55000000000000004">
      <c r="A360">
        <v>96</v>
      </c>
      <c r="B360">
        <f>estuary_data!Y97*weights!$C$9</f>
        <v>3.9266430899557794E-2</v>
      </c>
      <c r="C360">
        <f>estuary_data!X97*weights!$C$10</f>
        <v>0.14797878322447269</v>
      </c>
      <c r="D360">
        <f>SUM(B360:C360)</f>
        <v>0.1872452141240305</v>
      </c>
      <c r="E360" s="2" t="str">
        <f>IF(D360&gt;$H$6/10*9,"1",IF(D360&gt;$H$6/10*8,"2",IF(D360&gt;$H$6/10*7,"3",IF(D360&gt;$H$6/10*6,"4",IF(D360&gt;$H$6/10*5,"5",IF(D360&gt;$H$6/10*4,"6",IF(D360&gt;$H$6/10*3,"7",IF(D360&gt;$H$6/10*2,"8",IF(D360&gt;$H$6/10,"9","10")))))))))</f>
        <v>9</v>
      </c>
    </row>
    <row r="361" spans="1:5" x14ac:dyDescent="0.55000000000000004">
      <c r="A361">
        <v>100</v>
      </c>
      <c r="B361">
        <f>estuary_data!Y101*weights!$C$9</f>
        <v>3.1420350607384191E-2</v>
      </c>
      <c r="C361">
        <f>estuary_data!X101*weights!$C$10</f>
        <v>0.11203669673922237</v>
      </c>
      <c r="D361">
        <f>SUM(B361:C361)</f>
        <v>0.14345704734660655</v>
      </c>
      <c r="E361" s="2" t="str">
        <f>IF(D361&gt;$H$6/10*9,"1",IF(D361&gt;$H$6/10*8,"2",IF(D361&gt;$H$6/10*7,"3",IF(D361&gt;$H$6/10*6,"4",IF(D361&gt;$H$6/10*5,"5",IF(D361&gt;$H$6/10*4,"6",IF(D361&gt;$H$6/10*3,"7",IF(D361&gt;$H$6/10*2,"8",IF(D361&gt;$H$6/10,"9","10")))))))))</f>
        <v>9</v>
      </c>
    </row>
    <row r="362" spans="1:5" x14ac:dyDescent="0.55000000000000004">
      <c r="A362">
        <v>101</v>
      </c>
      <c r="B362">
        <f>estuary_data!Y102*weights!$C$9</f>
        <v>2.6163512843777763E-2</v>
      </c>
      <c r="C362">
        <f>estuary_data!X102*weights!$C$10</f>
        <v>0.10221864165298297</v>
      </c>
      <c r="D362">
        <f>SUM(B362:C362)</f>
        <v>0.12838215449676074</v>
      </c>
      <c r="E362" s="2" t="str">
        <f>IF(D362&gt;$H$6/10*9,"1",IF(D362&gt;$H$6/10*8,"2",IF(D362&gt;$H$6/10*7,"3",IF(D362&gt;$H$6/10*6,"4",IF(D362&gt;$H$6/10*5,"5",IF(D362&gt;$H$6/10*4,"6",IF(D362&gt;$H$6/10*3,"7",IF(D362&gt;$H$6/10*2,"8",IF(D362&gt;$H$6/10,"9","10")))))))))</f>
        <v>9</v>
      </c>
    </row>
    <row r="363" spans="1:5" x14ac:dyDescent="0.55000000000000004">
      <c r="A363">
        <v>102</v>
      </c>
      <c r="B363">
        <f>estuary_data!Y103*weights!$C$9</f>
        <v>2.2585959579786336E-2</v>
      </c>
      <c r="C363">
        <f>estuary_data!X103*weights!$C$10</f>
        <v>8.8042509512200051E-2</v>
      </c>
      <c r="D363">
        <f>SUM(B363:C363)</f>
        <v>0.11062846909198638</v>
      </c>
      <c r="E363" s="2" t="str">
        <f>IF(D363&gt;$H$6/10*9,"1",IF(D363&gt;$H$6/10*8,"2",IF(D363&gt;$H$6/10*7,"3",IF(D363&gt;$H$6/10*6,"4",IF(D363&gt;$H$6/10*5,"5",IF(D363&gt;$H$6/10*4,"6",IF(D363&gt;$H$6/10*3,"7",IF(D363&gt;$H$6/10*2,"8",IF(D363&gt;$H$6/10,"9","10")))))))))</f>
        <v>9</v>
      </c>
    </row>
    <row r="364" spans="1:5" x14ac:dyDescent="0.55000000000000004">
      <c r="A364">
        <v>103</v>
      </c>
      <c r="B364">
        <f>estuary_data!Y104*weights!$C$9</f>
        <v>4.2035974860413564E-2</v>
      </c>
      <c r="C364">
        <f>estuary_data!X104*weights!$C$10</f>
        <v>0.11163016928927459</v>
      </c>
      <c r="D364">
        <f>SUM(B364:C364)</f>
        <v>0.15366614414968816</v>
      </c>
      <c r="E364" s="2" t="str">
        <f>IF(D364&gt;$H$6/10*9,"1",IF(D364&gt;$H$6/10*8,"2",IF(D364&gt;$H$6/10*7,"3",IF(D364&gt;$H$6/10*6,"4",IF(D364&gt;$H$6/10*5,"5",IF(D364&gt;$H$6/10*4,"6",IF(D364&gt;$H$6/10*3,"7",IF(D364&gt;$H$6/10*2,"8",IF(D364&gt;$H$6/10,"9","10")))))))))</f>
        <v>9</v>
      </c>
    </row>
    <row r="365" spans="1:5" x14ac:dyDescent="0.55000000000000004">
      <c r="A365">
        <v>104</v>
      </c>
      <c r="B365">
        <f>estuary_data!Y105*weights!$C$9</f>
        <v>3.3917842886543106E-2</v>
      </c>
      <c r="C365">
        <f>estuary_data!X105*weights!$C$10</f>
        <v>9.0836683681316505E-2</v>
      </c>
      <c r="D365">
        <f>SUM(B365:C365)</f>
        <v>0.12475452656785961</v>
      </c>
      <c r="E365" s="2" t="str">
        <f>IF(D365&gt;$H$6/10*9,"1",IF(D365&gt;$H$6/10*8,"2",IF(D365&gt;$H$6/10*7,"3",IF(D365&gt;$H$6/10*6,"4",IF(D365&gt;$H$6/10*5,"5",IF(D365&gt;$H$6/10*4,"6",IF(D365&gt;$H$6/10*3,"7",IF(D365&gt;$H$6/10*2,"8",IF(D365&gt;$H$6/10,"9","10")))))))))</f>
        <v>9</v>
      </c>
    </row>
    <row r="366" spans="1:5" x14ac:dyDescent="0.55000000000000004">
      <c r="A366">
        <v>107</v>
      </c>
      <c r="B366">
        <f>estuary_data!Y108*weights!$C$9</f>
        <v>3.3022143860929928E-2</v>
      </c>
      <c r="C366">
        <f>estuary_data!X108*weights!$C$10</f>
        <v>9.6117932016686475E-2</v>
      </c>
      <c r="D366">
        <f>SUM(B366:C366)</f>
        <v>0.12914007587761639</v>
      </c>
      <c r="E366" s="2" t="str">
        <f>IF(D366&gt;$H$6/10*9,"1",IF(D366&gt;$H$6/10*8,"2",IF(D366&gt;$H$6/10*7,"3",IF(D366&gt;$H$6/10*6,"4",IF(D366&gt;$H$6/10*5,"5",IF(D366&gt;$H$6/10*4,"6",IF(D366&gt;$H$6/10*3,"7",IF(D366&gt;$H$6/10*2,"8",IF(D366&gt;$H$6/10,"9","10")))))))))</f>
        <v>9</v>
      </c>
    </row>
    <row r="367" spans="1:5" x14ac:dyDescent="0.55000000000000004">
      <c r="A367">
        <v>108</v>
      </c>
      <c r="B367">
        <f>estuary_data!Y109*weights!$C$9</f>
        <v>2.9111449102726578E-2</v>
      </c>
      <c r="C367">
        <f>estuary_data!X109*weights!$C$10</f>
        <v>9.3193996974405155E-2</v>
      </c>
      <c r="D367">
        <f>SUM(B367:C367)</f>
        <v>0.12230544607713173</v>
      </c>
      <c r="E367" s="2" t="str">
        <f>IF(D367&gt;$H$6/10*9,"1",IF(D367&gt;$H$6/10*8,"2",IF(D367&gt;$H$6/10*7,"3",IF(D367&gt;$H$6/10*6,"4",IF(D367&gt;$H$6/10*5,"5",IF(D367&gt;$H$6/10*4,"6",IF(D367&gt;$H$6/10*3,"7",IF(D367&gt;$H$6/10*2,"8",IF(D367&gt;$H$6/10,"9","10")))))))))</f>
        <v>9</v>
      </c>
    </row>
    <row r="368" spans="1:5" x14ac:dyDescent="0.55000000000000004">
      <c r="A368">
        <v>109</v>
      </c>
      <c r="B368">
        <f>estuary_data!Y110*weights!$C$9</f>
        <v>2.8974992537557625E-2</v>
      </c>
      <c r="C368">
        <f>estuary_data!X110*weights!$C$10</f>
        <v>9.2563809963091256E-2</v>
      </c>
      <c r="D368">
        <f>SUM(B368:C368)</f>
        <v>0.12153880250064888</v>
      </c>
      <c r="E368" s="2" t="str">
        <f>IF(D368&gt;$H$6/10*9,"1",IF(D368&gt;$H$6/10*8,"2",IF(D368&gt;$H$6/10*7,"3",IF(D368&gt;$H$6/10*6,"4",IF(D368&gt;$H$6/10*5,"5",IF(D368&gt;$H$6/10*4,"6",IF(D368&gt;$H$6/10*3,"7",IF(D368&gt;$H$6/10*2,"8",IF(D368&gt;$H$6/10,"9","10")))))))))</f>
        <v>9</v>
      </c>
    </row>
    <row r="369" spans="1:5" x14ac:dyDescent="0.55000000000000004">
      <c r="A369">
        <v>111</v>
      </c>
      <c r="B369">
        <f>estuary_data!Y112*weights!$C$9</f>
        <v>2.6906214751669735E-2</v>
      </c>
      <c r="C369">
        <f>estuary_data!X112*weights!$C$10</f>
        <v>9.1472439402919936E-2</v>
      </c>
      <c r="D369">
        <f>SUM(B369:C369)</f>
        <v>0.11837865415458967</v>
      </c>
      <c r="E369" s="2" t="str">
        <f>IF(D369&gt;$H$6/10*9,"1",IF(D369&gt;$H$6/10*8,"2",IF(D369&gt;$H$6/10*7,"3",IF(D369&gt;$H$6/10*6,"4",IF(D369&gt;$H$6/10*5,"5",IF(D369&gt;$H$6/10*4,"6",IF(D369&gt;$H$6/10*3,"7",IF(D369&gt;$H$6/10*2,"8",IF(D369&gt;$H$6/10,"9","10")))))))))</f>
        <v>9</v>
      </c>
    </row>
    <row r="370" spans="1:5" x14ac:dyDescent="0.55000000000000004">
      <c r="A370">
        <v>112</v>
      </c>
      <c r="B370">
        <f>estuary_data!Y113*weights!$C$9</f>
        <v>3.0379535529406015E-2</v>
      </c>
      <c r="C370">
        <f>estuary_data!X113*weights!$C$10</f>
        <v>0.11172364397708413</v>
      </c>
      <c r="D370">
        <f>SUM(B370:C370)</f>
        <v>0.14210317950649015</v>
      </c>
      <c r="E370" s="2" t="str">
        <f>IF(D370&gt;$H$6/10*9,"1",IF(D370&gt;$H$6/10*8,"2",IF(D370&gt;$H$6/10*7,"3",IF(D370&gt;$H$6/10*6,"4",IF(D370&gt;$H$6/10*5,"5",IF(D370&gt;$H$6/10*4,"6",IF(D370&gt;$H$6/10*3,"7",IF(D370&gt;$H$6/10*2,"8",IF(D370&gt;$H$6/10,"9","10")))))))))</f>
        <v>9</v>
      </c>
    </row>
    <row r="371" spans="1:5" x14ac:dyDescent="0.55000000000000004">
      <c r="A371">
        <v>113</v>
      </c>
      <c r="B371">
        <f>estuary_data!Y114*weights!$C$9</f>
        <v>3.656295036124927E-2</v>
      </c>
      <c r="C371">
        <f>estuary_data!X114*weights!$C$10</f>
        <v>0.12523031687589842</v>
      </c>
      <c r="D371">
        <f>SUM(B371:C371)</f>
        <v>0.16179326723714768</v>
      </c>
      <c r="E371" s="2" t="str">
        <f>IF(D371&gt;$H$6/10*9,"1",IF(D371&gt;$H$6/10*8,"2",IF(D371&gt;$H$6/10*7,"3",IF(D371&gt;$H$6/10*6,"4",IF(D371&gt;$H$6/10*5,"5",IF(D371&gt;$H$6/10*4,"6",IF(D371&gt;$H$6/10*3,"7",IF(D371&gt;$H$6/10*2,"8",IF(D371&gt;$H$6/10,"9","10")))))))))</f>
        <v>9</v>
      </c>
    </row>
    <row r="372" spans="1:5" x14ac:dyDescent="0.55000000000000004">
      <c r="A372">
        <v>114</v>
      </c>
      <c r="B372">
        <f>estuary_data!Y115*weights!$C$9</f>
        <v>2.6516880767705742E-2</v>
      </c>
      <c r="C372">
        <f>estuary_data!X115*weights!$C$10</f>
        <v>7.2807875218380572E-2</v>
      </c>
      <c r="D372">
        <f>SUM(B372:C372)</f>
        <v>9.9324755986086311E-2</v>
      </c>
      <c r="E372" s="2" t="str">
        <f>IF(D372&gt;$H$6/10*9,"1",IF(D372&gt;$H$6/10*8,"2",IF(D372&gt;$H$6/10*7,"3",IF(D372&gt;$H$6/10*6,"4",IF(D372&gt;$H$6/10*5,"5",IF(D372&gt;$H$6/10*4,"6",IF(D372&gt;$H$6/10*3,"7",IF(D372&gt;$H$6/10*2,"8",IF(D372&gt;$H$6/10,"9","10")))))))))</f>
        <v>9</v>
      </c>
    </row>
    <row r="373" spans="1:5" x14ac:dyDescent="0.55000000000000004">
      <c r="A373">
        <v>116</v>
      </c>
      <c r="B373">
        <f>estuary_data!Y117*weights!$C$9</f>
        <v>4.1115407843448248E-2</v>
      </c>
      <c r="C373">
        <f>estuary_data!X117*weights!$C$10</f>
        <v>0.10040424346114023</v>
      </c>
      <c r="D373">
        <f>SUM(B373:C373)</f>
        <v>0.14151965130458849</v>
      </c>
      <c r="E373" s="2" t="str">
        <f>IF(D373&gt;$H$6/10*9,"1",IF(D373&gt;$H$6/10*8,"2",IF(D373&gt;$H$6/10*7,"3",IF(D373&gt;$H$6/10*6,"4",IF(D373&gt;$H$6/10*5,"5",IF(D373&gt;$H$6/10*4,"6",IF(D373&gt;$H$6/10*3,"7",IF(D373&gt;$H$6/10*2,"8",IF(D373&gt;$H$6/10,"9","10")))))))))</f>
        <v>9</v>
      </c>
    </row>
    <row r="374" spans="1:5" x14ac:dyDescent="0.55000000000000004">
      <c r="A374">
        <v>119</v>
      </c>
      <c r="B374">
        <f>estuary_data!Y120*weights!$C$9</f>
        <v>4.3366616024538077E-2</v>
      </c>
      <c r="C374">
        <f>estuary_data!X120*weights!$C$10</f>
        <v>8.4129023286084306E-2</v>
      </c>
      <c r="D374">
        <f>SUM(B374:C374)</f>
        <v>0.12749563931062238</v>
      </c>
      <c r="E374" s="2" t="str">
        <f>IF(D374&gt;$H$6/10*9,"1",IF(D374&gt;$H$6/10*8,"2",IF(D374&gt;$H$6/10*7,"3",IF(D374&gt;$H$6/10*6,"4",IF(D374&gt;$H$6/10*5,"5",IF(D374&gt;$H$6/10*4,"6",IF(D374&gt;$H$6/10*3,"7",IF(D374&gt;$H$6/10*2,"8",IF(D374&gt;$H$6/10,"9","10")))))))))</f>
        <v>9</v>
      </c>
    </row>
    <row r="375" spans="1:5" x14ac:dyDescent="0.55000000000000004">
      <c r="A375">
        <v>121</v>
      </c>
      <c r="B375">
        <f>estuary_data!Y122*weights!$C$9</f>
        <v>3.4154742850691325E-2</v>
      </c>
      <c r="C375">
        <f>estuary_data!X122*weights!$C$10</f>
        <v>7.5986157655727901E-2</v>
      </c>
      <c r="D375">
        <f>SUM(B375:C375)</f>
        <v>0.11014090050641923</v>
      </c>
      <c r="E375" s="2" t="str">
        <f>IF(D375&gt;$H$6/10*9,"1",IF(D375&gt;$H$6/10*8,"2",IF(D375&gt;$H$6/10*7,"3",IF(D375&gt;$H$6/10*6,"4",IF(D375&gt;$H$6/10*5,"5",IF(D375&gt;$H$6/10*4,"6",IF(D375&gt;$H$6/10*3,"7",IF(D375&gt;$H$6/10*2,"8",IF(D375&gt;$H$6/10,"9","10")))))))))</f>
        <v>9</v>
      </c>
    </row>
    <row r="376" spans="1:5" x14ac:dyDescent="0.55000000000000004">
      <c r="A376">
        <v>122</v>
      </c>
      <c r="B376">
        <f>estuary_data!Y123*weights!$C$9</f>
        <v>3.3192652894203326E-2</v>
      </c>
      <c r="C376">
        <f>estuary_data!X123*weights!$C$10</f>
        <v>7.9194214199491464E-2</v>
      </c>
      <c r="D376">
        <f>SUM(B376:C376)</f>
        <v>0.11238686709369479</v>
      </c>
      <c r="E376" s="2" t="str">
        <f>IF(D376&gt;$H$6/10*9,"1",IF(D376&gt;$H$6/10*8,"2",IF(D376&gt;$H$6/10*7,"3",IF(D376&gt;$H$6/10*6,"4",IF(D376&gt;$H$6/10*5,"5",IF(D376&gt;$H$6/10*4,"6",IF(D376&gt;$H$6/10*3,"7",IF(D376&gt;$H$6/10*2,"8",IF(D376&gt;$H$6/10,"9","10")))))))))</f>
        <v>9</v>
      </c>
    </row>
    <row r="377" spans="1:5" x14ac:dyDescent="0.55000000000000004">
      <c r="A377">
        <v>123</v>
      </c>
      <c r="B377">
        <f>estuary_data!Y124*weights!$C$9</f>
        <v>3.1822853307761835E-2</v>
      </c>
      <c r="C377">
        <f>estuary_data!X124*weights!$C$10</f>
        <v>8.8406903695426836E-2</v>
      </c>
      <c r="D377">
        <f>SUM(B377:C377)</f>
        <v>0.12022975700318866</v>
      </c>
      <c r="E377" s="2" t="str">
        <f>IF(D377&gt;$H$6/10*9,"1",IF(D377&gt;$H$6/10*8,"2",IF(D377&gt;$H$6/10*7,"3",IF(D377&gt;$H$6/10*6,"4",IF(D377&gt;$H$6/10*5,"5",IF(D377&gt;$H$6/10*4,"6",IF(D377&gt;$H$6/10*3,"7",IF(D377&gt;$H$6/10*2,"8",IF(D377&gt;$H$6/10,"9","10")))))))))</f>
        <v>9</v>
      </c>
    </row>
    <row r="378" spans="1:5" x14ac:dyDescent="0.55000000000000004">
      <c r="A378">
        <v>124</v>
      </c>
      <c r="B378">
        <f>estuary_data!Y125*weights!$C$9</f>
        <v>2.6738920510498806E-2</v>
      </c>
      <c r="C378">
        <f>estuary_data!X125*weights!$C$10</f>
        <v>8.1489709782218978E-2</v>
      </c>
      <c r="D378">
        <f>SUM(B378:C378)</f>
        <v>0.10822863029271779</v>
      </c>
      <c r="E378" s="2" t="str">
        <f>IF(D378&gt;$H$6/10*9,"1",IF(D378&gt;$H$6/10*8,"2",IF(D378&gt;$H$6/10*7,"3",IF(D378&gt;$H$6/10*6,"4",IF(D378&gt;$H$6/10*5,"5",IF(D378&gt;$H$6/10*4,"6",IF(D378&gt;$H$6/10*3,"7",IF(D378&gt;$H$6/10*2,"8",IF(D378&gt;$H$6/10,"9","10")))))))))</f>
        <v>9</v>
      </c>
    </row>
    <row r="379" spans="1:5" x14ac:dyDescent="0.55000000000000004">
      <c r="A379">
        <v>127</v>
      </c>
      <c r="B379">
        <f>estuary_data!Y128*weights!$C$9</f>
        <v>3.0855428558777223E-2</v>
      </c>
      <c r="C379">
        <f>estuary_data!X128*weights!$C$10</f>
        <v>8.7886054657032642E-2</v>
      </c>
      <c r="D379">
        <f>SUM(B379:C379)</f>
        <v>0.11874148321580986</v>
      </c>
      <c r="E379" s="2" t="str">
        <f>IF(D379&gt;$H$6/10*9,"1",IF(D379&gt;$H$6/10*8,"2",IF(D379&gt;$H$6/10*7,"3",IF(D379&gt;$H$6/10*6,"4",IF(D379&gt;$H$6/10*5,"5",IF(D379&gt;$H$6/10*4,"6",IF(D379&gt;$H$6/10*3,"7",IF(D379&gt;$H$6/10*2,"8",IF(D379&gt;$H$6/10,"9","10")))))))))</f>
        <v>9</v>
      </c>
    </row>
    <row r="380" spans="1:5" x14ac:dyDescent="0.55000000000000004">
      <c r="A380">
        <v>128</v>
      </c>
      <c r="B380">
        <f>estuary_data!Y129*weights!$C$9</f>
        <v>3.4895221571600736E-2</v>
      </c>
      <c r="C380">
        <f>estuary_data!X129*weights!$C$10</f>
        <v>0.10776654628227962</v>
      </c>
      <c r="D380">
        <f>SUM(B380:C380)</f>
        <v>0.14266176785388035</v>
      </c>
      <c r="E380" s="2" t="str">
        <f>IF(D380&gt;$H$6/10*9,"1",IF(D380&gt;$H$6/10*8,"2",IF(D380&gt;$H$6/10*7,"3",IF(D380&gt;$H$6/10*6,"4",IF(D380&gt;$H$6/10*5,"5",IF(D380&gt;$H$6/10*4,"6",IF(D380&gt;$H$6/10*3,"7",IF(D380&gt;$H$6/10*2,"8",IF(D380&gt;$H$6/10,"9","10")))))))))</f>
        <v>9</v>
      </c>
    </row>
    <row r="381" spans="1:5" x14ac:dyDescent="0.55000000000000004">
      <c r="A381">
        <v>129</v>
      </c>
      <c r="B381">
        <f>estuary_data!Y130*weights!$C$9</f>
        <v>2.5948948077186205E-2</v>
      </c>
      <c r="C381">
        <f>estuary_data!X130*weights!$C$10</f>
        <v>9.0582951022378427E-2</v>
      </c>
      <c r="D381">
        <f>SUM(B381:C381)</f>
        <v>0.11653189909956463</v>
      </c>
      <c r="E381" s="2" t="str">
        <f>IF(D381&gt;$H$6/10*9,"1",IF(D381&gt;$H$6/10*8,"2",IF(D381&gt;$H$6/10*7,"3",IF(D381&gt;$H$6/10*6,"4",IF(D381&gt;$H$6/10*5,"5",IF(D381&gt;$H$6/10*4,"6",IF(D381&gt;$H$6/10*3,"7",IF(D381&gt;$H$6/10*2,"8",IF(D381&gt;$H$6/10,"9","10")))))))))</f>
        <v>9</v>
      </c>
    </row>
    <row r="382" spans="1:5" x14ac:dyDescent="0.55000000000000004">
      <c r="A382">
        <v>130</v>
      </c>
      <c r="B382">
        <f>estuary_data!Y131*weights!$C$9</f>
        <v>3.5332846820173305E-2</v>
      </c>
      <c r="C382">
        <f>estuary_data!X131*weights!$C$10</f>
        <v>0.1045575476586221</v>
      </c>
      <c r="D382">
        <f>SUM(B382:C382)</f>
        <v>0.13989039447879542</v>
      </c>
      <c r="E382" s="2" t="str">
        <f>IF(D382&gt;$H$6/10*9,"1",IF(D382&gt;$H$6/10*8,"2",IF(D382&gt;$H$6/10*7,"3",IF(D382&gt;$H$6/10*6,"4",IF(D382&gt;$H$6/10*5,"5",IF(D382&gt;$H$6/10*4,"6",IF(D382&gt;$H$6/10*3,"7",IF(D382&gt;$H$6/10*2,"8",IF(D382&gt;$H$6/10,"9","10")))))))))</f>
        <v>9</v>
      </c>
    </row>
    <row r="383" spans="1:5" x14ac:dyDescent="0.55000000000000004">
      <c r="A383">
        <v>131</v>
      </c>
      <c r="B383">
        <f>estuary_data!Y132*weights!$C$9</f>
        <v>3.2306055318541041E-2</v>
      </c>
      <c r="C383">
        <f>estuary_data!X132*weights!$C$10</f>
        <v>8.3006716162500022E-2</v>
      </c>
      <c r="D383">
        <f>SUM(B383:C383)</f>
        <v>0.11531277148104106</v>
      </c>
      <c r="E383" s="2" t="str">
        <f>IF(D383&gt;$H$6/10*9,"1",IF(D383&gt;$H$6/10*8,"2",IF(D383&gt;$H$6/10*7,"3",IF(D383&gt;$H$6/10*6,"4",IF(D383&gt;$H$6/10*5,"5",IF(D383&gt;$H$6/10*4,"6",IF(D383&gt;$H$6/10*3,"7",IF(D383&gt;$H$6/10*2,"8",IF(D383&gt;$H$6/10,"9","10")))))))))</f>
        <v>9</v>
      </c>
    </row>
    <row r="384" spans="1:5" x14ac:dyDescent="0.55000000000000004">
      <c r="A384">
        <v>133</v>
      </c>
      <c r="B384">
        <f>estuary_data!Y134*weights!$C$9</f>
        <v>3.4234822982752801E-2</v>
      </c>
      <c r="C384">
        <f>estuary_data!X134*weights!$C$10</f>
        <v>0.1238434167551186</v>
      </c>
      <c r="D384">
        <f>SUM(B384:C384)</f>
        <v>0.15807823973787141</v>
      </c>
      <c r="E384" s="2" t="str">
        <f>IF(D384&gt;$H$6/10*9,"1",IF(D384&gt;$H$6/10*8,"2",IF(D384&gt;$H$6/10*7,"3",IF(D384&gt;$H$6/10*6,"4",IF(D384&gt;$H$6/10*5,"5",IF(D384&gt;$H$6/10*4,"6",IF(D384&gt;$H$6/10*3,"7",IF(D384&gt;$H$6/10*2,"8",IF(D384&gt;$H$6/10,"9","10")))))))))</f>
        <v>9</v>
      </c>
    </row>
    <row r="385" spans="1:5" x14ac:dyDescent="0.55000000000000004">
      <c r="A385">
        <v>134</v>
      </c>
      <c r="B385">
        <f>estuary_data!Y135*weights!$C$9</f>
        <v>2.4278661817409931E-2</v>
      </c>
      <c r="C385">
        <f>estuary_data!X135*weights!$C$10</f>
        <v>8.8673531636743741E-2</v>
      </c>
      <c r="D385">
        <f>SUM(B385:C385)</f>
        <v>0.11295219345415367</v>
      </c>
      <c r="E385" s="2" t="str">
        <f>IF(D385&gt;$H$6/10*9,"1",IF(D385&gt;$H$6/10*8,"2",IF(D385&gt;$H$6/10*7,"3",IF(D385&gt;$H$6/10*6,"4",IF(D385&gt;$H$6/10*5,"5",IF(D385&gt;$H$6/10*4,"6",IF(D385&gt;$H$6/10*3,"7",IF(D385&gt;$H$6/10*2,"8",IF(D385&gt;$H$6/10,"9","10")))))))))</f>
        <v>9</v>
      </c>
    </row>
    <row r="386" spans="1:5" x14ac:dyDescent="0.55000000000000004">
      <c r="A386">
        <v>135</v>
      </c>
      <c r="B386">
        <f>estuary_data!Y136*weights!$C$9</f>
        <v>2.170672258470726E-2</v>
      </c>
      <c r="C386">
        <f>estuary_data!X136*weights!$C$10</f>
        <v>9.2686619291867917E-2</v>
      </c>
      <c r="D386">
        <f>SUM(B386:C386)</f>
        <v>0.11439334187657518</v>
      </c>
      <c r="E386" s="2" t="str">
        <f>IF(D386&gt;$H$6/10*9,"1",IF(D386&gt;$H$6/10*8,"2",IF(D386&gt;$H$6/10*7,"3",IF(D386&gt;$H$6/10*6,"4",IF(D386&gt;$H$6/10*5,"5",IF(D386&gt;$H$6/10*4,"6",IF(D386&gt;$H$6/10*3,"7",IF(D386&gt;$H$6/10*2,"8",IF(D386&gt;$H$6/10,"9","10")))))))))</f>
        <v>9</v>
      </c>
    </row>
    <row r="387" spans="1:5" x14ac:dyDescent="0.55000000000000004">
      <c r="A387">
        <v>136</v>
      </c>
      <c r="B387">
        <f>estuary_data!Y137*weights!$C$9</f>
        <v>3.4828305662931387E-2</v>
      </c>
      <c r="C387">
        <f>estuary_data!X137*weights!$C$10</f>
        <v>0.10179915061664173</v>
      </c>
      <c r="D387">
        <f>SUM(B387:C387)</f>
        <v>0.13662745627957312</v>
      </c>
      <c r="E387" s="2" t="str">
        <f>IF(D387&gt;$H$6/10*9,"1",IF(D387&gt;$H$6/10*8,"2",IF(D387&gt;$H$6/10*7,"3",IF(D387&gt;$H$6/10*6,"4",IF(D387&gt;$H$6/10*5,"5",IF(D387&gt;$H$6/10*4,"6",IF(D387&gt;$H$6/10*3,"7",IF(D387&gt;$H$6/10*2,"8",IF(D387&gt;$H$6/10,"9","10")))))))))</f>
        <v>9</v>
      </c>
    </row>
    <row r="388" spans="1:5" x14ac:dyDescent="0.55000000000000004">
      <c r="A388">
        <v>137</v>
      </c>
      <c r="B388">
        <f>estuary_data!Y138*weights!$C$9</f>
        <v>3.026385051977282E-2</v>
      </c>
      <c r="C388">
        <f>estuary_data!X138*weights!$C$10</f>
        <v>0.10617113075996139</v>
      </c>
      <c r="D388">
        <f>SUM(B388:C388)</f>
        <v>0.13643498127973422</v>
      </c>
      <c r="E388" s="2" t="str">
        <f>IF(D388&gt;$H$6/10*9,"1",IF(D388&gt;$H$6/10*8,"2",IF(D388&gt;$H$6/10*7,"3",IF(D388&gt;$H$6/10*6,"4",IF(D388&gt;$H$6/10*5,"5",IF(D388&gt;$H$6/10*4,"6",IF(D388&gt;$H$6/10*3,"7",IF(D388&gt;$H$6/10*2,"8",IF(D388&gt;$H$6/10,"9","10")))))))))</f>
        <v>9</v>
      </c>
    </row>
    <row r="389" spans="1:5" x14ac:dyDescent="0.55000000000000004">
      <c r="A389">
        <v>138</v>
      </c>
      <c r="B389">
        <f>estuary_data!Y139*weights!$C$9</f>
        <v>3.3335386480800609E-2</v>
      </c>
      <c r="C389">
        <f>estuary_data!X139*weights!$C$10</f>
        <v>9.2174987429125541E-2</v>
      </c>
      <c r="D389">
        <f>SUM(B389:C389)</f>
        <v>0.12551037390992614</v>
      </c>
      <c r="E389" s="2" t="str">
        <f>IF(D389&gt;$H$6/10*9,"1",IF(D389&gt;$H$6/10*8,"2",IF(D389&gt;$H$6/10*7,"3",IF(D389&gt;$H$6/10*6,"4",IF(D389&gt;$H$6/10*5,"5",IF(D389&gt;$H$6/10*4,"6",IF(D389&gt;$H$6/10*3,"7",IF(D389&gt;$H$6/10*2,"8",IF(D389&gt;$H$6/10,"9","10")))))))))</f>
        <v>9</v>
      </c>
    </row>
    <row r="390" spans="1:5" x14ac:dyDescent="0.55000000000000004">
      <c r="A390">
        <v>139</v>
      </c>
      <c r="B390">
        <f>estuary_data!Y140*weights!$C$9</f>
        <v>3.0831998569512235E-2</v>
      </c>
      <c r="C390">
        <f>estuary_data!X140*weights!$C$10</f>
        <v>8.8989043343393151E-2</v>
      </c>
      <c r="D390">
        <f>SUM(B390:C390)</f>
        <v>0.11982104191290538</v>
      </c>
      <c r="E390" s="2" t="str">
        <f>IF(D390&gt;$H$6/10*9,"1",IF(D390&gt;$H$6/10*8,"2",IF(D390&gt;$H$6/10*7,"3",IF(D390&gt;$H$6/10*6,"4",IF(D390&gt;$H$6/10*5,"5",IF(D390&gt;$H$6/10*4,"6",IF(D390&gt;$H$6/10*3,"7",IF(D390&gt;$H$6/10*2,"8",IF(D390&gt;$H$6/10,"9","10")))))))))</f>
        <v>9</v>
      </c>
    </row>
    <row r="391" spans="1:5" x14ac:dyDescent="0.55000000000000004">
      <c r="A391">
        <v>140</v>
      </c>
      <c r="B391">
        <f>estuary_data!Y141*weights!$C$9</f>
        <v>3.0103717178492886E-2</v>
      </c>
      <c r="C391">
        <f>estuary_data!X141*weights!$C$10</f>
        <v>9.9860252249481807E-2</v>
      </c>
      <c r="D391">
        <f>SUM(B391:C391)</f>
        <v>0.1299639694279747</v>
      </c>
      <c r="E391" s="2" t="str">
        <f>IF(D391&gt;$H$6/10*9,"1",IF(D391&gt;$H$6/10*8,"2",IF(D391&gt;$H$6/10*7,"3",IF(D391&gt;$H$6/10*6,"4",IF(D391&gt;$H$6/10*5,"5",IF(D391&gt;$H$6/10*4,"6",IF(D391&gt;$H$6/10*3,"7",IF(D391&gt;$H$6/10*2,"8",IF(D391&gt;$H$6/10,"9","10")))))))))</f>
        <v>9</v>
      </c>
    </row>
    <row r="392" spans="1:5" x14ac:dyDescent="0.55000000000000004">
      <c r="A392">
        <v>141</v>
      </c>
      <c r="B392">
        <f>estuary_data!Y142*weights!$C$9</f>
        <v>3.1154842905510682E-2</v>
      </c>
      <c r="C392">
        <f>estuary_data!X142*weights!$C$10</f>
        <v>0.10299331871818433</v>
      </c>
      <c r="D392">
        <f>SUM(B392:C392)</f>
        <v>0.13414816162369503</v>
      </c>
      <c r="E392" s="2" t="str">
        <f>IF(D392&gt;$H$6/10*9,"1",IF(D392&gt;$H$6/10*8,"2",IF(D392&gt;$H$6/10*7,"3",IF(D392&gt;$H$6/10*6,"4",IF(D392&gt;$H$6/10*5,"5",IF(D392&gt;$H$6/10*4,"6",IF(D392&gt;$H$6/10*3,"7",IF(D392&gt;$H$6/10*2,"8",IF(D392&gt;$H$6/10,"9","10")))))))))</f>
        <v>9</v>
      </c>
    </row>
    <row r="393" spans="1:5" x14ac:dyDescent="0.55000000000000004">
      <c r="A393">
        <v>142</v>
      </c>
      <c r="B393">
        <f>estuary_data!Y143*weights!$C$9</f>
        <v>3.4960367429786691E-2</v>
      </c>
      <c r="C393">
        <f>estuary_data!X143*weights!$C$10</f>
        <v>0.11320231891784927</v>
      </c>
      <c r="D393">
        <f>SUM(B393:C393)</f>
        <v>0.14816268634763596</v>
      </c>
      <c r="E393" s="2" t="str">
        <f>IF(D393&gt;$H$6/10*9,"1",IF(D393&gt;$H$6/10*8,"2",IF(D393&gt;$H$6/10*7,"3",IF(D393&gt;$H$6/10*6,"4",IF(D393&gt;$H$6/10*5,"5",IF(D393&gt;$H$6/10*4,"6",IF(D393&gt;$H$6/10*3,"7",IF(D393&gt;$H$6/10*2,"8",IF(D393&gt;$H$6/10,"9","10")))))))))</f>
        <v>9</v>
      </c>
    </row>
    <row r="394" spans="1:5" x14ac:dyDescent="0.55000000000000004">
      <c r="A394">
        <v>143</v>
      </c>
      <c r="B394">
        <f>estuary_data!Y144*weights!$C$9</f>
        <v>3.5374668133955366E-2</v>
      </c>
      <c r="C394">
        <f>estuary_data!X144*weights!$C$10</f>
        <v>0.1130259785732652</v>
      </c>
      <c r="D394">
        <f>SUM(B394:C394)</f>
        <v>0.14840064670722056</v>
      </c>
      <c r="E394" s="2" t="str">
        <f>IF(D394&gt;$H$6/10*9,"1",IF(D394&gt;$H$6/10*8,"2",IF(D394&gt;$H$6/10*7,"3",IF(D394&gt;$H$6/10*6,"4",IF(D394&gt;$H$6/10*5,"5",IF(D394&gt;$H$6/10*4,"6",IF(D394&gt;$H$6/10*3,"7",IF(D394&gt;$H$6/10*2,"8",IF(D394&gt;$H$6/10,"9","10")))))))))</f>
        <v>9</v>
      </c>
    </row>
    <row r="395" spans="1:5" x14ac:dyDescent="0.55000000000000004">
      <c r="A395">
        <v>144</v>
      </c>
      <c r="B395">
        <f>estuary_data!Y145*weights!$C$9</f>
        <v>4.727961699652531E-2</v>
      </c>
      <c r="C395">
        <f>estuary_data!X145*weights!$C$10</f>
        <v>0.1261536041446743</v>
      </c>
      <c r="D395">
        <f>SUM(B395:C395)</f>
        <v>0.17343322114119961</v>
      </c>
      <c r="E395" s="2" t="str">
        <f>IF(D395&gt;$H$6/10*9,"1",IF(D395&gt;$H$6/10*8,"2",IF(D395&gt;$H$6/10*7,"3",IF(D395&gt;$H$6/10*6,"4",IF(D395&gt;$H$6/10*5,"5",IF(D395&gt;$H$6/10*4,"6",IF(D395&gt;$H$6/10*3,"7",IF(D395&gt;$H$6/10*2,"8",IF(D395&gt;$H$6/10,"9","10")))))))))</f>
        <v>9</v>
      </c>
    </row>
    <row r="396" spans="1:5" x14ac:dyDescent="0.55000000000000004">
      <c r="A396">
        <v>146</v>
      </c>
      <c r="B396">
        <f>estuary_data!Y147*weights!$C$9</f>
        <v>5.1113453142539927E-2</v>
      </c>
      <c r="C396">
        <f>estuary_data!X147*weights!$C$10</f>
        <v>0.12840904006745099</v>
      </c>
      <c r="D396">
        <f>SUM(B396:C396)</f>
        <v>0.17952249320999092</v>
      </c>
      <c r="E396" s="2" t="str">
        <f>IF(D396&gt;$H$6/10*9,"1",IF(D396&gt;$H$6/10*8,"2",IF(D396&gt;$H$6/10*7,"3",IF(D396&gt;$H$6/10*6,"4",IF(D396&gt;$H$6/10*5,"5",IF(D396&gt;$H$6/10*4,"6",IF(D396&gt;$H$6/10*3,"7",IF(D396&gt;$H$6/10*2,"8",IF(D396&gt;$H$6/10,"9","10")))))))))</f>
        <v>9</v>
      </c>
    </row>
    <row r="397" spans="1:5" x14ac:dyDescent="0.55000000000000004">
      <c r="A397">
        <v>147</v>
      </c>
      <c r="B397">
        <f>estuary_data!Y148*weights!$C$9</f>
        <v>3.7153101607196405E-2</v>
      </c>
      <c r="C397">
        <f>estuary_data!X148*weights!$C$10</f>
        <v>0.13140874488155979</v>
      </c>
      <c r="D397">
        <f>SUM(B397:C397)</f>
        <v>0.16856184648875619</v>
      </c>
      <c r="E397" s="2" t="str">
        <f>IF(D397&gt;$H$6/10*9,"1",IF(D397&gt;$H$6/10*8,"2",IF(D397&gt;$H$6/10*7,"3",IF(D397&gt;$H$6/10*6,"4",IF(D397&gt;$H$6/10*5,"5",IF(D397&gt;$H$6/10*4,"6",IF(D397&gt;$H$6/10*3,"7",IF(D397&gt;$H$6/10*2,"8",IF(D397&gt;$H$6/10,"9","10")))))))))</f>
        <v>9</v>
      </c>
    </row>
    <row r="398" spans="1:5" x14ac:dyDescent="0.55000000000000004">
      <c r="A398">
        <v>148</v>
      </c>
      <c r="B398">
        <f>estuary_data!Y149*weights!$C$9</f>
        <v>4.315507760191023E-2</v>
      </c>
      <c r="C398">
        <f>estuary_data!X149*weights!$C$10</f>
        <v>8.1677284204006828E-2</v>
      </c>
      <c r="D398">
        <f>SUM(B398:C398)</f>
        <v>0.12483236180591706</v>
      </c>
      <c r="E398" s="2" t="str">
        <f>IF(D398&gt;$H$6/10*9,"1",IF(D398&gt;$H$6/10*8,"2",IF(D398&gt;$H$6/10*7,"3",IF(D398&gt;$H$6/10*6,"4",IF(D398&gt;$H$6/10*5,"5",IF(D398&gt;$H$6/10*4,"6",IF(D398&gt;$H$6/10*3,"7",IF(D398&gt;$H$6/10*2,"8",IF(D398&gt;$H$6/10,"9","10")))))))))</f>
        <v>9</v>
      </c>
    </row>
    <row r="399" spans="1:5" x14ac:dyDescent="0.55000000000000004">
      <c r="A399">
        <v>150</v>
      </c>
      <c r="B399">
        <f>estuary_data!Y151*weights!$C$9</f>
        <v>3.9483254762017729E-2</v>
      </c>
      <c r="C399">
        <f>estuary_data!X151*weights!$C$10</f>
        <v>9.3917332618517063E-2</v>
      </c>
      <c r="D399">
        <f>SUM(B399:C399)</f>
        <v>0.13340058738053479</v>
      </c>
      <c r="E399" s="2" t="str">
        <f>IF(D399&gt;$H$6/10*9,"1",IF(D399&gt;$H$6/10*8,"2",IF(D399&gt;$H$6/10*7,"3",IF(D399&gt;$H$6/10*6,"4",IF(D399&gt;$H$6/10*5,"5",IF(D399&gt;$H$6/10*4,"6",IF(D399&gt;$H$6/10*3,"7",IF(D399&gt;$H$6/10*2,"8",IF(D399&gt;$H$6/10,"9","10")))))))))</f>
        <v>9</v>
      </c>
    </row>
    <row r="400" spans="1:5" x14ac:dyDescent="0.55000000000000004">
      <c r="A400">
        <v>152</v>
      </c>
      <c r="B400">
        <f>estuary_data!Y153*weights!$C$9</f>
        <v>3.1377607259743173E-2</v>
      </c>
      <c r="C400">
        <f>estuary_data!X153*weights!$C$10</f>
        <v>0.10191233810070074</v>
      </c>
      <c r="D400">
        <f>SUM(B400:C400)</f>
        <v>0.13328994536044392</v>
      </c>
      <c r="E400" s="2" t="str">
        <f>IF(D400&gt;$H$6/10*9,"1",IF(D400&gt;$H$6/10*8,"2",IF(D400&gt;$H$6/10*7,"3",IF(D400&gt;$H$6/10*6,"4",IF(D400&gt;$H$6/10*5,"5",IF(D400&gt;$H$6/10*4,"6",IF(D400&gt;$H$6/10*3,"7",IF(D400&gt;$H$6/10*2,"8",IF(D400&gt;$H$6/10,"9","10")))))))))</f>
        <v>9</v>
      </c>
    </row>
    <row r="401" spans="1:5" x14ac:dyDescent="0.55000000000000004">
      <c r="A401">
        <v>153</v>
      </c>
      <c r="B401">
        <f>estuary_data!Y154*weights!$C$9</f>
        <v>3.8058736608558782E-2</v>
      </c>
      <c r="C401">
        <f>estuary_data!X154*weights!$C$10</f>
        <v>8.1207181181898236E-2</v>
      </c>
      <c r="D401">
        <f>SUM(B401:C401)</f>
        <v>0.11926591779045702</v>
      </c>
      <c r="E401" s="2" t="str">
        <f>IF(D401&gt;$H$6/10*9,"1",IF(D401&gt;$H$6/10*8,"2",IF(D401&gt;$H$6/10*7,"3",IF(D401&gt;$H$6/10*6,"4",IF(D401&gt;$H$6/10*5,"5",IF(D401&gt;$H$6/10*4,"6",IF(D401&gt;$H$6/10*3,"7",IF(D401&gt;$H$6/10*2,"8",IF(D401&gt;$H$6/10,"9","10")))))))))</f>
        <v>9</v>
      </c>
    </row>
    <row r="402" spans="1:5" x14ac:dyDescent="0.55000000000000004">
      <c r="A402">
        <v>154</v>
      </c>
      <c r="B402">
        <f>estuary_data!Y155*weights!$C$9</f>
        <v>4.8418825020825805E-2</v>
      </c>
      <c r="C402">
        <f>estuary_data!X155*weights!$C$10</f>
        <v>0.10582962615402212</v>
      </c>
      <c r="D402">
        <f>SUM(B402:C402)</f>
        <v>0.15424845117484792</v>
      </c>
      <c r="E402" s="2" t="str">
        <f>IF(D402&gt;$H$6/10*9,"1",IF(D402&gt;$H$6/10*8,"2",IF(D402&gt;$H$6/10*7,"3",IF(D402&gt;$H$6/10*6,"4",IF(D402&gt;$H$6/10*5,"5",IF(D402&gt;$H$6/10*4,"6",IF(D402&gt;$H$6/10*3,"7",IF(D402&gt;$H$6/10*2,"8",IF(D402&gt;$H$6/10,"9","10")))))))))</f>
        <v>9</v>
      </c>
    </row>
    <row r="403" spans="1:5" x14ac:dyDescent="0.55000000000000004">
      <c r="A403">
        <v>156</v>
      </c>
      <c r="B403">
        <f>estuary_data!Y157*weights!$C$9</f>
        <v>3.4344278088873186E-2</v>
      </c>
      <c r="C403">
        <f>estuary_data!X157*weights!$C$10</f>
        <v>7.6488647090607167E-2</v>
      </c>
      <c r="D403">
        <f>SUM(B403:C403)</f>
        <v>0.11083292517948035</v>
      </c>
      <c r="E403" s="2" t="str">
        <f>IF(D403&gt;$H$6/10*9,"1",IF(D403&gt;$H$6/10*8,"2",IF(D403&gt;$H$6/10*7,"3",IF(D403&gt;$H$6/10*6,"4",IF(D403&gt;$H$6/10*5,"5",IF(D403&gt;$H$6/10*4,"6",IF(D403&gt;$H$6/10*3,"7",IF(D403&gt;$H$6/10*2,"8",IF(D403&gt;$H$6/10,"9","10")))))))))</f>
        <v>9</v>
      </c>
    </row>
    <row r="404" spans="1:5" x14ac:dyDescent="0.55000000000000004">
      <c r="A404">
        <v>157</v>
      </c>
      <c r="B404">
        <f>estuary_data!Y158*weights!$C$9</f>
        <v>4.4392555179109956E-2</v>
      </c>
      <c r="C404">
        <f>estuary_data!X158*weights!$C$10</f>
        <v>0.11151348541294125</v>
      </c>
      <c r="D404">
        <f>SUM(B404:C404)</f>
        <v>0.15590604059205121</v>
      </c>
      <c r="E404" s="2" t="str">
        <f>IF(D404&gt;$H$6/10*9,"1",IF(D404&gt;$H$6/10*8,"2",IF(D404&gt;$H$6/10*7,"3",IF(D404&gt;$H$6/10*6,"4",IF(D404&gt;$H$6/10*5,"5",IF(D404&gt;$H$6/10*4,"6",IF(D404&gt;$H$6/10*3,"7",IF(D404&gt;$H$6/10*2,"8",IF(D404&gt;$H$6/10,"9","10")))))))))</f>
        <v>9</v>
      </c>
    </row>
    <row r="405" spans="1:5" x14ac:dyDescent="0.55000000000000004">
      <c r="A405">
        <v>158</v>
      </c>
      <c r="B405">
        <f>estuary_data!Y159*weights!$C$9</f>
        <v>4.2134446316992022E-2</v>
      </c>
      <c r="C405">
        <f>estuary_data!X159*weights!$C$10</f>
        <v>0.10160472001833405</v>
      </c>
      <c r="D405">
        <f>SUM(B405:C405)</f>
        <v>0.14373916633532607</v>
      </c>
      <c r="E405" s="2" t="str">
        <f>IF(D405&gt;$H$6/10*9,"1",IF(D405&gt;$H$6/10*8,"2",IF(D405&gt;$H$6/10*7,"3",IF(D405&gt;$H$6/10*6,"4",IF(D405&gt;$H$6/10*5,"5",IF(D405&gt;$H$6/10*4,"6",IF(D405&gt;$H$6/10*3,"7",IF(D405&gt;$H$6/10*2,"8",IF(D405&gt;$H$6/10,"9","10")))))))))</f>
        <v>9</v>
      </c>
    </row>
    <row r="406" spans="1:5" x14ac:dyDescent="0.55000000000000004">
      <c r="A406">
        <v>160</v>
      </c>
      <c r="B406">
        <f>estuary_data!Y161*weights!$C$9</f>
        <v>3.2954196004042743E-2</v>
      </c>
      <c r="C406">
        <f>estuary_data!X161*weights!$C$10</f>
        <v>6.6459656320968147E-2</v>
      </c>
      <c r="D406">
        <f>SUM(B406:C406)</f>
        <v>9.941385232501089E-2</v>
      </c>
      <c r="E406" s="2" t="str">
        <f>IF(D406&gt;$H$6/10*9,"1",IF(D406&gt;$H$6/10*8,"2",IF(D406&gt;$H$6/10*7,"3",IF(D406&gt;$H$6/10*6,"4",IF(D406&gt;$H$6/10*5,"5",IF(D406&gt;$H$6/10*4,"6",IF(D406&gt;$H$6/10*3,"7",IF(D406&gt;$H$6/10*2,"8",IF(D406&gt;$H$6/10,"9","10")))))))))</f>
        <v>9</v>
      </c>
    </row>
    <row r="407" spans="1:5" x14ac:dyDescent="0.55000000000000004">
      <c r="A407">
        <v>161</v>
      </c>
      <c r="B407">
        <f>estuary_data!Y162*weights!$C$9</f>
        <v>5.18882579941954E-2</v>
      </c>
      <c r="C407">
        <f>estuary_data!X162*weights!$C$10</f>
        <v>0.1198640712830094</v>
      </c>
      <c r="D407">
        <f>SUM(B407:C407)</f>
        <v>0.1717523292772048</v>
      </c>
      <c r="E407" s="2" t="str">
        <f>IF(D407&gt;$H$6/10*9,"1",IF(D407&gt;$H$6/10*8,"2",IF(D407&gt;$H$6/10*7,"3",IF(D407&gt;$H$6/10*6,"4",IF(D407&gt;$H$6/10*5,"5",IF(D407&gt;$H$6/10*4,"6",IF(D407&gt;$H$6/10*3,"7",IF(D407&gt;$H$6/10*2,"8",IF(D407&gt;$H$6/10,"9","10")))))))))</f>
        <v>9</v>
      </c>
    </row>
    <row r="408" spans="1:5" x14ac:dyDescent="0.55000000000000004">
      <c r="A408">
        <v>162</v>
      </c>
      <c r="B408">
        <f>estuary_data!Y163*weights!$C$9</f>
        <v>4.888207205330538E-2</v>
      </c>
      <c r="C408">
        <f>estuary_data!X163*weights!$C$10</f>
        <v>0.10442142935711654</v>
      </c>
      <c r="D408">
        <f>SUM(B408:C408)</f>
        <v>0.15330350141042193</v>
      </c>
      <c r="E408" s="2" t="str">
        <f>IF(D408&gt;$H$6/10*9,"1",IF(D408&gt;$H$6/10*8,"2",IF(D408&gt;$H$6/10*7,"3",IF(D408&gt;$H$6/10*6,"4",IF(D408&gt;$H$6/10*5,"5",IF(D408&gt;$H$6/10*4,"6",IF(D408&gt;$H$6/10*3,"7",IF(D408&gt;$H$6/10*2,"8",IF(D408&gt;$H$6/10,"9","10")))))))))</f>
        <v>9</v>
      </c>
    </row>
    <row r="409" spans="1:5" x14ac:dyDescent="0.55000000000000004">
      <c r="A409">
        <v>168</v>
      </c>
      <c r="B409">
        <f>estuary_data!Y169*weights!$C$9</f>
        <v>3.2517102437511235E-2</v>
      </c>
      <c r="C409">
        <f>estuary_data!X169*weights!$C$10</f>
        <v>7.2690236374603506E-2</v>
      </c>
      <c r="D409">
        <f>SUM(B409:C409)</f>
        <v>0.10520733881211475</v>
      </c>
      <c r="E409" s="2" t="str">
        <f>IF(D409&gt;$H$6/10*9,"1",IF(D409&gt;$H$6/10*8,"2",IF(D409&gt;$H$6/10*7,"3",IF(D409&gt;$H$6/10*6,"4",IF(D409&gt;$H$6/10*5,"5",IF(D409&gt;$H$6/10*4,"6",IF(D409&gt;$H$6/10*3,"7",IF(D409&gt;$H$6/10*2,"8",IF(D409&gt;$H$6/10,"9","10")))))))))</f>
        <v>9</v>
      </c>
    </row>
    <row r="410" spans="1:5" x14ac:dyDescent="0.55000000000000004">
      <c r="A410">
        <v>169</v>
      </c>
      <c r="B410">
        <f>estuary_data!Y170*weights!$C$9</f>
        <v>3.2517102437511235E-2</v>
      </c>
      <c r="C410">
        <f>estuary_data!X170*weights!$C$10</f>
        <v>7.2690236374603506E-2</v>
      </c>
      <c r="D410">
        <f>SUM(B410:C410)</f>
        <v>0.10520733881211475</v>
      </c>
      <c r="E410" s="2" t="str">
        <f>IF(D410&gt;$H$6/10*9,"1",IF(D410&gt;$H$6/10*8,"2",IF(D410&gt;$H$6/10*7,"3",IF(D410&gt;$H$6/10*6,"4",IF(D410&gt;$H$6/10*5,"5",IF(D410&gt;$H$6/10*4,"6",IF(D410&gt;$H$6/10*3,"7",IF(D410&gt;$H$6/10*2,"8",IF(D410&gt;$H$6/10,"9","10")))))))))</f>
        <v>9</v>
      </c>
    </row>
    <row r="411" spans="1:5" x14ac:dyDescent="0.55000000000000004">
      <c r="A411">
        <v>171</v>
      </c>
      <c r="B411">
        <f>estuary_data!Y172*weights!$C$9</f>
        <v>3.7152868287652803E-2</v>
      </c>
      <c r="C411">
        <f>estuary_data!X172*weights!$C$10</f>
        <v>7.7374314312618139E-2</v>
      </c>
      <c r="D411">
        <f>SUM(B411:C411)</f>
        <v>0.11452718260027095</v>
      </c>
      <c r="E411" s="2" t="str">
        <f>IF(D411&gt;$H$6/10*9,"1",IF(D411&gt;$H$6/10*8,"2",IF(D411&gt;$H$6/10*7,"3",IF(D411&gt;$H$6/10*6,"4",IF(D411&gt;$H$6/10*5,"5",IF(D411&gt;$H$6/10*4,"6",IF(D411&gt;$H$6/10*3,"7",IF(D411&gt;$H$6/10*2,"8",IF(D411&gt;$H$6/10,"9","10")))))))))</f>
        <v>9</v>
      </c>
    </row>
    <row r="412" spans="1:5" x14ac:dyDescent="0.55000000000000004">
      <c r="A412">
        <v>172</v>
      </c>
      <c r="B412">
        <f>estuary_data!Y173*weights!$C$9</f>
        <v>3.3802270049541283E-2</v>
      </c>
      <c r="C412">
        <f>estuary_data!X173*weights!$C$10</f>
        <v>8.5039723284922125E-2</v>
      </c>
      <c r="D412">
        <f>SUM(B412:C412)</f>
        <v>0.11884199333446341</v>
      </c>
      <c r="E412" s="2" t="str">
        <f>IF(D412&gt;$H$6/10*9,"1",IF(D412&gt;$H$6/10*8,"2",IF(D412&gt;$H$6/10*7,"3",IF(D412&gt;$H$6/10*6,"4",IF(D412&gt;$H$6/10*5,"5",IF(D412&gt;$H$6/10*4,"6",IF(D412&gt;$H$6/10*3,"7",IF(D412&gt;$H$6/10*2,"8",IF(D412&gt;$H$6/10,"9","10")))))))))</f>
        <v>9</v>
      </c>
    </row>
    <row r="413" spans="1:5" x14ac:dyDescent="0.55000000000000004">
      <c r="A413">
        <v>174</v>
      </c>
      <c r="B413">
        <f>estuary_data!Y175*weights!$C$9</f>
        <v>3.1515118226475125E-2</v>
      </c>
      <c r="C413">
        <f>estuary_data!X175*weights!$C$10</f>
        <v>7.8401783245618306E-2</v>
      </c>
      <c r="D413">
        <f>SUM(B413:C413)</f>
        <v>0.10991690147209343</v>
      </c>
      <c r="E413" s="2" t="str">
        <f>IF(D413&gt;$H$6/10*9,"1",IF(D413&gt;$H$6/10*8,"2",IF(D413&gt;$H$6/10*7,"3",IF(D413&gt;$H$6/10*6,"4",IF(D413&gt;$H$6/10*5,"5",IF(D413&gt;$H$6/10*4,"6",IF(D413&gt;$H$6/10*3,"7",IF(D413&gt;$H$6/10*2,"8",IF(D413&gt;$H$6/10,"9","10")))))))))</f>
        <v>9</v>
      </c>
    </row>
    <row r="414" spans="1:5" x14ac:dyDescent="0.55000000000000004">
      <c r="A414">
        <v>175</v>
      </c>
      <c r="B414">
        <f>estuary_data!Y176*weights!$C$9</f>
        <v>3.5318886179332133E-2</v>
      </c>
      <c r="C414">
        <f>estuary_data!X176*weights!$C$10</f>
        <v>8.4864841810980571E-2</v>
      </c>
      <c r="D414">
        <f>SUM(B414:C414)</f>
        <v>0.12018372799031271</v>
      </c>
      <c r="E414" s="2" t="str">
        <f>IF(D414&gt;$H$6/10*9,"1",IF(D414&gt;$H$6/10*8,"2",IF(D414&gt;$H$6/10*7,"3",IF(D414&gt;$H$6/10*6,"4",IF(D414&gt;$H$6/10*5,"5",IF(D414&gt;$H$6/10*4,"6",IF(D414&gt;$H$6/10*3,"7",IF(D414&gt;$H$6/10*2,"8",IF(D414&gt;$H$6/10,"9","10")))))))))</f>
        <v>9</v>
      </c>
    </row>
    <row r="415" spans="1:5" x14ac:dyDescent="0.55000000000000004">
      <c r="A415">
        <v>177</v>
      </c>
      <c r="B415">
        <f>estuary_data!Y178*weights!$C$9</f>
        <v>3.4694031906361583E-2</v>
      </c>
      <c r="C415">
        <f>estuary_data!X178*weights!$C$10</f>
        <v>7.1736900494600048E-2</v>
      </c>
      <c r="D415">
        <f>SUM(B415:C415)</f>
        <v>0.10643093240096163</v>
      </c>
      <c r="E415" s="2" t="str">
        <f>IF(D415&gt;$H$6/10*9,"1",IF(D415&gt;$H$6/10*8,"2",IF(D415&gt;$H$6/10*7,"3",IF(D415&gt;$H$6/10*6,"4",IF(D415&gt;$H$6/10*5,"5",IF(D415&gt;$H$6/10*4,"6",IF(D415&gt;$H$6/10*3,"7",IF(D415&gt;$H$6/10*2,"8",IF(D415&gt;$H$6/10,"9","10")))))))))</f>
        <v>9</v>
      </c>
    </row>
    <row r="416" spans="1:5" x14ac:dyDescent="0.55000000000000004">
      <c r="A416">
        <v>178</v>
      </c>
      <c r="B416">
        <f>estuary_data!Y179*weights!$C$9</f>
        <v>3.6539094123042397E-2</v>
      </c>
      <c r="C416">
        <f>estuary_data!X179*weights!$C$10</f>
        <v>7.7273435727419792E-2</v>
      </c>
      <c r="D416">
        <f>SUM(B416:C416)</f>
        <v>0.1138125298504622</v>
      </c>
      <c r="E416" s="2" t="str">
        <f>IF(D416&gt;$H$6/10*9,"1",IF(D416&gt;$H$6/10*8,"2",IF(D416&gt;$H$6/10*7,"3",IF(D416&gt;$H$6/10*6,"4",IF(D416&gt;$H$6/10*5,"5",IF(D416&gt;$H$6/10*4,"6",IF(D416&gt;$H$6/10*3,"7",IF(D416&gt;$H$6/10*2,"8",IF(D416&gt;$H$6/10,"9","10")))))))))</f>
        <v>9</v>
      </c>
    </row>
    <row r="417" spans="1:5" x14ac:dyDescent="0.55000000000000004">
      <c r="A417">
        <v>179</v>
      </c>
      <c r="B417">
        <f>estuary_data!Y180*weights!$C$9</f>
        <v>4.1710620172202978E-2</v>
      </c>
      <c r="C417">
        <f>estuary_data!X180*weights!$C$10</f>
        <v>8.6998151445122712E-2</v>
      </c>
      <c r="D417">
        <f>SUM(B417:C417)</f>
        <v>0.12870877161732569</v>
      </c>
      <c r="E417" s="2" t="str">
        <f>IF(D417&gt;$H$6/10*9,"1",IF(D417&gt;$H$6/10*8,"2",IF(D417&gt;$H$6/10*7,"3",IF(D417&gt;$H$6/10*6,"4",IF(D417&gt;$H$6/10*5,"5",IF(D417&gt;$H$6/10*4,"6",IF(D417&gt;$H$6/10*3,"7",IF(D417&gt;$H$6/10*2,"8",IF(D417&gt;$H$6/10,"9","10")))))))))</f>
        <v>9</v>
      </c>
    </row>
    <row r="418" spans="1:5" x14ac:dyDescent="0.55000000000000004">
      <c r="A418">
        <v>180</v>
      </c>
      <c r="B418">
        <f>estuary_data!Y181*weights!$C$9</f>
        <v>3.5454236767286533E-2</v>
      </c>
      <c r="C418">
        <f>estuary_data!X181*weights!$C$10</f>
        <v>9.0284886480714727E-2</v>
      </c>
      <c r="D418">
        <f>SUM(B418:C418)</f>
        <v>0.12573912324800127</v>
      </c>
      <c r="E418" s="2" t="str">
        <f>IF(D418&gt;$H$6/10*9,"1",IF(D418&gt;$H$6/10*8,"2",IF(D418&gt;$H$6/10*7,"3",IF(D418&gt;$H$6/10*6,"4",IF(D418&gt;$H$6/10*5,"5",IF(D418&gt;$H$6/10*4,"6",IF(D418&gt;$H$6/10*3,"7",IF(D418&gt;$H$6/10*2,"8",IF(D418&gt;$H$6/10,"9","10")))))))))</f>
        <v>9</v>
      </c>
    </row>
    <row r="419" spans="1:5" x14ac:dyDescent="0.55000000000000004">
      <c r="A419">
        <v>182</v>
      </c>
      <c r="B419">
        <f>estuary_data!Y183*weights!$C$9</f>
        <v>4.2601659664094613E-2</v>
      </c>
      <c r="C419">
        <f>estuary_data!X183*weights!$C$10</f>
        <v>0.11024652456358583</v>
      </c>
      <c r="D419">
        <f>SUM(B419:C419)</f>
        <v>0.15284818422768043</v>
      </c>
      <c r="E419" s="2" t="str">
        <f>IF(D419&gt;$H$6/10*9,"1",IF(D419&gt;$H$6/10*8,"2",IF(D419&gt;$H$6/10*7,"3",IF(D419&gt;$H$6/10*6,"4",IF(D419&gt;$H$6/10*5,"5",IF(D419&gt;$H$6/10*4,"6",IF(D419&gt;$H$6/10*3,"7",IF(D419&gt;$H$6/10*2,"8",IF(D419&gt;$H$6/10,"9","10")))))))))</f>
        <v>9</v>
      </c>
    </row>
    <row r="420" spans="1:5" x14ac:dyDescent="0.55000000000000004">
      <c r="A420">
        <v>183</v>
      </c>
      <c r="B420">
        <f>estuary_data!Y184*weights!$C$9</f>
        <v>3.0324821431886338E-2</v>
      </c>
      <c r="C420">
        <f>estuary_data!X184*weights!$C$10</f>
        <v>7.5410893515606051E-2</v>
      </c>
      <c r="D420">
        <f>SUM(B420:C420)</f>
        <v>0.10573571494749238</v>
      </c>
      <c r="E420" s="2" t="str">
        <f>IF(D420&gt;$H$6/10*9,"1",IF(D420&gt;$H$6/10*8,"2",IF(D420&gt;$H$6/10*7,"3",IF(D420&gt;$H$6/10*6,"4",IF(D420&gt;$H$6/10*5,"5",IF(D420&gt;$H$6/10*4,"6",IF(D420&gt;$H$6/10*3,"7",IF(D420&gt;$H$6/10*2,"8",IF(D420&gt;$H$6/10,"9","10")))))))))</f>
        <v>9</v>
      </c>
    </row>
    <row r="421" spans="1:5" x14ac:dyDescent="0.55000000000000004">
      <c r="A421">
        <v>184</v>
      </c>
      <c r="B421">
        <f>estuary_data!Y185*weights!$C$9</f>
        <v>2.8639692887555069E-2</v>
      </c>
      <c r="C421">
        <f>estuary_data!X185*weights!$C$10</f>
        <v>7.7428440733229215E-2</v>
      </c>
      <c r="D421">
        <f>SUM(B421:C421)</f>
        <v>0.10606813362078428</v>
      </c>
      <c r="E421" s="2" t="str">
        <f>IF(D421&gt;$H$6/10*9,"1",IF(D421&gt;$H$6/10*8,"2",IF(D421&gt;$H$6/10*7,"3",IF(D421&gt;$H$6/10*6,"4",IF(D421&gt;$H$6/10*5,"5",IF(D421&gt;$H$6/10*4,"6",IF(D421&gt;$H$6/10*3,"7",IF(D421&gt;$H$6/10*2,"8",IF(D421&gt;$H$6/10,"9","10")))))))))</f>
        <v>9</v>
      </c>
    </row>
    <row r="422" spans="1:5" x14ac:dyDescent="0.55000000000000004">
      <c r="A422">
        <v>185</v>
      </c>
      <c r="B422">
        <f>estuary_data!Y186*weights!$C$9</f>
        <v>4.1015168594658979E-2</v>
      </c>
      <c r="C422">
        <f>estuary_data!X186*weights!$C$10</f>
        <v>0.1191438763347953</v>
      </c>
      <c r="D422">
        <f>SUM(B422:C422)</f>
        <v>0.16015904492945426</v>
      </c>
      <c r="E422" s="2" t="str">
        <f>IF(D422&gt;$H$6/10*9,"1",IF(D422&gt;$H$6/10*8,"2",IF(D422&gt;$H$6/10*7,"3",IF(D422&gt;$H$6/10*6,"4",IF(D422&gt;$H$6/10*5,"5",IF(D422&gt;$H$6/10*4,"6",IF(D422&gt;$H$6/10*3,"7",IF(D422&gt;$H$6/10*2,"8",IF(D422&gt;$H$6/10,"9","10")))))))))</f>
        <v>9</v>
      </c>
    </row>
    <row r="423" spans="1:5" x14ac:dyDescent="0.55000000000000004">
      <c r="A423">
        <v>186</v>
      </c>
      <c r="B423">
        <f>estuary_data!Y187*weights!$C$9</f>
        <v>3.81950092186105E-2</v>
      </c>
      <c r="C423">
        <f>estuary_data!X187*weights!$C$10</f>
        <v>0.10275332676489507</v>
      </c>
      <c r="D423">
        <f>SUM(B423:C423)</f>
        <v>0.14094833598350556</v>
      </c>
      <c r="E423" s="2" t="str">
        <f>IF(D423&gt;$H$6/10*9,"1",IF(D423&gt;$H$6/10*8,"2",IF(D423&gt;$H$6/10*7,"3",IF(D423&gt;$H$6/10*6,"4",IF(D423&gt;$H$6/10*5,"5",IF(D423&gt;$H$6/10*4,"6",IF(D423&gt;$H$6/10*3,"7",IF(D423&gt;$H$6/10*2,"8",IF(D423&gt;$H$6/10,"9","10")))))))))</f>
        <v>9</v>
      </c>
    </row>
    <row r="424" spans="1:5" x14ac:dyDescent="0.55000000000000004">
      <c r="A424">
        <v>189</v>
      </c>
      <c r="B424">
        <f>estuary_data!Y190*weights!$C$9</f>
        <v>2.8858031039371273E-2</v>
      </c>
      <c r="C424">
        <f>estuary_data!X190*weights!$C$10</f>
        <v>7.1660540472989448E-2</v>
      </c>
      <c r="D424">
        <f>SUM(B424:C424)</f>
        <v>0.10051857151236072</v>
      </c>
      <c r="E424" s="2" t="str">
        <f>IF(D424&gt;$H$6/10*9,"1",IF(D424&gt;$H$6/10*8,"2",IF(D424&gt;$H$6/10*7,"3",IF(D424&gt;$H$6/10*6,"4",IF(D424&gt;$H$6/10*5,"5",IF(D424&gt;$H$6/10*4,"6",IF(D424&gt;$H$6/10*3,"7",IF(D424&gt;$H$6/10*2,"8",IF(D424&gt;$H$6/10,"9","10")))))))))</f>
        <v>9</v>
      </c>
    </row>
    <row r="425" spans="1:5" x14ac:dyDescent="0.55000000000000004">
      <c r="A425">
        <v>190</v>
      </c>
      <c r="B425">
        <f>estuary_data!Y191*weights!$C$9</f>
        <v>3.5046165966630578E-2</v>
      </c>
      <c r="C425">
        <f>estuary_data!X191*weights!$C$10</f>
        <v>8.6937034817473641E-2</v>
      </c>
      <c r="D425">
        <f>SUM(B425:C425)</f>
        <v>0.12198320078410421</v>
      </c>
      <c r="E425" s="2" t="str">
        <f>IF(D425&gt;$H$6/10*9,"1",IF(D425&gt;$H$6/10*8,"2",IF(D425&gt;$H$6/10*7,"3",IF(D425&gt;$H$6/10*6,"4",IF(D425&gt;$H$6/10*5,"5",IF(D425&gt;$H$6/10*4,"6",IF(D425&gt;$H$6/10*3,"7",IF(D425&gt;$H$6/10*2,"8",IF(D425&gt;$H$6/10,"9","10")))))))))</f>
        <v>9</v>
      </c>
    </row>
    <row r="426" spans="1:5" x14ac:dyDescent="0.55000000000000004">
      <c r="A426">
        <v>192</v>
      </c>
      <c r="B426">
        <f>estuary_data!Y193*weights!$C$9</f>
        <v>3.190134062844889E-2</v>
      </c>
      <c r="C426">
        <f>estuary_data!X193*weights!$C$10</f>
        <v>7.7095703527451626E-2</v>
      </c>
      <c r="D426">
        <f>SUM(B426:C426)</f>
        <v>0.10899704415590052</v>
      </c>
      <c r="E426" s="2" t="str">
        <f>IF(D426&gt;$H$6/10*9,"1",IF(D426&gt;$H$6/10*8,"2",IF(D426&gt;$H$6/10*7,"3",IF(D426&gt;$H$6/10*6,"4",IF(D426&gt;$H$6/10*5,"5",IF(D426&gt;$H$6/10*4,"6",IF(D426&gt;$H$6/10*3,"7",IF(D426&gt;$H$6/10*2,"8",IF(D426&gt;$H$6/10,"9","10")))))))))</f>
        <v>9</v>
      </c>
    </row>
    <row r="427" spans="1:5" x14ac:dyDescent="0.55000000000000004">
      <c r="A427">
        <v>193</v>
      </c>
      <c r="B427">
        <f>estuary_data!Y194*weights!$C$9</f>
        <v>4.6860282120630058E-2</v>
      </c>
      <c r="C427">
        <f>estuary_data!X194*weights!$C$10</f>
        <v>9.4410106129565741E-2</v>
      </c>
      <c r="D427">
        <f>SUM(B427:C427)</f>
        <v>0.14127038825019581</v>
      </c>
      <c r="E427" s="2" t="str">
        <f>IF(D427&gt;$H$6/10*9,"1",IF(D427&gt;$H$6/10*8,"2",IF(D427&gt;$H$6/10*7,"3",IF(D427&gt;$H$6/10*6,"4",IF(D427&gt;$H$6/10*5,"5",IF(D427&gt;$H$6/10*4,"6",IF(D427&gt;$H$6/10*3,"7",IF(D427&gt;$H$6/10*2,"8",IF(D427&gt;$H$6/10,"9","10")))))))))</f>
        <v>9</v>
      </c>
    </row>
    <row r="428" spans="1:5" x14ac:dyDescent="0.55000000000000004">
      <c r="A428">
        <v>194</v>
      </c>
      <c r="B428">
        <f>estuary_data!Y195*weights!$C$9</f>
        <v>3.8835677162659545E-2</v>
      </c>
      <c r="C428">
        <f>estuary_data!X195*weights!$C$10</f>
        <v>7.5628954725316805E-2</v>
      </c>
      <c r="D428">
        <f>SUM(B428:C428)</f>
        <v>0.11446463188797634</v>
      </c>
      <c r="E428" s="2" t="str">
        <f>IF(D428&gt;$H$6/10*9,"1",IF(D428&gt;$H$6/10*8,"2",IF(D428&gt;$H$6/10*7,"3",IF(D428&gt;$H$6/10*6,"4",IF(D428&gt;$H$6/10*5,"5",IF(D428&gt;$H$6/10*4,"6",IF(D428&gt;$H$6/10*3,"7",IF(D428&gt;$H$6/10*2,"8",IF(D428&gt;$H$6/10,"9","10")))))))))</f>
        <v>9</v>
      </c>
    </row>
    <row r="429" spans="1:5" x14ac:dyDescent="0.55000000000000004">
      <c r="A429">
        <v>195</v>
      </c>
      <c r="B429">
        <f>estuary_data!Y196*weights!$C$9</f>
        <v>4.5301900757491971E-2</v>
      </c>
      <c r="C429">
        <f>estuary_data!X196*weights!$C$10</f>
        <v>0.10947819332793063</v>
      </c>
      <c r="D429">
        <f>SUM(B429:C429)</f>
        <v>0.15478009408542259</v>
      </c>
      <c r="E429" s="2" t="str">
        <f>IF(D429&gt;$H$6/10*9,"1",IF(D429&gt;$H$6/10*8,"2",IF(D429&gt;$H$6/10*7,"3",IF(D429&gt;$H$6/10*6,"4",IF(D429&gt;$H$6/10*5,"5",IF(D429&gt;$H$6/10*4,"6",IF(D429&gt;$H$6/10*3,"7",IF(D429&gt;$H$6/10*2,"8",IF(D429&gt;$H$6/10,"9","10")))))))))</f>
        <v>9</v>
      </c>
    </row>
    <row r="430" spans="1:5" x14ac:dyDescent="0.55000000000000004">
      <c r="A430">
        <v>197</v>
      </c>
      <c r="B430">
        <f>estuary_data!Y198*weights!$C$9</f>
        <v>4.6233783437109974E-2</v>
      </c>
      <c r="C430">
        <f>estuary_data!X198*weights!$C$10</f>
        <v>0.11027706805672878</v>
      </c>
      <c r="D430">
        <f>SUM(B430:C430)</f>
        <v>0.15651085149383875</v>
      </c>
      <c r="E430" s="2" t="str">
        <f>IF(D430&gt;$H$6/10*9,"1",IF(D430&gt;$H$6/10*8,"2",IF(D430&gt;$H$6/10*7,"3",IF(D430&gt;$H$6/10*6,"4",IF(D430&gt;$H$6/10*5,"5",IF(D430&gt;$H$6/10*4,"6",IF(D430&gt;$H$6/10*3,"7",IF(D430&gt;$H$6/10*2,"8",IF(D430&gt;$H$6/10,"9","10")))))))))</f>
        <v>9</v>
      </c>
    </row>
    <row r="431" spans="1:5" x14ac:dyDescent="0.55000000000000004">
      <c r="A431">
        <v>200</v>
      </c>
      <c r="B431">
        <f>estuary_data!Y201*weights!$C$9</f>
        <v>3.0494406184789921E-2</v>
      </c>
      <c r="C431">
        <f>estuary_data!X201*weights!$C$10</f>
        <v>8.1907433935476129E-2</v>
      </c>
      <c r="D431">
        <f>SUM(B431:C431)</f>
        <v>0.11240184012026605</v>
      </c>
      <c r="E431" s="2" t="str">
        <f>IF(D431&gt;$H$6/10*9,"1",IF(D431&gt;$H$6/10*8,"2",IF(D431&gt;$H$6/10*7,"3",IF(D431&gt;$H$6/10*6,"4",IF(D431&gt;$H$6/10*5,"5",IF(D431&gt;$H$6/10*4,"6",IF(D431&gt;$H$6/10*3,"7",IF(D431&gt;$H$6/10*2,"8",IF(D431&gt;$H$6/10,"9","10")))))))))</f>
        <v>9</v>
      </c>
    </row>
    <row r="432" spans="1:5" x14ac:dyDescent="0.55000000000000004">
      <c r="A432">
        <v>201</v>
      </c>
      <c r="B432">
        <f>estuary_data!Y202*weights!$C$9</f>
        <v>2.0102528893308349E-2</v>
      </c>
      <c r="C432">
        <f>estuary_data!X202*weights!$C$10</f>
        <v>8.3590843070653092E-2</v>
      </c>
      <c r="D432">
        <f>SUM(B432:C432)</f>
        <v>0.10369337196396144</v>
      </c>
      <c r="E432" s="2" t="str">
        <f>IF(D432&gt;$H$6/10*9,"1",IF(D432&gt;$H$6/10*8,"2",IF(D432&gt;$H$6/10*7,"3",IF(D432&gt;$H$6/10*6,"4",IF(D432&gt;$H$6/10*5,"5",IF(D432&gt;$H$6/10*4,"6",IF(D432&gt;$H$6/10*3,"7",IF(D432&gt;$H$6/10*2,"8",IF(D432&gt;$H$6/10,"9","10")))))))))</f>
        <v>9</v>
      </c>
    </row>
    <row r="433" spans="1:5" x14ac:dyDescent="0.55000000000000004">
      <c r="A433">
        <v>202</v>
      </c>
      <c r="B433">
        <f>estuary_data!Y203*weights!$C$9</f>
        <v>2.3611546526174879E-2</v>
      </c>
      <c r="C433">
        <f>estuary_data!X203*weights!$C$10</f>
        <v>8.4707830213659574E-2</v>
      </c>
      <c r="D433">
        <f>SUM(B433:C433)</f>
        <v>0.10831937673983445</v>
      </c>
      <c r="E433" s="2" t="str">
        <f>IF(D433&gt;$H$6/10*9,"1",IF(D433&gt;$H$6/10*8,"2",IF(D433&gt;$H$6/10*7,"3",IF(D433&gt;$H$6/10*6,"4",IF(D433&gt;$H$6/10*5,"5",IF(D433&gt;$H$6/10*4,"6",IF(D433&gt;$H$6/10*3,"7",IF(D433&gt;$H$6/10*2,"8",IF(D433&gt;$H$6/10,"9","10")))))))))</f>
        <v>9</v>
      </c>
    </row>
    <row r="434" spans="1:5" x14ac:dyDescent="0.55000000000000004">
      <c r="A434">
        <v>204</v>
      </c>
      <c r="B434">
        <f>estuary_data!Y205*weights!$C$9</f>
        <v>4.0790021751135212E-2</v>
      </c>
      <c r="C434">
        <f>estuary_data!X205*weights!$C$10</f>
        <v>7.7675211537738695E-2</v>
      </c>
      <c r="D434">
        <f>SUM(B434:C434)</f>
        <v>0.1184652332888739</v>
      </c>
      <c r="E434" s="2" t="str">
        <f>IF(D434&gt;$H$6/10*9,"1",IF(D434&gt;$H$6/10*8,"2",IF(D434&gt;$H$6/10*7,"3",IF(D434&gt;$H$6/10*6,"4",IF(D434&gt;$H$6/10*5,"5",IF(D434&gt;$H$6/10*4,"6",IF(D434&gt;$H$6/10*3,"7",IF(D434&gt;$H$6/10*2,"8",IF(D434&gt;$H$6/10,"9","10")))))))))</f>
        <v>9</v>
      </c>
    </row>
    <row r="435" spans="1:5" x14ac:dyDescent="0.55000000000000004">
      <c r="A435">
        <v>207</v>
      </c>
      <c r="B435">
        <f>estuary_data!Y208*weights!$C$9</f>
        <v>3.0709913168551456E-2</v>
      </c>
      <c r="C435">
        <f>estuary_data!X208*weights!$C$10</f>
        <v>0.12711758385209762</v>
      </c>
      <c r="D435">
        <f>SUM(B435:C435)</f>
        <v>0.15782749702064908</v>
      </c>
      <c r="E435" s="2" t="str">
        <f>IF(D435&gt;$H$6/10*9,"1",IF(D435&gt;$H$6/10*8,"2",IF(D435&gt;$H$6/10*7,"3",IF(D435&gt;$H$6/10*6,"4",IF(D435&gt;$H$6/10*5,"5",IF(D435&gt;$H$6/10*4,"6",IF(D435&gt;$H$6/10*3,"7",IF(D435&gt;$H$6/10*2,"8",IF(D435&gt;$H$6/10,"9","10")))))))))</f>
        <v>9</v>
      </c>
    </row>
    <row r="436" spans="1:5" x14ac:dyDescent="0.55000000000000004">
      <c r="A436">
        <v>208</v>
      </c>
      <c r="B436">
        <f>estuary_data!Y209*weights!$C$9</f>
        <v>3.0709913168551456E-2</v>
      </c>
      <c r="C436">
        <f>estuary_data!X209*weights!$C$10</f>
        <v>0.12711758385209762</v>
      </c>
      <c r="D436">
        <f>SUM(B436:C436)</f>
        <v>0.15782749702064908</v>
      </c>
      <c r="E436" s="2" t="str">
        <f>IF(D436&gt;$H$6/10*9,"1",IF(D436&gt;$H$6/10*8,"2",IF(D436&gt;$H$6/10*7,"3",IF(D436&gt;$H$6/10*6,"4",IF(D436&gt;$H$6/10*5,"5",IF(D436&gt;$H$6/10*4,"6",IF(D436&gt;$H$6/10*3,"7",IF(D436&gt;$H$6/10*2,"8",IF(D436&gt;$H$6/10,"9","10")))))))))</f>
        <v>9</v>
      </c>
    </row>
    <row r="437" spans="1:5" x14ac:dyDescent="0.55000000000000004">
      <c r="A437">
        <v>209</v>
      </c>
      <c r="B437">
        <f>estuary_data!Y210*weights!$C$9</f>
        <v>2.5315373743563456E-2</v>
      </c>
      <c r="C437">
        <f>estuary_data!X210*weights!$C$10</f>
        <v>8.8703345694564562E-2</v>
      </c>
      <c r="D437">
        <f>SUM(B437:C437)</f>
        <v>0.11401871943812802</v>
      </c>
      <c r="E437" s="2" t="str">
        <f>IF(D437&gt;$H$6/10*9,"1",IF(D437&gt;$H$6/10*8,"2",IF(D437&gt;$H$6/10*7,"3",IF(D437&gt;$H$6/10*6,"4",IF(D437&gt;$H$6/10*5,"5",IF(D437&gt;$H$6/10*4,"6",IF(D437&gt;$H$6/10*3,"7",IF(D437&gt;$H$6/10*2,"8",IF(D437&gt;$H$6/10,"9","10")))))))))</f>
        <v>9</v>
      </c>
    </row>
    <row r="438" spans="1:5" x14ac:dyDescent="0.55000000000000004">
      <c r="A438">
        <v>212</v>
      </c>
      <c r="B438">
        <f>estuary_data!Y213*weights!$C$9</f>
        <v>3.3741628915789683E-2</v>
      </c>
      <c r="C438">
        <f>estuary_data!X213*weights!$C$10</f>
        <v>7.8332946975609552E-2</v>
      </c>
      <c r="D438">
        <f>SUM(B438:C438)</f>
        <v>0.11207457589139924</v>
      </c>
      <c r="E438" s="2" t="str">
        <f>IF(D438&gt;$H$6/10*9,"1",IF(D438&gt;$H$6/10*8,"2",IF(D438&gt;$H$6/10*7,"3",IF(D438&gt;$H$6/10*6,"4",IF(D438&gt;$H$6/10*5,"5",IF(D438&gt;$H$6/10*4,"6",IF(D438&gt;$H$6/10*3,"7",IF(D438&gt;$H$6/10*2,"8",IF(D438&gt;$H$6/10,"9","10")))))))))</f>
        <v>9</v>
      </c>
    </row>
    <row r="439" spans="1:5" x14ac:dyDescent="0.55000000000000004">
      <c r="A439">
        <v>217</v>
      </c>
      <c r="B439">
        <f>estuary_data!Y218*weights!$C$9</f>
        <v>3.1393322225492674E-2</v>
      </c>
      <c r="C439">
        <f>estuary_data!X218*weights!$C$10</f>
        <v>8.0925325311679674E-2</v>
      </c>
      <c r="D439">
        <f>SUM(B439:C439)</f>
        <v>0.11231864753717236</v>
      </c>
      <c r="E439" s="2" t="str">
        <f>IF(D439&gt;$H$6/10*9,"1",IF(D439&gt;$H$6/10*8,"2",IF(D439&gt;$H$6/10*7,"3",IF(D439&gt;$H$6/10*6,"4",IF(D439&gt;$H$6/10*5,"5",IF(D439&gt;$H$6/10*4,"6",IF(D439&gt;$H$6/10*3,"7",IF(D439&gt;$H$6/10*2,"8",IF(D439&gt;$H$6/10,"9","10")))))))))</f>
        <v>9</v>
      </c>
    </row>
    <row r="440" spans="1:5" x14ac:dyDescent="0.55000000000000004">
      <c r="A440">
        <v>229</v>
      </c>
      <c r="B440">
        <f>estuary_data!Y230*weights!$C$9</f>
        <v>2.9014058958792228E-2</v>
      </c>
      <c r="C440">
        <f>estuary_data!X230*weights!$C$10</f>
        <v>9.4811371592910601E-2</v>
      </c>
      <c r="D440">
        <f>SUM(B440:C440)</f>
        <v>0.12382543055170284</v>
      </c>
      <c r="E440" s="2" t="str">
        <f>IF(D440&gt;$H$6/10*9,"1",IF(D440&gt;$H$6/10*8,"2",IF(D440&gt;$H$6/10*7,"3",IF(D440&gt;$H$6/10*6,"4",IF(D440&gt;$H$6/10*5,"5",IF(D440&gt;$H$6/10*4,"6",IF(D440&gt;$H$6/10*3,"7",IF(D440&gt;$H$6/10*2,"8",IF(D440&gt;$H$6/10,"9","10")))))))))</f>
        <v>9</v>
      </c>
    </row>
    <row r="441" spans="1:5" x14ac:dyDescent="0.55000000000000004">
      <c r="A441">
        <v>230</v>
      </c>
      <c r="B441">
        <f>estuary_data!Y231*weights!$C$9</f>
        <v>2.552977697309745E-2</v>
      </c>
      <c r="C441">
        <f>estuary_data!X231*weights!$C$10</f>
        <v>7.5188315219673077E-2</v>
      </c>
      <c r="D441">
        <f>SUM(B441:C441)</f>
        <v>0.10071809219277053</v>
      </c>
      <c r="E441" s="2" t="str">
        <f>IF(D441&gt;$H$6/10*9,"1",IF(D441&gt;$H$6/10*8,"2",IF(D441&gt;$H$6/10*7,"3",IF(D441&gt;$H$6/10*6,"4",IF(D441&gt;$H$6/10*5,"5",IF(D441&gt;$H$6/10*4,"6",IF(D441&gt;$H$6/10*3,"7",IF(D441&gt;$H$6/10*2,"8",IF(D441&gt;$H$6/10,"9","10")))))))))</f>
        <v>9</v>
      </c>
    </row>
    <row r="442" spans="1:5" x14ac:dyDescent="0.55000000000000004">
      <c r="A442">
        <v>231</v>
      </c>
      <c r="B442">
        <f>estuary_data!Y232*weights!$C$9</f>
        <v>2.8064446746129759E-2</v>
      </c>
      <c r="C442">
        <f>estuary_data!X232*weights!$C$10</f>
        <v>8.2543805681962179E-2</v>
      </c>
      <c r="D442">
        <f>SUM(B442:C442)</f>
        <v>0.11060825242809194</v>
      </c>
      <c r="E442" s="2" t="str">
        <f>IF(D442&gt;$H$6/10*9,"1",IF(D442&gt;$H$6/10*8,"2",IF(D442&gt;$H$6/10*7,"3",IF(D442&gt;$H$6/10*6,"4",IF(D442&gt;$H$6/10*5,"5",IF(D442&gt;$H$6/10*4,"6",IF(D442&gt;$H$6/10*3,"7",IF(D442&gt;$H$6/10*2,"8",IF(D442&gt;$H$6/10,"9","10")))))))))</f>
        <v>9</v>
      </c>
    </row>
    <row r="443" spans="1:5" x14ac:dyDescent="0.55000000000000004">
      <c r="A443">
        <v>232</v>
      </c>
      <c r="B443">
        <f>estuary_data!Y233*weights!$C$9</f>
        <v>2.686987404186696E-2</v>
      </c>
      <c r="C443">
        <f>estuary_data!X233*weights!$C$10</f>
        <v>7.9221263877869555E-2</v>
      </c>
      <c r="D443">
        <f>SUM(B443:C443)</f>
        <v>0.10609113791973651</v>
      </c>
      <c r="E443" s="2" t="str">
        <f>IF(D443&gt;$H$6/10*9,"1",IF(D443&gt;$H$6/10*8,"2",IF(D443&gt;$H$6/10*7,"3",IF(D443&gt;$H$6/10*6,"4",IF(D443&gt;$H$6/10*5,"5",IF(D443&gt;$H$6/10*4,"6",IF(D443&gt;$H$6/10*3,"7",IF(D443&gt;$H$6/10*2,"8",IF(D443&gt;$H$6/10,"9","10")))))))))</f>
        <v>9</v>
      </c>
    </row>
    <row r="444" spans="1:5" x14ac:dyDescent="0.55000000000000004">
      <c r="A444">
        <v>233</v>
      </c>
      <c r="B444">
        <f>estuary_data!Y234*weights!$C$9</f>
        <v>2.169451852704701E-2</v>
      </c>
      <c r="C444">
        <f>estuary_data!X234*weights!$C$10</f>
        <v>8.0033139566955014E-2</v>
      </c>
      <c r="D444">
        <f>SUM(B444:C444)</f>
        <v>0.10172765809400203</v>
      </c>
      <c r="E444" s="2" t="str">
        <f>IF(D444&gt;$H$6/10*9,"1",IF(D444&gt;$H$6/10*8,"2",IF(D444&gt;$H$6/10*7,"3",IF(D444&gt;$H$6/10*6,"4",IF(D444&gt;$H$6/10*5,"5",IF(D444&gt;$H$6/10*4,"6",IF(D444&gt;$H$6/10*3,"7",IF(D444&gt;$H$6/10*2,"8",IF(D444&gt;$H$6/10,"9","10")))))))))</f>
        <v>9</v>
      </c>
    </row>
    <row r="445" spans="1:5" x14ac:dyDescent="0.55000000000000004">
      <c r="A445">
        <v>234</v>
      </c>
      <c r="B445">
        <f>estuary_data!Y235*weights!$C$9</f>
        <v>3.2003199611455445E-2</v>
      </c>
      <c r="C445">
        <f>estuary_data!X235*weights!$C$10</f>
        <v>8.3126481452002229E-2</v>
      </c>
      <c r="D445">
        <f>SUM(B445:C445)</f>
        <v>0.11512968106345767</v>
      </c>
      <c r="E445" s="2" t="str">
        <f>IF(D445&gt;$H$6/10*9,"1",IF(D445&gt;$H$6/10*8,"2",IF(D445&gt;$H$6/10*7,"3",IF(D445&gt;$H$6/10*6,"4",IF(D445&gt;$H$6/10*5,"5",IF(D445&gt;$H$6/10*4,"6",IF(D445&gt;$H$6/10*3,"7",IF(D445&gt;$H$6/10*2,"8",IF(D445&gt;$H$6/10,"9","10")))))))))</f>
        <v>9</v>
      </c>
    </row>
    <row r="446" spans="1:5" x14ac:dyDescent="0.55000000000000004">
      <c r="A446">
        <v>235</v>
      </c>
      <c r="B446">
        <f>estuary_data!Y236*weights!$C$9</f>
        <v>2.5504547787519198E-2</v>
      </c>
      <c r="C446">
        <f>estuary_data!X236*weights!$C$10</f>
        <v>8.8511652411844916E-2</v>
      </c>
      <c r="D446">
        <f>SUM(B446:C446)</f>
        <v>0.11401620019936412</v>
      </c>
      <c r="E446" s="2" t="str">
        <f>IF(D446&gt;$H$6/10*9,"1",IF(D446&gt;$H$6/10*8,"2",IF(D446&gt;$H$6/10*7,"3",IF(D446&gt;$H$6/10*6,"4",IF(D446&gt;$H$6/10*5,"5",IF(D446&gt;$H$6/10*4,"6",IF(D446&gt;$H$6/10*3,"7",IF(D446&gt;$H$6/10*2,"8",IF(D446&gt;$H$6/10,"9","10")))))))))</f>
        <v>9</v>
      </c>
    </row>
    <row r="447" spans="1:5" x14ac:dyDescent="0.55000000000000004">
      <c r="A447">
        <v>238</v>
      </c>
      <c r="B447">
        <f>estuary_data!Y239*weights!$C$9</f>
        <v>2.4905138071108519E-2</v>
      </c>
      <c r="C447">
        <f>estuary_data!X239*weights!$C$10</f>
        <v>7.8659682449422438E-2</v>
      </c>
      <c r="D447">
        <f>SUM(B447:C447)</f>
        <v>0.10356482052053095</v>
      </c>
      <c r="E447" s="2" t="str">
        <f>IF(D447&gt;$H$6/10*9,"1",IF(D447&gt;$H$6/10*8,"2",IF(D447&gt;$H$6/10*7,"3",IF(D447&gt;$H$6/10*6,"4",IF(D447&gt;$H$6/10*5,"5",IF(D447&gt;$H$6/10*4,"6",IF(D447&gt;$H$6/10*3,"7",IF(D447&gt;$H$6/10*2,"8",IF(D447&gt;$H$6/10,"9","10")))))))))</f>
        <v>9</v>
      </c>
    </row>
    <row r="448" spans="1:5" x14ac:dyDescent="0.55000000000000004">
      <c r="A448">
        <v>242</v>
      </c>
      <c r="B448">
        <f>estuary_data!Y243*weights!$C$9</f>
        <v>2.9573814479730599E-2</v>
      </c>
      <c r="C448">
        <f>estuary_data!X243*weights!$C$10</f>
        <v>7.539153126071281E-2</v>
      </c>
      <c r="D448">
        <f>SUM(B448:C448)</f>
        <v>0.10496534574044342</v>
      </c>
      <c r="E448" s="2" t="str">
        <f>IF(D448&gt;$H$6/10*9,"1",IF(D448&gt;$H$6/10*8,"2",IF(D448&gt;$H$6/10*7,"3",IF(D448&gt;$H$6/10*6,"4",IF(D448&gt;$H$6/10*5,"5",IF(D448&gt;$H$6/10*4,"6",IF(D448&gt;$H$6/10*3,"7",IF(D448&gt;$H$6/10*2,"8",IF(D448&gt;$H$6/10,"9","10")))))))))</f>
        <v>9</v>
      </c>
    </row>
    <row r="449" spans="1:5" x14ac:dyDescent="0.55000000000000004">
      <c r="A449">
        <v>244</v>
      </c>
      <c r="B449">
        <f>estuary_data!Y245*weights!$C$9</f>
        <v>2.4823478594974992E-2</v>
      </c>
      <c r="C449">
        <f>estuary_data!X245*weights!$C$10</f>
        <v>7.4922820093987888E-2</v>
      </c>
      <c r="D449">
        <f>SUM(B449:C449)</f>
        <v>9.9746298688962884E-2</v>
      </c>
      <c r="E449" s="2" t="str">
        <f>IF(D449&gt;$H$6/10*9,"1",IF(D449&gt;$H$6/10*8,"2",IF(D449&gt;$H$6/10*7,"3",IF(D449&gt;$H$6/10*6,"4",IF(D449&gt;$H$6/10*5,"5",IF(D449&gt;$H$6/10*4,"6",IF(D449&gt;$H$6/10*3,"7",IF(D449&gt;$H$6/10*2,"8",IF(D449&gt;$H$6/10,"9","10")))))))))</f>
        <v>9</v>
      </c>
    </row>
    <row r="450" spans="1:5" x14ac:dyDescent="0.55000000000000004">
      <c r="A450">
        <v>245</v>
      </c>
      <c r="B450">
        <f>estuary_data!Y246*weights!$C$9</f>
        <v>3.1249114727922613E-2</v>
      </c>
      <c r="C450">
        <f>estuary_data!X246*weights!$C$10</f>
        <v>8.4124904425152483E-2</v>
      </c>
      <c r="D450">
        <f>SUM(B450:C450)</f>
        <v>0.1153740191530751</v>
      </c>
      <c r="E450" s="2" t="str">
        <f>IF(D450&gt;$H$6/10*9,"1",IF(D450&gt;$H$6/10*8,"2",IF(D450&gt;$H$6/10*7,"3",IF(D450&gt;$H$6/10*6,"4",IF(D450&gt;$H$6/10*5,"5",IF(D450&gt;$H$6/10*4,"6",IF(D450&gt;$H$6/10*3,"7",IF(D450&gt;$H$6/10*2,"8",IF(D450&gt;$H$6/10,"9","10")))))))))</f>
        <v>9</v>
      </c>
    </row>
    <row r="451" spans="1:5" x14ac:dyDescent="0.55000000000000004">
      <c r="A451">
        <v>247</v>
      </c>
      <c r="B451">
        <f>estuary_data!Y248*weights!$C$9</f>
        <v>2.9546397992531767E-2</v>
      </c>
      <c r="C451">
        <f>estuary_data!X248*weights!$C$10</f>
        <v>7.0347571070673423E-2</v>
      </c>
      <c r="D451">
        <f>SUM(B451:C451)</f>
        <v>9.989396906320519E-2</v>
      </c>
      <c r="E451" s="2" t="str">
        <f>IF(D451&gt;$H$6/10*9,"1",IF(D451&gt;$H$6/10*8,"2",IF(D451&gt;$H$6/10*7,"3",IF(D451&gt;$H$6/10*6,"4",IF(D451&gt;$H$6/10*5,"5",IF(D451&gt;$H$6/10*4,"6",IF(D451&gt;$H$6/10*3,"7",IF(D451&gt;$H$6/10*2,"8",IF(D451&gt;$H$6/10,"9","10")))))))))</f>
        <v>9</v>
      </c>
    </row>
    <row r="452" spans="1:5" x14ac:dyDescent="0.55000000000000004">
      <c r="A452">
        <v>248</v>
      </c>
      <c r="B452">
        <f>estuary_data!Y249*weights!$C$9</f>
        <v>2.6811431430527572E-2</v>
      </c>
      <c r="C452">
        <f>estuary_data!X249*weights!$C$10</f>
        <v>8.5498745591670561E-2</v>
      </c>
      <c r="D452">
        <f>SUM(B452:C452)</f>
        <v>0.11231017702219813</v>
      </c>
      <c r="E452" s="2" t="str">
        <f>IF(D452&gt;$H$6/10*9,"1",IF(D452&gt;$H$6/10*8,"2",IF(D452&gt;$H$6/10*7,"3",IF(D452&gt;$H$6/10*6,"4",IF(D452&gt;$H$6/10*5,"5",IF(D452&gt;$H$6/10*4,"6",IF(D452&gt;$H$6/10*3,"7",IF(D452&gt;$H$6/10*2,"8",IF(D452&gt;$H$6/10,"9","10")))))))))</f>
        <v>9</v>
      </c>
    </row>
    <row r="453" spans="1:5" x14ac:dyDescent="0.55000000000000004">
      <c r="A453">
        <v>249</v>
      </c>
      <c r="B453">
        <f>estuary_data!Y250*weights!$C$9</f>
        <v>2.7607676392247069E-2</v>
      </c>
      <c r="C453">
        <f>estuary_data!X250*weights!$C$10</f>
        <v>9.4782748344695633E-2</v>
      </c>
      <c r="D453">
        <f>SUM(B453:C453)</f>
        <v>0.1223904247369427</v>
      </c>
      <c r="E453" s="2" t="str">
        <f>IF(D453&gt;$H$6/10*9,"1",IF(D453&gt;$H$6/10*8,"2",IF(D453&gt;$H$6/10*7,"3",IF(D453&gt;$H$6/10*6,"4",IF(D453&gt;$H$6/10*5,"5",IF(D453&gt;$H$6/10*4,"6",IF(D453&gt;$H$6/10*3,"7",IF(D453&gt;$H$6/10*2,"8",IF(D453&gt;$H$6/10,"9","10")))))))))</f>
        <v>9</v>
      </c>
    </row>
    <row r="454" spans="1:5" x14ac:dyDescent="0.55000000000000004">
      <c r="A454">
        <v>250</v>
      </c>
      <c r="B454">
        <f>estuary_data!Y251*weights!$C$9</f>
        <v>3.1968581822458549E-2</v>
      </c>
      <c r="C454">
        <f>estuary_data!X251*weights!$C$10</f>
        <v>8.0719142556664736E-2</v>
      </c>
      <c r="D454">
        <f>SUM(B454:C454)</f>
        <v>0.11268772437912328</v>
      </c>
      <c r="E454" s="2" t="str">
        <f>IF(D454&gt;$H$6/10*9,"1",IF(D454&gt;$H$6/10*8,"2",IF(D454&gt;$H$6/10*7,"3",IF(D454&gt;$H$6/10*6,"4",IF(D454&gt;$H$6/10*5,"5",IF(D454&gt;$H$6/10*4,"6",IF(D454&gt;$H$6/10*3,"7",IF(D454&gt;$H$6/10*2,"8",IF(D454&gt;$H$6/10,"9","10")))))))))</f>
        <v>9</v>
      </c>
    </row>
    <row r="455" spans="1:5" x14ac:dyDescent="0.55000000000000004">
      <c r="A455">
        <v>251</v>
      </c>
      <c r="B455">
        <f>estuary_data!Y252*weights!$C$9</f>
        <v>2.913322347241213E-2</v>
      </c>
      <c r="C455">
        <f>estuary_data!X252*weights!$C$10</f>
        <v>9.8322141217567896E-2</v>
      </c>
      <c r="D455">
        <f>SUM(B455:C455)</f>
        <v>0.12745536468998003</v>
      </c>
      <c r="E455" s="2" t="str">
        <f>IF(D455&gt;$H$6/10*9,"1",IF(D455&gt;$H$6/10*8,"2",IF(D455&gt;$H$6/10*7,"3",IF(D455&gt;$H$6/10*6,"4",IF(D455&gt;$H$6/10*5,"5",IF(D455&gt;$H$6/10*4,"6",IF(D455&gt;$H$6/10*3,"7",IF(D455&gt;$H$6/10*2,"8",IF(D455&gt;$H$6/10,"9","10")))))))))</f>
        <v>9</v>
      </c>
    </row>
    <row r="456" spans="1:5" x14ac:dyDescent="0.55000000000000004">
      <c r="A456">
        <v>252</v>
      </c>
      <c r="B456">
        <f>estuary_data!Y253*weights!$C$9</f>
        <v>2.4650465937259829E-2</v>
      </c>
      <c r="C456">
        <f>estuary_data!X253*weights!$C$10</f>
        <v>8.9915845047012416E-2</v>
      </c>
      <c r="D456">
        <f>SUM(B456:C456)</f>
        <v>0.11456631098427225</v>
      </c>
      <c r="E456" s="2" t="str">
        <f>IF(D456&gt;$H$6/10*9,"1",IF(D456&gt;$H$6/10*8,"2",IF(D456&gt;$H$6/10*7,"3",IF(D456&gt;$H$6/10*6,"4",IF(D456&gt;$H$6/10*5,"5",IF(D456&gt;$H$6/10*4,"6",IF(D456&gt;$H$6/10*3,"7",IF(D456&gt;$H$6/10*2,"8",IF(D456&gt;$H$6/10,"9","10")))))))))</f>
        <v>9</v>
      </c>
    </row>
    <row r="457" spans="1:5" x14ac:dyDescent="0.55000000000000004">
      <c r="A457">
        <v>253</v>
      </c>
      <c r="B457">
        <f>estuary_data!Y254*weights!$C$9</f>
        <v>2.5386796623177828E-2</v>
      </c>
      <c r="C457">
        <f>estuary_data!X254*weights!$C$10</f>
        <v>8.1396235094408811E-2</v>
      </c>
      <c r="D457">
        <f>SUM(B457:C457)</f>
        <v>0.10678303171758664</v>
      </c>
      <c r="E457" s="2" t="str">
        <f>IF(D457&gt;$H$6/10*9,"1",IF(D457&gt;$H$6/10*8,"2",IF(D457&gt;$H$6/10*7,"3",IF(D457&gt;$H$6/10*6,"4",IF(D457&gt;$H$6/10*5,"5",IF(D457&gt;$H$6/10*4,"6",IF(D457&gt;$H$6/10*3,"7",IF(D457&gt;$H$6/10*2,"8",IF(D457&gt;$H$6/10,"9","10")))))))))</f>
        <v>9</v>
      </c>
    </row>
    <row r="458" spans="1:5" x14ac:dyDescent="0.55000000000000004">
      <c r="A458">
        <v>254</v>
      </c>
      <c r="B458">
        <f>estuary_data!Y255*weights!$C$9</f>
        <v>2.4700560891203108E-2</v>
      </c>
      <c r="C458">
        <f>estuary_data!X255*weights!$C$10</f>
        <v>9.3623022220124572E-2</v>
      </c>
      <c r="D458">
        <f>SUM(B458:C458)</f>
        <v>0.11832358311132768</v>
      </c>
      <c r="E458" s="2" t="str">
        <f>IF(D458&gt;$H$6/10*9,"1",IF(D458&gt;$H$6/10*8,"2",IF(D458&gt;$H$6/10*7,"3",IF(D458&gt;$H$6/10*6,"4",IF(D458&gt;$H$6/10*5,"5",IF(D458&gt;$H$6/10*4,"6",IF(D458&gt;$H$6/10*3,"7",IF(D458&gt;$H$6/10*2,"8",IF(D458&gt;$H$6/10,"9","10")))))))))</f>
        <v>9</v>
      </c>
    </row>
    <row r="459" spans="1:5" x14ac:dyDescent="0.55000000000000004">
      <c r="A459">
        <v>256</v>
      </c>
      <c r="B459">
        <f>estuary_data!Y257*weights!$C$9</f>
        <v>3.9021865264558642E-2</v>
      </c>
      <c r="C459">
        <f>estuary_data!X257*weights!$C$10</f>
        <v>0.13762359310309424</v>
      </c>
      <c r="D459">
        <f>SUM(B459:C459)</f>
        <v>0.17664545836765289</v>
      </c>
      <c r="E459" s="2" t="str">
        <f>IF(D459&gt;$H$6/10*9,"1",IF(D459&gt;$H$6/10*8,"2",IF(D459&gt;$H$6/10*7,"3",IF(D459&gt;$H$6/10*6,"4",IF(D459&gt;$H$6/10*5,"5",IF(D459&gt;$H$6/10*4,"6",IF(D459&gt;$H$6/10*3,"7",IF(D459&gt;$H$6/10*2,"8",IF(D459&gt;$H$6/10,"9","10")))))))))</f>
        <v>9</v>
      </c>
    </row>
    <row r="460" spans="1:5" x14ac:dyDescent="0.55000000000000004">
      <c r="A460">
        <v>257</v>
      </c>
      <c r="B460">
        <f>estuary_data!Y258*weights!$C$9</f>
        <v>2.6669442650442288E-2</v>
      </c>
      <c r="C460">
        <f>estuary_data!X258*weights!$C$10</f>
        <v>0.1050297345975416</v>
      </c>
      <c r="D460">
        <f>SUM(B460:C460)</f>
        <v>0.13169917724798388</v>
      </c>
      <c r="E460" s="2" t="str">
        <f>IF(D460&gt;$H$6/10*9,"1",IF(D460&gt;$H$6/10*8,"2",IF(D460&gt;$H$6/10*7,"3",IF(D460&gt;$H$6/10*6,"4",IF(D460&gt;$H$6/10*5,"5",IF(D460&gt;$H$6/10*4,"6",IF(D460&gt;$H$6/10*3,"7",IF(D460&gt;$H$6/10*2,"8",IF(D460&gt;$H$6/10,"9","10")))))))))</f>
        <v>9</v>
      </c>
    </row>
    <row r="461" spans="1:5" x14ac:dyDescent="0.55000000000000004">
      <c r="A461">
        <v>258</v>
      </c>
      <c r="B461">
        <f>estuary_data!Y259*weights!$C$9</f>
        <v>2.7658832463761895E-2</v>
      </c>
      <c r="C461">
        <f>estuary_data!X259*weights!$C$10</f>
        <v>0.1050297345975416</v>
      </c>
      <c r="D461">
        <f>SUM(B461:C461)</f>
        <v>0.1326885670613035</v>
      </c>
      <c r="E461" s="2" t="str">
        <f>IF(D461&gt;$H$6/10*9,"1",IF(D461&gt;$H$6/10*8,"2",IF(D461&gt;$H$6/10*7,"3",IF(D461&gt;$H$6/10*6,"4",IF(D461&gt;$H$6/10*5,"5",IF(D461&gt;$H$6/10*4,"6",IF(D461&gt;$H$6/10*3,"7",IF(D461&gt;$H$6/10*2,"8",IF(D461&gt;$H$6/10,"9","10")))))))))</f>
        <v>9</v>
      </c>
    </row>
    <row r="462" spans="1:5" x14ac:dyDescent="0.55000000000000004">
      <c r="A462">
        <v>260</v>
      </c>
      <c r="B462">
        <f>estuary_data!Y261*weights!$C$9</f>
        <v>2.3042889224216004E-2</v>
      </c>
      <c r="C462">
        <f>estuary_data!X261*weights!$C$10</f>
        <v>8.4326277546563841E-2</v>
      </c>
      <c r="D462">
        <f>SUM(B462:C462)</f>
        <v>0.10736916677077984</v>
      </c>
      <c r="E462" s="2" t="str">
        <f>IF(D462&gt;$H$6/10*9,"1",IF(D462&gt;$H$6/10*8,"2",IF(D462&gt;$H$6/10*7,"3",IF(D462&gt;$H$6/10*6,"4",IF(D462&gt;$H$6/10*5,"5",IF(D462&gt;$H$6/10*4,"6",IF(D462&gt;$H$6/10*3,"7",IF(D462&gt;$H$6/10*2,"8",IF(D462&gt;$H$6/10,"9","10")))))))))</f>
        <v>9</v>
      </c>
    </row>
    <row r="463" spans="1:5" x14ac:dyDescent="0.55000000000000004">
      <c r="A463">
        <v>261</v>
      </c>
      <c r="B463">
        <f>estuary_data!Y262*weights!$C$9</f>
        <v>2.8493764715689807E-2</v>
      </c>
      <c r="C463">
        <f>estuary_data!X262*weights!$C$10</f>
        <v>8.9835082638373323E-2</v>
      </c>
      <c r="D463">
        <f>SUM(B463:C463)</f>
        <v>0.11832884735406313</v>
      </c>
      <c r="E463" s="2" t="str">
        <f>IF(D463&gt;$H$6/10*9,"1",IF(D463&gt;$H$6/10*8,"2",IF(D463&gt;$H$6/10*7,"3",IF(D463&gt;$H$6/10*6,"4",IF(D463&gt;$H$6/10*5,"5",IF(D463&gt;$H$6/10*4,"6",IF(D463&gt;$H$6/10*3,"7",IF(D463&gt;$H$6/10*2,"8",IF(D463&gt;$H$6/10,"9","10")))))))))</f>
        <v>9</v>
      </c>
    </row>
    <row r="464" spans="1:5" x14ac:dyDescent="0.55000000000000004">
      <c r="A464">
        <v>262</v>
      </c>
      <c r="B464">
        <f>estuary_data!Y263*weights!$C$9</f>
        <v>2.5294512433456005E-2</v>
      </c>
      <c r="C464">
        <f>estuary_data!X263*weights!$C$10</f>
        <v>8.5241882546874176E-2</v>
      </c>
      <c r="D464">
        <f>SUM(B464:C464)</f>
        <v>0.11053639498033019</v>
      </c>
      <c r="E464" s="2" t="str">
        <f>IF(D464&gt;$H$6/10*9,"1",IF(D464&gt;$H$6/10*8,"2",IF(D464&gt;$H$6/10*7,"3",IF(D464&gt;$H$6/10*6,"4",IF(D464&gt;$H$6/10*5,"5",IF(D464&gt;$H$6/10*4,"6",IF(D464&gt;$H$6/10*3,"7",IF(D464&gt;$H$6/10*2,"8",IF(D464&gt;$H$6/10,"9","10")))))))))</f>
        <v>9</v>
      </c>
    </row>
    <row r="465" spans="1:5" x14ac:dyDescent="0.55000000000000004">
      <c r="A465">
        <v>265</v>
      </c>
      <c r="B465">
        <f>estuary_data!Y266*weights!$C$9</f>
        <v>3.1973956993338666E-2</v>
      </c>
      <c r="C465">
        <f>estuary_data!X266*weights!$C$10</f>
        <v>6.8555693872192014E-2</v>
      </c>
      <c r="D465">
        <f>SUM(B465:C465)</f>
        <v>0.10052965086553067</v>
      </c>
      <c r="E465" s="2" t="str">
        <f>IF(D465&gt;$H$6/10*9,"1",IF(D465&gt;$H$6/10*8,"2",IF(D465&gt;$H$6/10*7,"3",IF(D465&gt;$H$6/10*6,"4",IF(D465&gt;$H$6/10*5,"5",IF(D465&gt;$H$6/10*4,"6",IF(D465&gt;$H$6/10*3,"7",IF(D465&gt;$H$6/10*2,"8",IF(D465&gt;$H$6/10,"9","10")))))))))</f>
        <v>9</v>
      </c>
    </row>
    <row r="466" spans="1:5" x14ac:dyDescent="0.55000000000000004">
      <c r="A466">
        <v>267</v>
      </c>
      <c r="B466">
        <f>estuary_data!Y268*weights!$C$9</f>
        <v>3.7193720461422032E-2</v>
      </c>
      <c r="C466">
        <f>estuary_data!X268*weights!$C$10</f>
        <v>6.6714828519224292E-2</v>
      </c>
      <c r="D466">
        <f>SUM(B466:C466)</f>
        <v>0.10390854898064633</v>
      </c>
      <c r="E466" s="2" t="str">
        <f>IF(D466&gt;$H$6/10*9,"1",IF(D466&gt;$H$6/10*8,"2",IF(D466&gt;$H$6/10*7,"3",IF(D466&gt;$H$6/10*6,"4",IF(D466&gt;$H$6/10*5,"5",IF(D466&gt;$H$6/10*4,"6",IF(D466&gt;$H$6/10*3,"7",IF(D466&gt;$H$6/10*2,"8",IF(D466&gt;$H$6/10,"9","10")))))))))</f>
        <v>9</v>
      </c>
    </row>
    <row r="467" spans="1:5" x14ac:dyDescent="0.55000000000000004">
      <c r="A467">
        <v>275</v>
      </c>
      <c r="B467">
        <f>estuary_data!Y276*weights!$C$9</f>
        <v>2.9849540841323189E-2</v>
      </c>
      <c r="C467">
        <f>estuary_data!X276*weights!$C$10</f>
        <v>8.2435945911010527E-2</v>
      </c>
      <c r="D467">
        <f>SUM(B467:C467)</f>
        <v>0.11228548675233371</v>
      </c>
      <c r="E467" s="2" t="str">
        <f>IF(D467&gt;$H$6/10*9,"1",IF(D467&gt;$H$6/10*8,"2",IF(D467&gt;$H$6/10*7,"3",IF(D467&gt;$H$6/10*6,"4",IF(D467&gt;$H$6/10*5,"5",IF(D467&gt;$H$6/10*4,"6",IF(D467&gt;$H$6/10*3,"7",IF(D467&gt;$H$6/10*2,"8",IF(D467&gt;$H$6/10,"9","10")))))))))</f>
        <v>9</v>
      </c>
    </row>
    <row r="468" spans="1:5" x14ac:dyDescent="0.55000000000000004">
      <c r="A468">
        <v>276</v>
      </c>
      <c r="B468">
        <f>estuary_data!Y277*weights!$C$9</f>
        <v>3.1789711676248479E-2</v>
      </c>
      <c r="C468">
        <f>estuary_data!X277*weights!$C$10</f>
        <v>8.2190097855070199E-2</v>
      </c>
      <c r="D468">
        <f>SUM(B468:C468)</f>
        <v>0.11397980953131867</v>
      </c>
      <c r="E468" s="2" t="str">
        <f>IF(D468&gt;$H$6/10*9,"1",IF(D468&gt;$H$6/10*8,"2",IF(D468&gt;$H$6/10*7,"3",IF(D468&gt;$H$6/10*6,"4",IF(D468&gt;$H$6/10*5,"5",IF(D468&gt;$H$6/10*4,"6",IF(D468&gt;$H$6/10*3,"7",IF(D468&gt;$H$6/10*2,"8",IF(D468&gt;$H$6/10,"9","10")))))))))</f>
        <v>9</v>
      </c>
    </row>
    <row r="469" spans="1:5" x14ac:dyDescent="0.55000000000000004">
      <c r="A469">
        <v>279</v>
      </c>
      <c r="B469">
        <f>estuary_data!Y280*weights!$C$9</f>
        <v>2.6087704140130685E-2</v>
      </c>
      <c r="C469">
        <f>estuary_data!X280*weights!$C$10</f>
        <v>7.930531905549508E-2</v>
      </c>
      <c r="D469">
        <f>SUM(B469:C469)</f>
        <v>0.10539302319562577</v>
      </c>
      <c r="E469" s="2" t="str">
        <f>IF(D469&gt;$H$6/10*9,"1",IF(D469&gt;$H$6/10*8,"2",IF(D469&gt;$H$6/10*7,"3",IF(D469&gt;$H$6/10*6,"4",IF(D469&gt;$H$6/10*5,"5",IF(D469&gt;$H$6/10*4,"6",IF(D469&gt;$H$6/10*3,"7",IF(D469&gt;$H$6/10*2,"8",IF(D469&gt;$H$6/10,"9","10")))))))))</f>
        <v>9</v>
      </c>
    </row>
    <row r="470" spans="1:5" x14ac:dyDescent="0.55000000000000004">
      <c r="A470">
        <v>283</v>
      </c>
      <c r="B470">
        <f>estuary_data!Y284*weights!$C$9</f>
        <v>3.7502846450403859E-2</v>
      </c>
      <c r="C470">
        <f>estuary_data!X284*weights!$C$10</f>
        <v>7.5600743878697238E-2</v>
      </c>
      <c r="D470">
        <f>SUM(B470:C470)</f>
        <v>0.1131035903291011</v>
      </c>
      <c r="E470" s="2" t="str">
        <f>IF(D470&gt;$H$6/10*9,"1",IF(D470&gt;$H$6/10*8,"2",IF(D470&gt;$H$6/10*7,"3",IF(D470&gt;$H$6/10*6,"4",IF(D470&gt;$H$6/10*5,"5",IF(D470&gt;$H$6/10*4,"6",IF(D470&gt;$H$6/10*3,"7",IF(D470&gt;$H$6/10*2,"8",IF(D470&gt;$H$6/10,"9","10")))))))))</f>
        <v>9</v>
      </c>
    </row>
    <row r="471" spans="1:5" x14ac:dyDescent="0.55000000000000004">
      <c r="A471">
        <v>286</v>
      </c>
      <c r="B471">
        <f>estuary_data!Y287*weights!$C$9</f>
        <v>4.101064142864129E-2</v>
      </c>
      <c r="C471">
        <f>estuary_data!X287*weights!$C$10</f>
        <v>7.2429289265259961E-2</v>
      </c>
      <c r="D471">
        <f>SUM(B471:C471)</f>
        <v>0.11343993069390125</v>
      </c>
      <c r="E471" s="2" t="str">
        <f>IF(D471&gt;$H$6/10*9,"1",IF(D471&gt;$H$6/10*8,"2",IF(D471&gt;$H$6/10*7,"3",IF(D471&gt;$H$6/10*6,"4",IF(D471&gt;$H$6/10*5,"5",IF(D471&gt;$H$6/10*4,"6",IF(D471&gt;$H$6/10*3,"7",IF(D471&gt;$H$6/10*2,"8",IF(D471&gt;$H$6/10,"9","10")))))))))</f>
        <v>9</v>
      </c>
    </row>
    <row r="472" spans="1:5" x14ac:dyDescent="0.55000000000000004">
      <c r="A472">
        <v>287</v>
      </c>
      <c r="B472">
        <f>estuary_data!Y288*weights!$C$9</f>
        <v>3.9128866098901705E-2</v>
      </c>
      <c r="C472">
        <f>estuary_data!X288*weights!$C$10</f>
        <v>6.3323757168809419E-2</v>
      </c>
      <c r="D472">
        <f>SUM(B472:C472)</f>
        <v>0.10245262326771112</v>
      </c>
      <c r="E472" s="2" t="str">
        <f>IF(D472&gt;$H$6/10*9,"1",IF(D472&gt;$H$6/10*8,"2",IF(D472&gt;$H$6/10*7,"3",IF(D472&gt;$H$6/10*6,"4",IF(D472&gt;$H$6/10*5,"5",IF(D472&gt;$H$6/10*4,"6",IF(D472&gt;$H$6/10*3,"7",IF(D472&gt;$H$6/10*2,"8",IF(D472&gt;$H$6/10,"9","10")))))))))</f>
        <v>9</v>
      </c>
    </row>
    <row r="473" spans="1:5" x14ac:dyDescent="0.55000000000000004">
      <c r="A473">
        <v>288</v>
      </c>
      <c r="B473">
        <f>estuary_data!Y289*weights!$C$9</f>
        <v>3.8920800440728542E-2</v>
      </c>
      <c r="C473">
        <f>estuary_data!X289*weights!$C$10</f>
        <v>6.6014595096971301E-2</v>
      </c>
      <c r="D473">
        <f>SUM(B473:C473)</f>
        <v>0.10493539553769984</v>
      </c>
      <c r="E473" s="2" t="str">
        <f>IF(D473&gt;$H$6/10*9,"1",IF(D473&gt;$H$6/10*8,"2",IF(D473&gt;$H$6/10*7,"3",IF(D473&gt;$H$6/10*6,"4",IF(D473&gt;$H$6/10*5,"5",IF(D473&gt;$H$6/10*4,"6",IF(D473&gt;$H$6/10*3,"7",IF(D473&gt;$H$6/10*2,"8",IF(D473&gt;$H$6/10,"9","10")))))))))</f>
        <v>9</v>
      </c>
    </row>
    <row r="474" spans="1:5" x14ac:dyDescent="0.55000000000000004">
      <c r="A474">
        <v>291</v>
      </c>
      <c r="B474">
        <f>estuary_data!Y292*weights!$C$9</f>
        <v>3.6947768399987278E-2</v>
      </c>
      <c r="C474">
        <f>estuary_data!X292*weights!$C$10</f>
        <v>6.9039547909989521E-2</v>
      </c>
      <c r="D474">
        <f>SUM(B474:C474)</f>
        <v>0.10598731630997679</v>
      </c>
      <c r="E474" s="2" t="str">
        <f>IF(D474&gt;$H$6/10*9,"1",IF(D474&gt;$H$6/10*8,"2",IF(D474&gt;$H$6/10*7,"3",IF(D474&gt;$H$6/10*6,"4",IF(D474&gt;$H$6/10*5,"5",IF(D474&gt;$H$6/10*4,"6",IF(D474&gt;$H$6/10*3,"7",IF(D474&gt;$H$6/10*2,"8",IF(D474&gt;$H$6/10,"9","10")))))))))</f>
        <v>9</v>
      </c>
    </row>
    <row r="475" spans="1:5" x14ac:dyDescent="0.55000000000000004">
      <c r="A475">
        <v>295</v>
      </c>
      <c r="B475">
        <f>estuary_data!Y296*weights!$C$9</f>
        <v>2.9999560967745142E-2</v>
      </c>
      <c r="C475">
        <f>estuary_data!X296*weights!$C$10</f>
        <v>9.3124267597191807E-2</v>
      </c>
      <c r="D475">
        <f>SUM(B475:C475)</f>
        <v>0.12312382856493695</v>
      </c>
      <c r="E475" s="2" t="str">
        <f>IF(D475&gt;$H$6/10*9,"1",IF(D475&gt;$H$6/10*8,"2",IF(D475&gt;$H$6/10*7,"3",IF(D475&gt;$H$6/10*6,"4",IF(D475&gt;$H$6/10*5,"5",IF(D475&gt;$H$6/10*4,"6",IF(D475&gt;$H$6/10*3,"7",IF(D475&gt;$H$6/10*2,"8",IF(D475&gt;$H$6/10,"9","10")))))))))</f>
        <v>9</v>
      </c>
    </row>
    <row r="476" spans="1:5" x14ac:dyDescent="0.55000000000000004">
      <c r="A476">
        <v>296</v>
      </c>
      <c r="B476">
        <f>estuary_data!Y297*weights!$C$9</f>
        <v>3.1789861980752593E-2</v>
      </c>
      <c r="C476">
        <f>estuary_data!X297*weights!$C$10</f>
        <v>9.783464902444787E-2</v>
      </c>
      <c r="D476">
        <f>SUM(B476:C476)</f>
        <v>0.12962451100520045</v>
      </c>
      <c r="E476" s="2" t="str">
        <f>IF(D476&gt;$H$6/10*9,"1",IF(D476&gt;$H$6/10*8,"2",IF(D476&gt;$H$6/10*7,"3",IF(D476&gt;$H$6/10*6,"4",IF(D476&gt;$H$6/10*5,"5",IF(D476&gt;$H$6/10*4,"6",IF(D476&gt;$H$6/10*3,"7",IF(D476&gt;$H$6/10*2,"8",IF(D476&gt;$H$6/10,"9","10")))))))))</f>
        <v>9</v>
      </c>
    </row>
    <row r="477" spans="1:5" x14ac:dyDescent="0.55000000000000004">
      <c r="A477">
        <v>297</v>
      </c>
      <c r="B477">
        <f>estuary_data!Y298*weights!$C$9</f>
        <v>3.3687291702785609E-2</v>
      </c>
      <c r="C477">
        <f>estuary_data!X298*weights!$C$10</f>
        <v>0.10345864045929894</v>
      </c>
      <c r="D477">
        <f>SUM(B477:C477)</f>
        <v>0.13714593216208454</v>
      </c>
      <c r="E477" s="2" t="str">
        <f>IF(D477&gt;$H$6/10*9,"1",IF(D477&gt;$H$6/10*8,"2",IF(D477&gt;$H$6/10*7,"3",IF(D477&gt;$H$6/10*6,"4",IF(D477&gt;$H$6/10*5,"5",IF(D477&gt;$H$6/10*4,"6",IF(D477&gt;$H$6/10*3,"7",IF(D477&gt;$H$6/10*2,"8",IF(D477&gt;$H$6/10,"9","10")))))))))</f>
        <v>9</v>
      </c>
    </row>
    <row r="478" spans="1:5" x14ac:dyDescent="0.55000000000000004">
      <c r="A478">
        <v>298</v>
      </c>
      <c r="B478">
        <f>estuary_data!Y299*weights!$C$9</f>
        <v>2.617805900058414E-2</v>
      </c>
      <c r="C478">
        <f>estuary_data!X299*weights!$C$10</f>
        <v>9.4101718660472428E-2</v>
      </c>
      <c r="D478">
        <f>SUM(B478:C478)</f>
        <v>0.12027977766105657</v>
      </c>
      <c r="E478" s="2" t="str">
        <f>IF(D478&gt;$H$6/10*9,"1",IF(D478&gt;$H$6/10*8,"2",IF(D478&gt;$H$6/10*7,"3",IF(D478&gt;$H$6/10*6,"4",IF(D478&gt;$H$6/10*5,"5",IF(D478&gt;$H$6/10*4,"6",IF(D478&gt;$H$6/10*3,"7",IF(D478&gt;$H$6/10*2,"8",IF(D478&gt;$H$6/10,"9","10")))))))))</f>
        <v>9</v>
      </c>
    </row>
    <row r="479" spans="1:5" x14ac:dyDescent="0.55000000000000004">
      <c r="A479">
        <v>299</v>
      </c>
      <c r="B479">
        <f>estuary_data!Y300*weights!$C$9</f>
        <v>2.6527752244616377E-2</v>
      </c>
      <c r="C479">
        <f>estuary_data!X300*weights!$C$10</f>
        <v>9.482942447273926E-2</v>
      </c>
      <c r="D479">
        <f>SUM(B479:C479)</f>
        <v>0.12135717671735563</v>
      </c>
      <c r="E479" s="2" t="str">
        <f>IF(D479&gt;$H$6/10*9,"1",IF(D479&gt;$H$6/10*8,"2",IF(D479&gt;$H$6/10*7,"3",IF(D479&gt;$H$6/10*6,"4",IF(D479&gt;$H$6/10*5,"5",IF(D479&gt;$H$6/10*4,"6",IF(D479&gt;$H$6/10*3,"7",IF(D479&gt;$H$6/10*2,"8",IF(D479&gt;$H$6/10,"9","10")))))))))</f>
        <v>9</v>
      </c>
    </row>
    <row r="480" spans="1:5" x14ac:dyDescent="0.55000000000000004">
      <c r="A480">
        <v>300</v>
      </c>
      <c r="B480">
        <f>estuary_data!Y301*weights!$C$9</f>
        <v>2.7134237622891362E-2</v>
      </c>
      <c r="C480">
        <f>estuary_data!X301*weights!$C$10</f>
        <v>8.4997378662383077E-2</v>
      </c>
      <c r="D480">
        <f>SUM(B480:C480)</f>
        <v>0.11213161628527443</v>
      </c>
      <c r="E480" s="2" t="str">
        <f>IF(D480&gt;$H$6/10*9,"1",IF(D480&gt;$H$6/10*8,"2",IF(D480&gt;$H$6/10*7,"3",IF(D480&gt;$H$6/10*6,"4",IF(D480&gt;$H$6/10*5,"5",IF(D480&gt;$H$6/10*4,"6",IF(D480&gt;$H$6/10*3,"7",IF(D480&gt;$H$6/10*2,"8",IF(D480&gt;$H$6/10,"9","10")))))))))</f>
        <v>9</v>
      </c>
    </row>
    <row r="481" spans="1:5" x14ac:dyDescent="0.55000000000000004">
      <c r="A481">
        <v>307</v>
      </c>
      <c r="B481">
        <f>estuary_data!Y308*weights!$C$9</f>
        <v>2.7738374174250114E-2</v>
      </c>
      <c r="C481">
        <f>estuary_data!X308*weights!$C$10</f>
        <v>8.5877965612243645E-2</v>
      </c>
      <c r="D481">
        <f>SUM(B481:C481)</f>
        <v>0.11361633978649376</v>
      </c>
      <c r="E481" s="2" t="str">
        <f>IF(D481&gt;$H$6/10*9,"1",IF(D481&gt;$H$6/10*8,"2",IF(D481&gt;$H$6/10*7,"3",IF(D481&gt;$H$6/10*6,"4",IF(D481&gt;$H$6/10*5,"5",IF(D481&gt;$H$6/10*4,"6",IF(D481&gt;$H$6/10*3,"7",IF(D481&gt;$H$6/10*2,"8",IF(D481&gt;$H$6/10,"9","10")))))))))</f>
        <v>9</v>
      </c>
    </row>
    <row r="482" spans="1:5" x14ac:dyDescent="0.55000000000000004">
      <c r="A482">
        <v>308</v>
      </c>
      <c r="B482">
        <f>estuary_data!Y309*weights!$C$9</f>
        <v>3.2436479414378806E-2</v>
      </c>
      <c r="C482">
        <f>estuary_data!X309*weights!$C$10</f>
        <v>8.7899199957878621E-2</v>
      </c>
      <c r="D482">
        <f>SUM(B482:C482)</f>
        <v>0.12033567937225742</v>
      </c>
      <c r="E482" s="2" t="str">
        <f>IF(D482&gt;$H$6/10*9,"1",IF(D482&gt;$H$6/10*8,"2",IF(D482&gt;$H$6/10*7,"3",IF(D482&gt;$H$6/10*6,"4",IF(D482&gt;$H$6/10*5,"5",IF(D482&gt;$H$6/10*4,"6",IF(D482&gt;$H$6/10*3,"7",IF(D482&gt;$H$6/10*2,"8",IF(D482&gt;$H$6/10,"9","10")))))))))</f>
        <v>9</v>
      </c>
    </row>
    <row r="483" spans="1:5" x14ac:dyDescent="0.55000000000000004">
      <c r="A483">
        <v>309</v>
      </c>
      <c r="B483">
        <f>estuary_data!Y310*weights!$C$9</f>
        <v>3.0441832282737048E-2</v>
      </c>
      <c r="C483">
        <f>estuary_data!X310*weights!$C$10</f>
        <v>9.653391763946878E-2</v>
      </c>
      <c r="D483">
        <f>SUM(B483:C483)</f>
        <v>0.12697574992220584</v>
      </c>
      <c r="E483" s="2" t="str">
        <f>IF(D483&gt;$H$6/10*9,"1",IF(D483&gt;$H$6/10*8,"2",IF(D483&gt;$H$6/10*7,"3",IF(D483&gt;$H$6/10*6,"4",IF(D483&gt;$H$6/10*5,"5",IF(D483&gt;$H$6/10*4,"6",IF(D483&gt;$H$6/10*3,"7",IF(D483&gt;$H$6/10*2,"8",IF(D483&gt;$H$6/10,"9","10")))))))))</f>
        <v>9</v>
      </c>
    </row>
    <row r="484" spans="1:5" x14ac:dyDescent="0.55000000000000004">
      <c r="A484">
        <v>312</v>
      </c>
      <c r="B484">
        <f>estuary_data!Y313*weights!$C$9</f>
        <v>3.3623954015193878E-2</v>
      </c>
      <c r="C484">
        <f>estuary_data!X313*weights!$C$10</f>
        <v>0.11227673637644586</v>
      </c>
      <c r="D484">
        <f>SUM(B484:C484)</f>
        <v>0.14590069039163975</v>
      </c>
      <c r="E484" s="2" t="str">
        <f>IF(D484&gt;$H$6/10*9,"1",IF(D484&gt;$H$6/10*8,"2",IF(D484&gt;$H$6/10*7,"3",IF(D484&gt;$H$6/10*6,"4",IF(D484&gt;$H$6/10*5,"5",IF(D484&gt;$H$6/10*4,"6",IF(D484&gt;$H$6/10*3,"7",IF(D484&gt;$H$6/10*2,"8",IF(D484&gt;$H$6/10,"9","10")))))))))</f>
        <v>9</v>
      </c>
    </row>
    <row r="485" spans="1:5" x14ac:dyDescent="0.55000000000000004">
      <c r="A485">
        <v>313</v>
      </c>
      <c r="B485">
        <f>estuary_data!Y314*weights!$C$9</f>
        <v>4.1777890535566339E-2</v>
      </c>
      <c r="C485">
        <f>estuary_data!X314*weights!$C$10</f>
        <v>9.1655597261374677E-2</v>
      </c>
      <c r="D485">
        <f>SUM(B485:C485)</f>
        <v>0.13343348779694103</v>
      </c>
      <c r="E485" s="2" t="str">
        <f>IF(D485&gt;$H$6/10*9,"1",IF(D485&gt;$H$6/10*8,"2",IF(D485&gt;$H$6/10*7,"3",IF(D485&gt;$H$6/10*6,"4",IF(D485&gt;$H$6/10*5,"5",IF(D485&gt;$H$6/10*4,"6",IF(D485&gt;$H$6/10*3,"7",IF(D485&gt;$H$6/10*2,"8",IF(D485&gt;$H$6/10,"9","10")))))))))</f>
        <v>9</v>
      </c>
    </row>
    <row r="486" spans="1:5" x14ac:dyDescent="0.55000000000000004">
      <c r="A486">
        <v>314</v>
      </c>
      <c r="B486">
        <f>estuary_data!Y315*weights!$C$9</f>
        <v>3.3892941232816012E-2</v>
      </c>
      <c r="C486">
        <f>estuary_data!X315*weights!$C$10</f>
        <v>8.795705216915102E-2</v>
      </c>
      <c r="D486">
        <f>SUM(B486:C486)</f>
        <v>0.12184999340196703</v>
      </c>
      <c r="E486" s="2" t="str">
        <f>IF(D486&gt;$H$6/10*9,"1",IF(D486&gt;$H$6/10*8,"2",IF(D486&gt;$H$6/10*7,"3",IF(D486&gt;$H$6/10*6,"4",IF(D486&gt;$H$6/10*5,"5",IF(D486&gt;$H$6/10*4,"6",IF(D486&gt;$H$6/10*3,"7",IF(D486&gt;$H$6/10*2,"8",IF(D486&gt;$H$6/10,"9","10")))))))))</f>
        <v>9</v>
      </c>
    </row>
    <row r="487" spans="1:5" x14ac:dyDescent="0.55000000000000004">
      <c r="A487">
        <v>315</v>
      </c>
      <c r="B487">
        <f>estuary_data!Y316*weights!$C$9</f>
        <v>3.0370447546757422E-2</v>
      </c>
      <c r="C487">
        <f>estuary_data!X316*weights!$C$10</f>
        <v>7.9040304635419195E-2</v>
      </c>
      <c r="D487">
        <f>SUM(B487:C487)</f>
        <v>0.10941075218217662</v>
      </c>
      <c r="E487" s="2" t="str">
        <f>IF(D487&gt;$H$6/10*9,"1",IF(D487&gt;$H$6/10*8,"2",IF(D487&gt;$H$6/10*7,"3",IF(D487&gt;$H$6/10*6,"4",IF(D487&gt;$H$6/10*5,"5",IF(D487&gt;$H$6/10*4,"6",IF(D487&gt;$H$6/10*3,"7",IF(D487&gt;$H$6/10*2,"8",IF(D487&gt;$H$6/10,"9","10")))))))))</f>
        <v>9</v>
      </c>
    </row>
    <row r="488" spans="1:5" x14ac:dyDescent="0.55000000000000004">
      <c r="A488">
        <v>316</v>
      </c>
      <c r="B488">
        <f>estuary_data!Y317*weights!$C$9</f>
        <v>3.1549002429751637E-2</v>
      </c>
      <c r="C488">
        <f>estuary_data!X317*weights!$C$10</f>
        <v>8.1358134342035149E-2</v>
      </c>
      <c r="D488">
        <f>SUM(B488:C488)</f>
        <v>0.11290713677178679</v>
      </c>
      <c r="E488" s="2" t="str">
        <f>IF(D488&gt;$H$6/10*9,"1",IF(D488&gt;$H$6/10*8,"2",IF(D488&gt;$H$6/10*7,"3",IF(D488&gt;$H$6/10*6,"4",IF(D488&gt;$H$6/10*5,"5",IF(D488&gt;$H$6/10*4,"6",IF(D488&gt;$H$6/10*3,"7",IF(D488&gt;$H$6/10*2,"8",IF(D488&gt;$H$6/10,"9","10")))))))))</f>
        <v>9</v>
      </c>
    </row>
    <row r="489" spans="1:5" x14ac:dyDescent="0.55000000000000004">
      <c r="A489">
        <v>317</v>
      </c>
      <c r="B489">
        <f>estuary_data!Y318*weights!$C$9</f>
        <v>2.8319962391819439E-2</v>
      </c>
      <c r="C489">
        <f>estuary_data!X318*weights!$C$10</f>
        <v>8.1029794368265948E-2</v>
      </c>
      <c r="D489">
        <f>SUM(B489:C489)</f>
        <v>0.10934975676008539</v>
      </c>
      <c r="E489" s="2" t="str">
        <f>IF(D489&gt;$H$6/10*9,"1",IF(D489&gt;$H$6/10*8,"2",IF(D489&gt;$H$6/10*7,"3",IF(D489&gt;$H$6/10*6,"4",IF(D489&gt;$H$6/10*5,"5",IF(D489&gt;$H$6/10*4,"6",IF(D489&gt;$H$6/10*3,"7",IF(D489&gt;$H$6/10*2,"8",IF(D489&gt;$H$6/10,"9","10")))))))))</f>
        <v>9</v>
      </c>
    </row>
    <row r="490" spans="1:5" x14ac:dyDescent="0.55000000000000004">
      <c r="A490">
        <v>318</v>
      </c>
      <c r="B490">
        <f>estuary_data!Y319*weights!$C$9</f>
        <v>2.5263674769215955E-2</v>
      </c>
      <c r="C490">
        <f>estuary_data!X319*weights!$C$10</f>
        <v>7.5802413413755113E-2</v>
      </c>
      <c r="D490">
        <f>SUM(B490:C490)</f>
        <v>0.10106608818297107</v>
      </c>
      <c r="E490" s="2" t="str">
        <f>IF(D490&gt;$H$6/10*9,"1",IF(D490&gt;$H$6/10*8,"2",IF(D490&gt;$H$6/10*7,"3",IF(D490&gt;$H$6/10*6,"4",IF(D490&gt;$H$6/10*5,"5",IF(D490&gt;$H$6/10*4,"6",IF(D490&gt;$H$6/10*3,"7",IF(D490&gt;$H$6/10*2,"8",IF(D490&gt;$H$6/10,"9","10")))))))))</f>
        <v>9</v>
      </c>
    </row>
    <row r="491" spans="1:5" x14ac:dyDescent="0.55000000000000004">
      <c r="A491">
        <v>319</v>
      </c>
      <c r="B491">
        <f>estuary_data!Y320*weights!$C$9</f>
        <v>2.9524121098396933E-2</v>
      </c>
      <c r="C491">
        <f>estuary_data!X320*weights!$C$10</f>
        <v>8.3045345304417553E-2</v>
      </c>
      <c r="D491">
        <f>SUM(B491:C491)</f>
        <v>0.11256946640281448</v>
      </c>
      <c r="E491" s="2" t="str">
        <f>IF(D491&gt;$H$6/10*9,"1",IF(D491&gt;$H$6/10*8,"2",IF(D491&gt;$H$6/10*7,"3",IF(D491&gt;$H$6/10*6,"4",IF(D491&gt;$H$6/10*5,"5",IF(D491&gt;$H$6/10*4,"6",IF(D491&gt;$H$6/10*3,"7",IF(D491&gt;$H$6/10*2,"8",IF(D491&gt;$H$6/10,"9","10")))))))))</f>
        <v>9</v>
      </c>
    </row>
    <row r="492" spans="1:5" x14ac:dyDescent="0.55000000000000004">
      <c r="A492">
        <v>320</v>
      </c>
      <c r="B492">
        <f>estuary_data!Y321*weights!$C$9</f>
        <v>3.4178446537883413E-2</v>
      </c>
      <c r="C492">
        <f>estuary_data!X321*weights!$C$10</f>
        <v>8.5019568445713234E-2</v>
      </c>
      <c r="D492">
        <f>SUM(B492:C492)</f>
        <v>0.11919801498359664</v>
      </c>
      <c r="E492" s="2" t="str">
        <f>IF(D492&gt;$H$6/10*9,"1",IF(D492&gt;$H$6/10*8,"2",IF(D492&gt;$H$6/10*7,"3",IF(D492&gt;$H$6/10*6,"4",IF(D492&gt;$H$6/10*5,"5",IF(D492&gt;$H$6/10*4,"6",IF(D492&gt;$H$6/10*3,"7",IF(D492&gt;$H$6/10*2,"8",IF(D492&gt;$H$6/10,"9","10")))))))))</f>
        <v>9</v>
      </c>
    </row>
    <row r="493" spans="1:5" x14ac:dyDescent="0.55000000000000004">
      <c r="A493">
        <v>323</v>
      </c>
      <c r="B493">
        <f>estuary_data!Y324*weights!$C$9</f>
        <v>3.7355805550030007E-2</v>
      </c>
      <c r="C493">
        <f>estuary_data!X324*weights!$C$10</f>
        <v>9.1538280606343989E-2</v>
      </c>
      <c r="D493">
        <f>SUM(B493:C493)</f>
        <v>0.12889408615637399</v>
      </c>
      <c r="E493" s="2" t="str">
        <f>IF(D493&gt;$H$6/10*9,"1",IF(D493&gt;$H$6/10*8,"2",IF(D493&gt;$H$6/10*7,"3",IF(D493&gt;$H$6/10*6,"4",IF(D493&gt;$H$6/10*5,"5",IF(D493&gt;$H$6/10*4,"6",IF(D493&gt;$H$6/10*3,"7",IF(D493&gt;$H$6/10*2,"8",IF(D493&gt;$H$6/10,"9","10")))))))))</f>
        <v>9</v>
      </c>
    </row>
    <row r="494" spans="1:5" x14ac:dyDescent="0.55000000000000004">
      <c r="A494">
        <v>324</v>
      </c>
      <c r="B494">
        <f>estuary_data!Y325*weights!$C$9</f>
        <v>3.0427335478595205E-2</v>
      </c>
      <c r="C494">
        <f>estuary_data!X325*weights!$C$10</f>
        <v>8.1427479670262815E-2</v>
      </c>
      <c r="D494">
        <f>SUM(B494:C494)</f>
        <v>0.11185481514885802</v>
      </c>
      <c r="E494" s="2" t="str">
        <f>IF(D494&gt;$H$6/10*9,"1",IF(D494&gt;$H$6/10*8,"2",IF(D494&gt;$H$6/10*7,"3",IF(D494&gt;$H$6/10*6,"4",IF(D494&gt;$H$6/10*5,"5",IF(D494&gt;$H$6/10*4,"6",IF(D494&gt;$H$6/10*3,"7",IF(D494&gt;$H$6/10*2,"8",IF(D494&gt;$H$6/10,"9","10")))))))))</f>
        <v>9</v>
      </c>
    </row>
    <row r="495" spans="1:5" x14ac:dyDescent="0.55000000000000004">
      <c r="A495">
        <v>325</v>
      </c>
      <c r="B495">
        <f>estuary_data!Y326*weights!$C$9</f>
        <v>2.9964676220353245E-2</v>
      </c>
      <c r="C495">
        <f>estuary_data!X326*weights!$C$10</f>
        <v>6.9384627522257575E-2</v>
      </c>
      <c r="D495">
        <f>SUM(B495:C495)</f>
        <v>9.934930374261082E-2</v>
      </c>
      <c r="E495" s="2" t="str">
        <f>IF(D495&gt;$H$6/10*9,"1",IF(D495&gt;$H$6/10*8,"2",IF(D495&gt;$H$6/10*7,"3",IF(D495&gt;$H$6/10*6,"4",IF(D495&gt;$H$6/10*5,"5",IF(D495&gt;$H$6/10*4,"6",IF(D495&gt;$H$6/10*3,"7",IF(D495&gt;$H$6/10*2,"8",IF(D495&gt;$H$6/10,"9","10")))))))))</f>
        <v>9</v>
      </c>
    </row>
    <row r="496" spans="1:5" x14ac:dyDescent="0.55000000000000004">
      <c r="A496">
        <v>326</v>
      </c>
      <c r="B496">
        <f>estuary_data!Y327*weights!$C$9</f>
        <v>3.8915236821709755E-2</v>
      </c>
      <c r="C496">
        <f>estuary_data!X327*weights!$C$10</f>
        <v>8.0625666580099606E-2</v>
      </c>
      <c r="D496">
        <f>SUM(B496:C496)</f>
        <v>0.11954090340180937</v>
      </c>
      <c r="E496" s="2" t="str">
        <f>IF(D496&gt;$H$6/10*9,"1",IF(D496&gt;$H$6/10*8,"2",IF(D496&gt;$H$6/10*7,"3",IF(D496&gt;$H$6/10*6,"4",IF(D496&gt;$H$6/10*5,"5",IF(D496&gt;$H$6/10*4,"6",IF(D496&gt;$H$6/10*3,"7",IF(D496&gt;$H$6/10*2,"8",IF(D496&gt;$H$6/10,"9","10")))))))))</f>
        <v>9</v>
      </c>
    </row>
    <row r="497" spans="1:5" x14ac:dyDescent="0.55000000000000004">
      <c r="A497">
        <v>327</v>
      </c>
      <c r="B497">
        <f>estuary_data!Y328*weights!$C$9</f>
        <v>3.0791177811607385E-2</v>
      </c>
      <c r="C497">
        <f>estuary_data!X328*weights!$C$10</f>
        <v>9.3146351702613386E-2</v>
      </c>
      <c r="D497">
        <f>SUM(B497:C497)</f>
        <v>0.12393752951422077</v>
      </c>
      <c r="E497" s="2" t="str">
        <f>IF(D497&gt;$H$6/10*9,"1",IF(D497&gt;$H$6/10*8,"2",IF(D497&gt;$H$6/10*7,"3",IF(D497&gt;$H$6/10*6,"4",IF(D497&gt;$H$6/10*5,"5",IF(D497&gt;$H$6/10*4,"6",IF(D497&gt;$H$6/10*3,"7",IF(D497&gt;$H$6/10*2,"8",IF(D497&gt;$H$6/10,"9","10")))))))))</f>
        <v>9</v>
      </c>
    </row>
    <row r="498" spans="1:5" x14ac:dyDescent="0.55000000000000004">
      <c r="A498">
        <v>328</v>
      </c>
      <c r="B498">
        <f>estuary_data!Y329*weights!$C$9</f>
        <v>3.0513757686800702E-2</v>
      </c>
      <c r="C498">
        <f>estuary_data!X329*weights!$C$10</f>
        <v>8.7901495230506776E-2</v>
      </c>
      <c r="D498">
        <f>SUM(B498:C498)</f>
        <v>0.11841525291730748</v>
      </c>
      <c r="E498" s="2" t="str">
        <f>IF(D498&gt;$H$6/10*9,"1",IF(D498&gt;$H$6/10*8,"2",IF(D498&gt;$H$6/10*7,"3",IF(D498&gt;$H$6/10*6,"4",IF(D498&gt;$H$6/10*5,"5",IF(D498&gt;$H$6/10*4,"6",IF(D498&gt;$H$6/10*3,"7",IF(D498&gt;$H$6/10*2,"8",IF(D498&gt;$H$6/10,"9","10")))))))))</f>
        <v>9</v>
      </c>
    </row>
    <row r="499" spans="1:5" x14ac:dyDescent="0.55000000000000004">
      <c r="A499">
        <v>330</v>
      </c>
      <c r="B499">
        <f>estuary_data!Y331*weights!$C$9</f>
        <v>2.71757179492817E-2</v>
      </c>
      <c r="C499">
        <f>estuary_data!X331*weights!$C$10</f>
        <v>8.578096617954982E-2</v>
      </c>
      <c r="D499">
        <f>SUM(B499:C499)</f>
        <v>0.11295668412883152</v>
      </c>
      <c r="E499" s="2" t="str">
        <f>IF(D499&gt;$H$6/10*9,"1",IF(D499&gt;$H$6/10*8,"2",IF(D499&gt;$H$6/10*7,"3",IF(D499&gt;$H$6/10*6,"4",IF(D499&gt;$H$6/10*5,"5",IF(D499&gt;$H$6/10*4,"6",IF(D499&gt;$H$6/10*3,"7",IF(D499&gt;$H$6/10*2,"8",IF(D499&gt;$H$6/10,"9","10")))))))))</f>
        <v>9</v>
      </c>
    </row>
    <row r="500" spans="1:5" x14ac:dyDescent="0.55000000000000004">
      <c r="A500">
        <v>332</v>
      </c>
      <c r="B500">
        <f>estuary_data!Y333*weights!$C$9</f>
        <v>3.3379233582669261E-2</v>
      </c>
      <c r="C500">
        <f>estuary_data!X333*weights!$C$10</f>
        <v>8.3637114529631074E-2</v>
      </c>
      <c r="D500">
        <f>SUM(B500:C500)</f>
        <v>0.11701634811230033</v>
      </c>
      <c r="E500" s="2" t="str">
        <f>IF(D500&gt;$H$6/10*9,"1",IF(D500&gt;$H$6/10*8,"2",IF(D500&gt;$H$6/10*7,"3",IF(D500&gt;$H$6/10*6,"4",IF(D500&gt;$H$6/10*5,"5",IF(D500&gt;$H$6/10*4,"6",IF(D500&gt;$H$6/10*3,"7",IF(D500&gt;$H$6/10*2,"8",IF(D500&gt;$H$6/10,"9","10")))))))))</f>
        <v>9</v>
      </c>
    </row>
    <row r="501" spans="1:5" x14ac:dyDescent="0.55000000000000004">
      <c r="A501">
        <v>333</v>
      </c>
      <c r="B501">
        <f>estuary_data!Y334*weights!$C$9</f>
        <v>3.0835336743275876E-2</v>
      </c>
      <c r="C501">
        <f>estuary_data!X334*weights!$C$10</f>
        <v>8.129784380633133E-2</v>
      </c>
      <c r="D501">
        <f>SUM(B501:C501)</f>
        <v>0.11213318054960721</v>
      </c>
      <c r="E501" s="2" t="str">
        <f>IF(D501&gt;$H$6/10*9,"1",IF(D501&gt;$H$6/10*8,"2",IF(D501&gt;$H$6/10*7,"3",IF(D501&gt;$H$6/10*6,"4",IF(D501&gt;$H$6/10*5,"5",IF(D501&gt;$H$6/10*4,"6",IF(D501&gt;$H$6/10*3,"7",IF(D501&gt;$H$6/10*2,"8",IF(D501&gt;$H$6/10,"9","10")))))))))</f>
        <v>9</v>
      </c>
    </row>
    <row r="502" spans="1:5" x14ac:dyDescent="0.55000000000000004">
      <c r="A502">
        <v>334</v>
      </c>
      <c r="B502">
        <f>estuary_data!Y335*weights!$C$9</f>
        <v>3.9683266632270793E-2</v>
      </c>
      <c r="C502">
        <f>estuary_data!X335*weights!$C$10</f>
        <v>7.8431500646815172E-2</v>
      </c>
      <c r="D502">
        <f>SUM(B502:C502)</f>
        <v>0.11811476727908596</v>
      </c>
      <c r="E502" s="2" t="str">
        <f>IF(D502&gt;$H$6/10*9,"1",IF(D502&gt;$H$6/10*8,"2",IF(D502&gt;$H$6/10*7,"3",IF(D502&gt;$H$6/10*6,"4",IF(D502&gt;$H$6/10*5,"5",IF(D502&gt;$H$6/10*4,"6",IF(D502&gt;$H$6/10*3,"7",IF(D502&gt;$H$6/10*2,"8",IF(D502&gt;$H$6/10,"9","10")))))))))</f>
        <v>9</v>
      </c>
    </row>
    <row r="503" spans="1:5" x14ac:dyDescent="0.55000000000000004">
      <c r="A503">
        <v>337</v>
      </c>
      <c r="B503">
        <f>estuary_data!Y338*weights!$C$9</f>
        <v>3.0153513758176886E-2</v>
      </c>
      <c r="C503">
        <f>estuary_data!X338*weights!$C$10</f>
        <v>7.9957283448543484E-2</v>
      </c>
      <c r="D503">
        <f>SUM(B503:C503)</f>
        <v>0.11011079720672037</v>
      </c>
      <c r="E503" s="2" t="str">
        <f>IF(D503&gt;$H$6/10*9,"1",IF(D503&gt;$H$6/10*8,"2",IF(D503&gt;$H$6/10*7,"3",IF(D503&gt;$H$6/10*6,"4",IF(D503&gt;$H$6/10*5,"5",IF(D503&gt;$H$6/10*4,"6",IF(D503&gt;$H$6/10*3,"7",IF(D503&gt;$H$6/10*2,"8",IF(D503&gt;$H$6/10,"9","10")))))))))</f>
        <v>9</v>
      </c>
    </row>
    <row r="504" spans="1:5" x14ac:dyDescent="0.55000000000000004">
      <c r="A504">
        <v>338</v>
      </c>
      <c r="B504">
        <f>estuary_data!Y339*weights!$C$9</f>
        <v>4.0711368423892821E-2</v>
      </c>
      <c r="C504">
        <f>estuary_data!X339*weights!$C$10</f>
        <v>8.7786588547297623E-2</v>
      </c>
      <c r="D504">
        <f>SUM(B504:C504)</f>
        <v>0.12849795697119043</v>
      </c>
      <c r="E504" s="2" t="str">
        <f>IF(D504&gt;$H$6/10*9,"1",IF(D504&gt;$H$6/10*8,"2",IF(D504&gt;$H$6/10*7,"3",IF(D504&gt;$H$6/10*6,"4",IF(D504&gt;$H$6/10*5,"5",IF(D504&gt;$H$6/10*4,"6",IF(D504&gt;$H$6/10*3,"7",IF(D504&gt;$H$6/10*2,"8",IF(D504&gt;$H$6/10,"9","10")))))))))</f>
        <v>9</v>
      </c>
    </row>
    <row r="505" spans="1:5" x14ac:dyDescent="0.55000000000000004">
      <c r="A505">
        <v>339</v>
      </c>
      <c r="B505">
        <f>estuary_data!Y340*weights!$C$9</f>
        <v>2.3161892200778255E-2</v>
      </c>
      <c r="C505">
        <f>estuary_data!X340*weights!$C$10</f>
        <v>0.10461861660233694</v>
      </c>
      <c r="D505">
        <f>SUM(B505:C505)</f>
        <v>0.1277805088031152</v>
      </c>
      <c r="E505" s="2" t="str">
        <f>IF(D505&gt;$H$6/10*9,"1",IF(D505&gt;$H$6/10*8,"2",IF(D505&gt;$H$6/10*7,"3",IF(D505&gt;$H$6/10*6,"4",IF(D505&gt;$H$6/10*5,"5",IF(D505&gt;$H$6/10*4,"6",IF(D505&gt;$H$6/10*3,"7",IF(D505&gt;$H$6/10*2,"8",IF(D505&gt;$H$6/10,"9","10")))))))))</f>
        <v>9</v>
      </c>
    </row>
    <row r="506" spans="1:5" x14ac:dyDescent="0.55000000000000004">
      <c r="A506">
        <v>341</v>
      </c>
      <c r="B506">
        <f>estuary_data!Y342*weights!$C$9</f>
        <v>3.6119182705462979E-2</v>
      </c>
      <c r="C506">
        <f>estuary_data!X342*weights!$C$10</f>
        <v>0.15547176837859145</v>
      </c>
      <c r="D506">
        <f>SUM(B506:C506)</f>
        <v>0.19159095108405444</v>
      </c>
      <c r="E506" s="2" t="str">
        <f>IF(D506&gt;$H$6/10*9,"1",IF(D506&gt;$H$6/10*8,"2",IF(D506&gt;$H$6/10*7,"3",IF(D506&gt;$H$6/10*6,"4",IF(D506&gt;$H$6/10*5,"5",IF(D506&gt;$H$6/10*4,"6",IF(D506&gt;$H$6/10*3,"7",IF(D506&gt;$H$6/10*2,"8",IF(D506&gt;$H$6/10,"9","10")))))))))</f>
        <v>9</v>
      </c>
    </row>
    <row r="507" spans="1:5" x14ac:dyDescent="0.55000000000000004">
      <c r="A507">
        <v>342</v>
      </c>
      <c r="B507">
        <f>estuary_data!Y343*weights!$C$9</f>
        <v>4.5854703998227123E-2</v>
      </c>
      <c r="C507">
        <f>estuary_data!X343*weights!$C$10</f>
        <v>0.14107581845505263</v>
      </c>
      <c r="D507">
        <f>SUM(B507:C507)</f>
        <v>0.18693052245327973</v>
      </c>
      <c r="E507" s="2" t="str">
        <f>IF(D507&gt;$H$6/10*9,"1",IF(D507&gt;$H$6/10*8,"2",IF(D507&gt;$H$6/10*7,"3",IF(D507&gt;$H$6/10*6,"4",IF(D507&gt;$H$6/10*5,"5",IF(D507&gt;$H$6/10*4,"6",IF(D507&gt;$H$6/10*3,"7",IF(D507&gt;$H$6/10*2,"8",IF(D507&gt;$H$6/10,"9","10")))))))))</f>
        <v>9</v>
      </c>
    </row>
    <row r="508" spans="1:5" x14ac:dyDescent="0.55000000000000004">
      <c r="A508">
        <v>343</v>
      </c>
      <c r="B508">
        <f>estuary_data!Y344*weights!$C$9</f>
        <v>2.8015657450093243E-2</v>
      </c>
      <c r="C508">
        <f>estuary_data!X344*weights!$C$10</f>
        <v>0.10069184073481695</v>
      </c>
      <c r="D508">
        <f>SUM(B508:C508)</f>
        <v>0.1287074981849102</v>
      </c>
      <c r="E508" s="2" t="str">
        <f>IF(D508&gt;$H$6/10*9,"1",IF(D508&gt;$H$6/10*8,"2",IF(D508&gt;$H$6/10*7,"3",IF(D508&gt;$H$6/10*6,"4",IF(D508&gt;$H$6/10*5,"5",IF(D508&gt;$H$6/10*4,"6",IF(D508&gt;$H$6/10*3,"7",IF(D508&gt;$H$6/10*2,"8",IF(D508&gt;$H$6/10,"9","10")))))))))</f>
        <v>9</v>
      </c>
    </row>
    <row r="509" spans="1:5" x14ac:dyDescent="0.55000000000000004">
      <c r="A509">
        <v>346</v>
      </c>
      <c r="B509">
        <f>estuary_data!Y347*weights!$C$9</f>
        <v>2.9745774982393437E-2</v>
      </c>
      <c r="C509">
        <f>estuary_data!X347*weights!$C$10</f>
        <v>7.7784251808256571E-2</v>
      </c>
      <c r="D509">
        <f>SUM(B509:C509)</f>
        <v>0.10753002679065</v>
      </c>
      <c r="E509" s="2" t="str">
        <f>IF(D509&gt;$H$6/10*9,"1",IF(D509&gt;$H$6/10*8,"2",IF(D509&gt;$H$6/10*7,"3",IF(D509&gt;$H$6/10*6,"4",IF(D509&gt;$H$6/10*5,"5",IF(D509&gt;$H$6/10*4,"6",IF(D509&gt;$H$6/10*3,"7",IF(D509&gt;$H$6/10*2,"8",IF(D509&gt;$H$6/10,"9","10")))))))))</f>
        <v>9</v>
      </c>
    </row>
    <row r="510" spans="1:5" x14ac:dyDescent="0.55000000000000004">
      <c r="A510">
        <v>352</v>
      </c>
      <c r="B510">
        <f>estuary_data!Y353*weights!$C$9</f>
        <v>4.1908446987346228E-2</v>
      </c>
      <c r="C510">
        <f>estuary_data!X353*weights!$C$10</f>
        <v>9.4114710599475321E-2</v>
      </c>
      <c r="D510">
        <f>SUM(B510:C510)</f>
        <v>0.13602315758682154</v>
      </c>
      <c r="E510" s="2" t="str">
        <f>IF(D510&gt;$H$6/10*9,"1",IF(D510&gt;$H$6/10*8,"2",IF(D510&gt;$H$6/10*7,"3",IF(D510&gt;$H$6/10*6,"4",IF(D510&gt;$H$6/10*5,"5",IF(D510&gt;$H$6/10*4,"6",IF(D510&gt;$H$6/10*3,"7",IF(D510&gt;$H$6/10*2,"8",IF(D510&gt;$H$6/10,"9","10")))))))))</f>
        <v>9</v>
      </c>
    </row>
    <row r="511" spans="1:5" x14ac:dyDescent="0.55000000000000004">
      <c r="A511">
        <v>353</v>
      </c>
      <c r="B511">
        <f>estuary_data!Y354*weights!$C$9</f>
        <v>3.9490532327561348E-2</v>
      </c>
      <c r="C511">
        <f>estuary_data!X354*weights!$C$10</f>
        <v>9.4660506068112868E-2</v>
      </c>
      <c r="D511">
        <f>SUM(B511:C511)</f>
        <v>0.13415103839567422</v>
      </c>
      <c r="E511" s="2" t="str">
        <f>IF(D511&gt;$H$6/10*9,"1",IF(D511&gt;$H$6/10*8,"2",IF(D511&gt;$H$6/10*7,"3",IF(D511&gt;$H$6/10*6,"4",IF(D511&gt;$H$6/10*5,"5",IF(D511&gt;$H$6/10*4,"6",IF(D511&gt;$H$6/10*3,"7",IF(D511&gt;$H$6/10*2,"8",IF(D511&gt;$H$6/10,"9","10")))))))))</f>
        <v>9</v>
      </c>
    </row>
    <row r="512" spans="1:5" x14ac:dyDescent="0.55000000000000004">
      <c r="A512">
        <v>357</v>
      </c>
      <c r="B512">
        <f>estuary_data!Y358*weights!$C$9</f>
        <v>3.3834586106013809E-2</v>
      </c>
      <c r="C512">
        <f>estuary_data!X358*weights!$C$10</f>
        <v>7.5517566343216533E-2</v>
      </c>
      <c r="D512">
        <f>SUM(B512:C512)</f>
        <v>0.10935215244923034</v>
      </c>
      <c r="E512" s="2" t="str">
        <f>IF(D512&gt;$H$6/10*9,"1",IF(D512&gt;$H$6/10*8,"2",IF(D512&gt;$H$6/10*7,"3",IF(D512&gt;$H$6/10*6,"4",IF(D512&gt;$H$6/10*5,"5",IF(D512&gt;$H$6/10*4,"6",IF(D512&gt;$H$6/10*3,"7",IF(D512&gt;$H$6/10*2,"8",IF(D512&gt;$H$6/10,"9","10")))))))))</f>
        <v>9</v>
      </c>
    </row>
    <row r="513" spans="1:5" x14ac:dyDescent="0.55000000000000004">
      <c r="A513">
        <v>359</v>
      </c>
      <c r="B513">
        <f>estuary_data!Y360*weights!$C$9</f>
        <v>2.7436319365873169E-2</v>
      </c>
      <c r="C513">
        <f>estuary_data!X360*weights!$C$10</f>
        <v>7.5437864579930097E-2</v>
      </c>
      <c r="D513">
        <f>SUM(B513:C513)</f>
        <v>0.10287418394580326</v>
      </c>
      <c r="E513" s="2" t="str">
        <f>IF(D513&gt;$H$6/10*9,"1",IF(D513&gt;$H$6/10*8,"2",IF(D513&gt;$H$6/10*7,"3",IF(D513&gt;$H$6/10*6,"4",IF(D513&gt;$H$6/10*5,"5",IF(D513&gt;$H$6/10*4,"6",IF(D513&gt;$H$6/10*3,"7",IF(D513&gt;$H$6/10*2,"8",IF(D513&gt;$H$6/10,"9","10")))))))))</f>
        <v>9</v>
      </c>
    </row>
    <row r="514" spans="1:5" x14ac:dyDescent="0.55000000000000004">
      <c r="A514">
        <v>362</v>
      </c>
      <c r="B514">
        <f>estuary_data!Y363*weights!$C$9</f>
        <v>3.890399294154312E-2</v>
      </c>
      <c r="C514">
        <f>estuary_data!X363*weights!$C$10</f>
        <v>8.5405981007857068E-2</v>
      </c>
      <c r="D514">
        <f>SUM(B514:C514)</f>
        <v>0.12430997394940019</v>
      </c>
      <c r="E514" s="2" t="str">
        <f>IF(D514&gt;$H$6/10*9,"1",IF(D514&gt;$H$6/10*8,"2",IF(D514&gt;$H$6/10*7,"3",IF(D514&gt;$H$6/10*6,"4",IF(D514&gt;$H$6/10*5,"5",IF(D514&gt;$H$6/10*4,"6",IF(D514&gt;$H$6/10*3,"7",IF(D514&gt;$H$6/10*2,"8",IF(D514&gt;$H$6/10,"9","10")))))))))</f>
        <v>9</v>
      </c>
    </row>
    <row r="515" spans="1:5" x14ac:dyDescent="0.55000000000000004">
      <c r="A515">
        <v>363</v>
      </c>
      <c r="B515">
        <f>estuary_data!Y364*weights!$C$9</f>
        <v>3.0066077550315456E-2</v>
      </c>
      <c r="C515">
        <f>estuary_data!X364*weights!$C$10</f>
        <v>8.5681451097125425E-2</v>
      </c>
      <c r="D515">
        <f>SUM(B515:C515)</f>
        <v>0.11574752864744088</v>
      </c>
      <c r="E515" s="2" t="str">
        <f>IF(D515&gt;$H$6/10*9,"1",IF(D515&gt;$H$6/10*8,"2",IF(D515&gt;$H$6/10*7,"3",IF(D515&gt;$H$6/10*6,"4",IF(D515&gt;$H$6/10*5,"5",IF(D515&gt;$H$6/10*4,"6",IF(D515&gt;$H$6/10*3,"7",IF(D515&gt;$H$6/10*2,"8",IF(D515&gt;$H$6/10,"9","10")))))))))</f>
        <v>9</v>
      </c>
    </row>
    <row r="516" spans="1:5" x14ac:dyDescent="0.55000000000000004">
      <c r="A516">
        <v>366</v>
      </c>
      <c r="B516">
        <f>estuary_data!Y367*weights!$C$9</f>
        <v>4.2633085102572375E-2</v>
      </c>
      <c r="C516">
        <f>estuary_data!X367*weights!$C$10</f>
        <v>7.5894161169885413E-2</v>
      </c>
      <c r="D516">
        <f>SUM(B516:C516)</f>
        <v>0.11852724627245778</v>
      </c>
      <c r="E516" s="2" t="str">
        <f>IF(D516&gt;$H$6/10*9,"1",IF(D516&gt;$H$6/10*8,"2",IF(D516&gt;$H$6/10*7,"3",IF(D516&gt;$H$6/10*6,"4",IF(D516&gt;$H$6/10*5,"5",IF(D516&gt;$H$6/10*4,"6",IF(D516&gt;$H$6/10*3,"7",IF(D516&gt;$H$6/10*2,"8",IF(D516&gt;$H$6/10,"9","10")))))))))</f>
        <v>9</v>
      </c>
    </row>
    <row r="517" spans="1:5" x14ac:dyDescent="0.55000000000000004">
      <c r="A517">
        <v>367</v>
      </c>
      <c r="B517">
        <f>estuary_data!Y368*weights!$C$9</f>
        <v>3.3766831178524991E-2</v>
      </c>
      <c r="C517">
        <f>estuary_data!X368*weights!$C$10</f>
        <v>9.8239708582469165E-2</v>
      </c>
      <c r="D517">
        <f>SUM(B517:C517)</f>
        <v>0.13200653976099416</v>
      </c>
      <c r="E517" s="2" t="str">
        <f>IF(D517&gt;$H$6/10*9,"1",IF(D517&gt;$H$6/10*8,"2",IF(D517&gt;$H$6/10*7,"3",IF(D517&gt;$H$6/10*6,"4",IF(D517&gt;$H$6/10*5,"5",IF(D517&gt;$H$6/10*4,"6",IF(D517&gt;$H$6/10*3,"7",IF(D517&gt;$H$6/10*2,"8",IF(D517&gt;$H$6/10,"9","10")))))))))</f>
        <v>9</v>
      </c>
    </row>
    <row r="518" spans="1:5" x14ac:dyDescent="0.55000000000000004">
      <c r="A518">
        <v>368</v>
      </c>
      <c r="B518">
        <f>estuary_data!Y369*weights!$C$9</f>
        <v>3.0639883431381121E-2</v>
      </c>
      <c r="C518">
        <f>estuary_data!X369*weights!$C$10</f>
        <v>8.6249302318574125E-2</v>
      </c>
      <c r="D518">
        <f>SUM(B518:C518)</f>
        <v>0.11688918574995524</v>
      </c>
      <c r="E518" s="2" t="str">
        <f>IF(D518&gt;$H$6/10*9,"1",IF(D518&gt;$H$6/10*8,"2",IF(D518&gt;$H$6/10*7,"3",IF(D518&gt;$H$6/10*6,"4",IF(D518&gt;$H$6/10*5,"5",IF(D518&gt;$H$6/10*4,"6",IF(D518&gt;$H$6/10*3,"7",IF(D518&gt;$H$6/10*2,"8",IF(D518&gt;$H$6/10,"9","10")))))))))</f>
        <v>9</v>
      </c>
    </row>
    <row r="519" spans="1:5" x14ac:dyDescent="0.55000000000000004">
      <c r="A519">
        <v>369</v>
      </c>
      <c r="B519">
        <f>estuary_data!Y370*weights!$C$9</f>
        <v>5.6057099897212713E-2</v>
      </c>
      <c r="C519">
        <f>estuary_data!X370*weights!$C$10</f>
        <v>0.12415820804773159</v>
      </c>
      <c r="D519">
        <f>SUM(B519:C519)</f>
        <v>0.18021530794494431</v>
      </c>
      <c r="E519" s="2" t="str">
        <f>IF(D519&gt;$H$6/10*9,"1",IF(D519&gt;$H$6/10*8,"2",IF(D519&gt;$H$6/10*7,"3",IF(D519&gt;$H$6/10*6,"4",IF(D519&gt;$H$6/10*5,"5",IF(D519&gt;$H$6/10*4,"6",IF(D519&gt;$H$6/10*3,"7",IF(D519&gt;$H$6/10*2,"8",IF(D519&gt;$H$6/10,"9","10")))))))))</f>
        <v>9</v>
      </c>
    </row>
    <row r="520" spans="1:5" x14ac:dyDescent="0.55000000000000004">
      <c r="A520">
        <v>372</v>
      </c>
      <c r="B520">
        <f>estuary_data!Y373*weights!$C$9</f>
        <v>2.370011564585563E-2</v>
      </c>
      <c r="C520">
        <f>estuary_data!X373*weights!$C$10</f>
        <v>8.0811014033273634E-2</v>
      </c>
      <c r="D520">
        <f>SUM(B520:C520)</f>
        <v>0.10451112967912926</v>
      </c>
      <c r="E520" s="2" t="str">
        <f>IF(D520&gt;$H$6/10*9,"1",IF(D520&gt;$H$6/10*8,"2",IF(D520&gt;$H$6/10*7,"3",IF(D520&gt;$H$6/10*6,"4",IF(D520&gt;$H$6/10*5,"5",IF(D520&gt;$H$6/10*4,"6",IF(D520&gt;$H$6/10*3,"7",IF(D520&gt;$H$6/10*2,"8",IF(D520&gt;$H$6/10,"9","10")))))))))</f>
        <v>9</v>
      </c>
    </row>
    <row r="521" spans="1:5" x14ac:dyDescent="0.55000000000000004">
      <c r="A521">
        <v>373</v>
      </c>
      <c r="B521">
        <f>estuary_data!Y374*weights!$C$9</f>
        <v>3.0340267192730266E-2</v>
      </c>
      <c r="C521">
        <f>estuary_data!X374*weights!$C$10</f>
        <v>9.4181482283997892E-2</v>
      </c>
      <c r="D521">
        <f>SUM(B521:C521)</f>
        <v>0.12452174947672816</v>
      </c>
      <c r="E521" s="2" t="str">
        <f>IF(D521&gt;$H$6/10*9,"1",IF(D521&gt;$H$6/10*8,"2",IF(D521&gt;$H$6/10*7,"3",IF(D521&gt;$H$6/10*6,"4",IF(D521&gt;$H$6/10*5,"5",IF(D521&gt;$H$6/10*4,"6",IF(D521&gt;$H$6/10*3,"7",IF(D521&gt;$H$6/10*2,"8",IF(D521&gt;$H$6/10,"9","10")))))))))</f>
        <v>9</v>
      </c>
    </row>
    <row r="522" spans="1:5" x14ac:dyDescent="0.55000000000000004">
      <c r="A522">
        <v>374</v>
      </c>
      <c r="B522">
        <f>estuary_data!Y375*weights!$C$9</f>
        <v>3.0318064339353894E-2</v>
      </c>
      <c r="C522">
        <f>estuary_data!X375*weights!$C$10</f>
        <v>0.10540614126598201</v>
      </c>
      <c r="D522">
        <f>SUM(B522:C522)</f>
        <v>0.13572420560533591</v>
      </c>
      <c r="E522" s="2" t="str">
        <f>IF(D522&gt;$H$6/10*9,"1",IF(D522&gt;$H$6/10*8,"2",IF(D522&gt;$H$6/10*7,"3",IF(D522&gt;$H$6/10*6,"4",IF(D522&gt;$H$6/10*5,"5",IF(D522&gt;$H$6/10*4,"6",IF(D522&gt;$H$6/10*3,"7",IF(D522&gt;$H$6/10*2,"8",IF(D522&gt;$H$6/10,"9","10")))))))))</f>
        <v>9</v>
      </c>
    </row>
    <row r="523" spans="1:5" x14ac:dyDescent="0.55000000000000004">
      <c r="A523">
        <v>376</v>
      </c>
      <c r="B523">
        <f>estuary_data!Y377*weights!$C$9</f>
        <v>2.7055115421812912E-2</v>
      </c>
      <c r="C523">
        <f>estuary_data!X377*weights!$C$10</f>
        <v>9.2637562833367604E-2</v>
      </c>
      <c r="D523">
        <f>SUM(B523:C523)</f>
        <v>0.11969267825518051</v>
      </c>
      <c r="E523" s="2" t="str">
        <f>IF(D523&gt;$H$6/10*9,"1",IF(D523&gt;$H$6/10*8,"2",IF(D523&gt;$H$6/10*7,"3",IF(D523&gt;$H$6/10*6,"4",IF(D523&gt;$H$6/10*5,"5",IF(D523&gt;$H$6/10*4,"6",IF(D523&gt;$H$6/10*3,"7",IF(D523&gt;$H$6/10*2,"8",IF(D523&gt;$H$6/10,"9","10")))))))))</f>
        <v>9</v>
      </c>
    </row>
    <row r="524" spans="1:5" x14ac:dyDescent="0.55000000000000004">
      <c r="A524">
        <v>377</v>
      </c>
      <c r="B524">
        <f>estuary_data!Y378*weights!$C$9</f>
        <v>2.434444032123843E-2</v>
      </c>
      <c r="C524">
        <f>estuary_data!X378*weights!$C$10</f>
        <v>7.7378424152264993E-2</v>
      </c>
      <c r="D524">
        <f>SUM(B524:C524)</f>
        <v>0.10172286447350343</v>
      </c>
      <c r="E524" s="2" t="str">
        <f>IF(D524&gt;$H$6/10*9,"1",IF(D524&gt;$H$6/10*8,"2",IF(D524&gt;$H$6/10*7,"3",IF(D524&gt;$H$6/10*6,"4",IF(D524&gt;$H$6/10*5,"5",IF(D524&gt;$H$6/10*4,"6",IF(D524&gt;$H$6/10*3,"7",IF(D524&gt;$H$6/10*2,"8",IF(D524&gt;$H$6/10,"9","10")))))))))</f>
        <v>9</v>
      </c>
    </row>
    <row r="525" spans="1:5" x14ac:dyDescent="0.55000000000000004">
      <c r="A525">
        <v>380</v>
      </c>
      <c r="B525">
        <f>estuary_data!Y381*weights!$C$9</f>
        <v>2.2766651363893095E-2</v>
      </c>
      <c r="C525">
        <f>estuary_data!X381*weights!$C$10</f>
        <v>7.7377617391644532E-2</v>
      </c>
      <c r="D525">
        <f>SUM(B525:C525)</f>
        <v>0.10014426875553763</v>
      </c>
      <c r="E525" s="2" t="str">
        <f>IF(D525&gt;$H$6/10*9,"1",IF(D525&gt;$H$6/10*8,"2",IF(D525&gt;$H$6/10*7,"3",IF(D525&gt;$H$6/10*6,"4",IF(D525&gt;$H$6/10*5,"5",IF(D525&gt;$H$6/10*4,"6",IF(D525&gt;$H$6/10*3,"7",IF(D525&gt;$H$6/10*2,"8",IF(D525&gt;$H$6/10,"9","10")))))))))</f>
        <v>9</v>
      </c>
    </row>
    <row r="526" spans="1:5" x14ac:dyDescent="0.55000000000000004">
      <c r="A526">
        <v>382</v>
      </c>
      <c r="B526">
        <f>estuary_data!Y383*weights!$C$9</f>
        <v>2.9284813968625173E-2</v>
      </c>
      <c r="C526">
        <f>estuary_data!X383*weights!$C$10</f>
        <v>8.5555089959610545E-2</v>
      </c>
      <c r="D526">
        <f>SUM(B526:C526)</f>
        <v>0.11483990392823572</v>
      </c>
      <c r="E526" s="2" t="str">
        <f>IF(D526&gt;$H$6/10*9,"1",IF(D526&gt;$H$6/10*8,"2",IF(D526&gt;$H$6/10*7,"3",IF(D526&gt;$H$6/10*6,"4",IF(D526&gt;$H$6/10*5,"5",IF(D526&gt;$H$6/10*4,"6",IF(D526&gt;$H$6/10*3,"7",IF(D526&gt;$H$6/10*2,"8",IF(D526&gt;$H$6/10,"9","10")))))))))</f>
        <v>9</v>
      </c>
    </row>
    <row r="527" spans="1:5" x14ac:dyDescent="0.55000000000000004">
      <c r="A527">
        <v>384</v>
      </c>
      <c r="B527">
        <f>estuary_data!Y385*weights!$C$9</f>
        <v>2.9394598853107381E-2</v>
      </c>
      <c r="C527">
        <f>estuary_data!X385*weights!$C$10</f>
        <v>8.9592143302433952E-2</v>
      </c>
      <c r="D527">
        <f>SUM(B527:C527)</f>
        <v>0.11898674215554134</v>
      </c>
      <c r="E527" s="2" t="str">
        <f>IF(D527&gt;$H$6/10*9,"1",IF(D527&gt;$H$6/10*8,"2",IF(D527&gt;$H$6/10*7,"3",IF(D527&gt;$H$6/10*6,"4",IF(D527&gt;$H$6/10*5,"5",IF(D527&gt;$H$6/10*4,"6",IF(D527&gt;$H$6/10*3,"7",IF(D527&gt;$H$6/10*2,"8",IF(D527&gt;$H$6/10,"9","10")))))))))</f>
        <v>9</v>
      </c>
    </row>
    <row r="528" spans="1:5" x14ac:dyDescent="0.55000000000000004">
      <c r="A528">
        <v>385</v>
      </c>
      <c r="B528">
        <f>estuary_data!Y386*weights!$C$9</f>
        <v>2.6300552701924818E-2</v>
      </c>
      <c r="C528">
        <f>estuary_data!X386*weights!$C$10</f>
        <v>8.1886568992270481E-2</v>
      </c>
      <c r="D528">
        <f>SUM(B528:C528)</f>
        <v>0.1081871216941953</v>
      </c>
      <c r="E528" s="2" t="str">
        <f>IF(D528&gt;$H$6/10*9,"1",IF(D528&gt;$H$6/10*8,"2",IF(D528&gt;$H$6/10*7,"3",IF(D528&gt;$H$6/10*6,"4",IF(D528&gt;$H$6/10*5,"5",IF(D528&gt;$H$6/10*4,"6",IF(D528&gt;$H$6/10*3,"7",IF(D528&gt;$H$6/10*2,"8",IF(D528&gt;$H$6/10,"9","10")))))))))</f>
        <v>9</v>
      </c>
    </row>
    <row r="529" spans="1:5" x14ac:dyDescent="0.55000000000000004">
      <c r="A529">
        <v>386</v>
      </c>
      <c r="B529">
        <f>estuary_data!Y387*weights!$C$9</f>
        <v>3.0427016921025E-2</v>
      </c>
      <c r="C529">
        <f>estuary_data!X387*weights!$C$10</f>
        <v>9.6359786220928376E-2</v>
      </c>
      <c r="D529">
        <f>SUM(B529:C529)</f>
        <v>0.12678680314195337</v>
      </c>
      <c r="E529" s="2" t="str">
        <f>IF(D529&gt;$H$6/10*9,"1",IF(D529&gt;$H$6/10*8,"2",IF(D529&gt;$H$6/10*7,"3",IF(D529&gt;$H$6/10*6,"4",IF(D529&gt;$H$6/10*5,"5",IF(D529&gt;$H$6/10*4,"6",IF(D529&gt;$H$6/10*3,"7",IF(D529&gt;$H$6/10*2,"8",IF(D529&gt;$H$6/10,"9","10")))))))))</f>
        <v>9</v>
      </c>
    </row>
    <row r="530" spans="1:5" x14ac:dyDescent="0.55000000000000004">
      <c r="A530">
        <v>387</v>
      </c>
      <c r="B530">
        <f>estuary_data!Y388*weights!$C$9</f>
        <v>2.4899549775757552E-2</v>
      </c>
      <c r="C530">
        <f>estuary_data!X388*weights!$C$10</f>
        <v>9.1769774509262256E-2</v>
      </c>
      <c r="D530">
        <f>SUM(B530:C530)</f>
        <v>0.1166693242850198</v>
      </c>
      <c r="E530" s="2" t="str">
        <f>IF(D530&gt;$H$6/10*9,"1",IF(D530&gt;$H$6/10*8,"2",IF(D530&gt;$H$6/10*7,"3",IF(D530&gt;$H$6/10*6,"4",IF(D530&gt;$H$6/10*5,"5",IF(D530&gt;$H$6/10*4,"6",IF(D530&gt;$H$6/10*3,"7",IF(D530&gt;$H$6/10*2,"8",IF(D530&gt;$H$6/10,"9","10")))))))))</f>
        <v>9</v>
      </c>
    </row>
    <row r="531" spans="1:5" x14ac:dyDescent="0.55000000000000004">
      <c r="A531">
        <v>388</v>
      </c>
      <c r="B531">
        <f>estuary_data!Y389*weights!$C$9</f>
        <v>3.47010245649483E-2</v>
      </c>
      <c r="C531">
        <f>estuary_data!X389*weights!$C$10</f>
        <v>0.10101043514339007</v>
      </c>
      <c r="D531">
        <f>SUM(B531:C531)</f>
        <v>0.13571145970833837</v>
      </c>
      <c r="E531" s="2" t="str">
        <f>IF(D531&gt;$H$6/10*9,"1",IF(D531&gt;$H$6/10*8,"2",IF(D531&gt;$H$6/10*7,"3",IF(D531&gt;$H$6/10*6,"4",IF(D531&gt;$H$6/10*5,"5",IF(D531&gt;$H$6/10*4,"6",IF(D531&gt;$H$6/10*3,"7",IF(D531&gt;$H$6/10*2,"8",IF(D531&gt;$H$6/10,"9","10")))))))))</f>
        <v>9</v>
      </c>
    </row>
    <row r="532" spans="1:5" x14ac:dyDescent="0.55000000000000004">
      <c r="A532">
        <v>389</v>
      </c>
      <c r="B532">
        <f>estuary_data!Y390*weights!$C$9</f>
        <v>4.4426421433824484E-2</v>
      </c>
      <c r="C532">
        <f>estuary_data!X390*weights!$C$10</f>
        <v>0.12128356015109275</v>
      </c>
      <c r="D532">
        <f>SUM(B532:C532)</f>
        <v>0.16570998158491723</v>
      </c>
      <c r="E532" s="2" t="str">
        <f>IF(D532&gt;$H$6/10*9,"1",IF(D532&gt;$H$6/10*8,"2",IF(D532&gt;$H$6/10*7,"3",IF(D532&gt;$H$6/10*6,"4",IF(D532&gt;$H$6/10*5,"5",IF(D532&gt;$H$6/10*4,"6",IF(D532&gt;$H$6/10*3,"7",IF(D532&gt;$H$6/10*2,"8",IF(D532&gt;$H$6/10,"9","10")))))))))</f>
        <v>9</v>
      </c>
    </row>
    <row r="533" spans="1:5" x14ac:dyDescent="0.55000000000000004">
      <c r="A533">
        <v>390</v>
      </c>
      <c r="B533">
        <f>estuary_data!Y391*weights!$C$9</f>
        <v>4.1859873062291421E-2</v>
      </c>
      <c r="C533">
        <f>estuary_data!X391*weights!$C$10</f>
        <v>0.13945103091787411</v>
      </c>
      <c r="D533">
        <f>SUM(B533:C533)</f>
        <v>0.18131090398016553</v>
      </c>
      <c r="E533" s="2" t="str">
        <f>IF(D533&gt;$H$6/10*9,"1",IF(D533&gt;$H$6/10*8,"2",IF(D533&gt;$H$6/10*7,"3",IF(D533&gt;$H$6/10*6,"4",IF(D533&gt;$H$6/10*5,"5",IF(D533&gt;$H$6/10*4,"6",IF(D533&gt;$H$6/10*3,"7",IF(D533&gt;$H$6/10*2,"8",IF(D533&gt;$H$6/10,"9","10")))))))))</f>
        <v>9</v>
      </c>
    </row>
    <row r="534" spans="1:5" x14ac:dyDescent="0.55000000000000004">
      <c r="A534">
        <v>392</v>
      </c>
      <c r="B534">
        <f>estuary_data!Y393*weights!$C$9</f>
        <v>2.967911258834045E-2</v>
      </c>
      <c r="C534">
        <f>estuary_data!X393*weights!$C$10</f>
        <v>0.11622826536096073</v>
      </c>
      <c r="D534">
        <f>SUM(B534:C534)</f>
        <v>0.14590737794930117</v>
      </c>
      <c r="E534" s="2" t="str">
        <f>IF(D534&gt;$H$6/10*9,"1",IF(D534&gt;$H$6/10*8,"2",IF(D534&gt;$H$6/10*7,"3",IF(D534&gt;$H$6/10*6,"4",IF(D534&gt;$H$6/10*5,"5",IF(D534&gt;$H$6/10*4,"6",IF(D534&gt;$H$6/10*3,"7",IF(D534&gt;$H$6/10*2,"8",IF(D534&gt;$H$6/10,"9","10")))))))))</f>
        <v>9</v>
      </c>
    </row>
    <row r="535" spans="1:5" x14ac:dyDescent="0.55000000000000004">
      <c r="A535">
        <v>393</v>
      </c>
      <c r="B535">
        <f>estuary_data!Y394*weights!$C$9</f>
        <v>2.676959889595389E-2</v>
      </c>
      <c r="C535">
        <f>estuary_data!X394*weights!$C$10</f>
        <v>8.9299619118450357E-2</v>
      </c>
      <c r="D535">
        <f>SUM(B535:C535)</f>
        <v>0.11606921801440424</v>
      </c>
      <c r="E535" s="2" t="str">
        <f>IF(D535&gt;$H$6/10*9,"1",IF(D535&gt;$H$6/10*8,"2",IF(D535&gt;$H$6/10*7,"3",IF(D535&gt;$H$6/10*6,"4",IF(D535&gt;$H$6/10*5,"5",IF(D535&gt;$H$6/10*4,"6",IF(D535&gt;$H$6/10*3,"7",IF(D535&gt;$H$6/10*2,"8",IF(D535&gt;$H$6/10,"9","10")))))))))</f>
        <v>9</v>
      </c>
    </row>
    <row r="536" spans="1:5" x14ac:dyDescent="0.55000000000000004">
      <c r="A536">
        <v>394</v>
      </c>
      <c r="B536">
        <f>estuary_data!Y395*weights!$C$9</f>
        <v>2.5722080559367234E-2</v>
      </c>
      <c r="C536">
        <f>estuary_data!X395*weights!$C$10</f>
        <v>8.9793553797739803E-2</v>
      </c>
      <c r="D536">
        <f>SUM(B536:C536)</f>
        <v>0.11551563435710704</v>
      </c>
      <c r="E536" s="2" t="str">
        <f>IF(D536&gt;$H$6/10*9,"1",IF(D536&gt;$H$6/10*8,"2",IF(D536&gt;$H$6/10*7,"3",IF(D536&gt;$H$6/10*6,"4",IF(D536&gt;$H$6/10*5,"5",IF(D536&gt;$H$6/10*4,"6",IF(D536&gt;$H$6/10*3,"7",IF(D536&gt;$H$6/10*2,"8",IF(D536&gt;$H$6/10,"9","10")))))))))</f>
        <v>9</v>
      </c>
    </row>
    <row r="537" spans="1:5" x14ac:dyDescent="0.55000000000000004">
      <c r="A537">
        <v>395</v>
      </c>
      <c r="B537">
        <f>estuary_data!Y396*weights!$C$9</f>
        <v>3.2508326284662471E-2</v>
      </c>
      <c r="C537">
        <f>estuary_data!X396*weights!$C$10</f>
        <v>0.10308000553348821</v>
      </c>
      <c r="D537">
        <f>SUM(B537:C537)</f>
        <v>0.13558833181815069</v>
      </c>
      <c r="E537" s="2" t="str">
        <f>IF(D537&gt;$H$6/10*9,"1",IF(D537&gt;$H$6/10*8,"2",IF(D537&gt;$H$6/10*7,"3",IF(D537&gt;$H$6/10*6,"4",IF(D537&gt;$H$6/10*5,"5",IF(D537&gt;$H$6/10*4,"6",IF(D537&gt;$H$6/10*3,"7",IF(D537&gt;$H$6/10*2,"8",IF(D537&gt;$H$6/10,"9","10")))))))))</f>
        <v>9</v>
      </c>
    </row>
    <row r="538" spans="1:5" x14ac:dyDescent="0.55000000000000004">
      <c r="A538">
        <v>396</v>
      </c>
      <c r="B538">
        <f>estuary_data!Y397*weights!$C$9</f>
        <v>3.0547139353866107E-2</v>
      </c>
      <c r="C538">
        <f>estuary_data!X397*weights!$C$10</f>
        <v>0.11045724889116791</v>
      </c>
      <c r="D538">
        <f>SUM(B538:C538)</f>
        <v>0.14100438824503403</v>
      </c>
      <c r="E538" s="2" t="str">
        <f>IF(D538&gt;$H$6/10*9,"1",IF(D538&gt;$H$6/10*8,"2",IF(D538&gt;$H$6/10*7,"3",IF(D538&gt;$H$6/10*6,"4",IF(D538&gt;$H$6/10*5,"5",IF(D538&gt;$H$6/10*4,"6",IF(D538&gt;$H$6/10*3,"7",IF(D538&gt;$H$6/10*2,"8",IF(D538&gt;$H$6/10,"9","10")))))))))</f>
        <v>9</v>
      </c>
    </row>
    <row r="539" spans="1:5" x14ac:dyDescent="0.55000000000000004">
      <c r="A539">
        <v>397</v>
      </c>
      <c r="B539">
        <f>estuary_data!Y398*weights!$C$9</f>
        <v>2.1831170279886743E-2</v>
      </c>
      <c r="C539">
        <f>estuary_data!X398*weights!$C$10</f>
        <v>8.8045495557500061E-2</v>
      </c>
      <c r="D539">
        <f>SUM(B539:C539)</f>
        <v>0.10987666583738681</v>
      </c>
      <c r="E539" s="2" t="str">
        <f>IF(D539&gt;$H$6/10*9,"1",IF(D539&gt;$H$6/10*8,"2",IF(D539&gt;$H$6/10*7,"3",IF(D539&gt;$H$6/10*6,"4",IF(D539&gt;$H$6/10*5,"5",IF(D539&gt;$H$6/10*4,"6",IF(D539&gt;$H$6/10*3,"7",IF(D539&gt;$H$6/10*2,"8",IF(D539&gt;$H$6/10,"9","10")))))))))</f>
        <v>9</v>
      </c>
    </row>
    <row r="540" spans="1:5" x14ac:dyDescent="0.55000000000000004">
      <c r="A540">
        <v>399</v>
      </c>
      <c r="B540">
        <f>estuary_data!Y400*weights!$C$9</f>
        <v>3.0312749741929941E-2</v>
      </c>
      <c r="C540">
        <f>estuary_data!X400*weights!$C$10</f>
        <v>7.0147649087375197E-2</v>
      </c>
      <c r="D540">
        <f>SUM(B540:C540)</f>
        <v>0.10046039882930513</v>
      </c>
      <c r="E540" s="2" t="str">
        <f>IF(D540&gt;$H$6/10*9,"1",IF(D540&gt;$H$6/10*8,"2",IF(D540&gt;$H$6/10*7,"3",IF(D540&gt;$H$6/10*6,"4",IF(D540&gt;$H$6/10*5,"5",IF(D540&gt;$H$6/10*4,"6",IF(D540&gt;$H$6/10*3,"7",IF(D540&gt;$H$6/10*2,"8",IF(D540&gt;$H$6/10,"9","10")))))))))</f>
        <v>9</v>
      </c>
    </row>
    <row r="541" spans="1:5" x14ac:dyDescent="0.55000000000000004">
      <c r="A541">
        <v>400</v>
      </c>
      <c r="B541">
        <f>estuary_data!Y401*weights!$C$9</f>
        <v>2.6971120574303717E-2</v>
      </c>
      <c r="C541">
        <f>estuary_data!X401*weights!$C$10</f>
        <v>0.12410983334061844</v>
      </c>
      <c r="D541">
        <f>SUM(B541:C541)</f>
        <v>0.15108095391492216</v>
      </c>
      <c r="E541" s="2" t="str">
        <f>IF(D541&gt;$H$6/10*9,"1",IF(D541&gt;$H$6/10*8,"2",IF(D541&gt;$H$6/10*7,"3",IF(D541&gt;$H$6/10*6,"4",IF(D541&gt;$H$6/10*5,"5",IF(D541&gt;$H$6/10*4,"6",IF(D541&gt;$H$6/10*3,"7",IF(D541&gt;$H$6/10*2,"8",IF(D541&gt;$H$6/10,"9","10")))))))))</f>
        <v>9</v>
      </c>
    </row>
    <row r="542" spans="1:5" x14ac:dyDescent="0.55000000000000004">
      <c r="A542">
        <v>401</v>
      </c>
      <c r="B542">
        <f>estuary_data!Y402*weights!$C$9</f>
        <v>3.4852738442822516E-2</v>
      </c>
      <c r="C542">
        <f>estuary_data!X402*weights!$C$10</f>
        <v>0.12099476175777013</v>
      </c>
      <c r="D542">
        <f>SUM(B542:C542)</f>
        <v>0.15584750020059265</v>
      </c>
      <c r="E542" s="2" t="str">
        <f>IF(D542&gt;$H$6/10*9,"1",IF(D542&gt;$H$6/10*8,"2",IF(D542&gt;$H$6/10*7,"3",IF(D542&gt;$H$6/10*6,"4",IF(D542&gt;$H$6/10*5,"5",IF(D542&gt;$H$6/10*4,"6",IF(D542&gt;$H$6/10*3,"7",IF(D542&gt;$H$6/10*2,"8",IF(D542&gt;$H$6/10,"9","10")))))))))</f>
        <v>9</v>
      </c>
    </row>
    <row r="543" spans="1:5" x14ac:dyDescent="0.55000000000000004">
      <c r="A543">
        <v>402</v>
      </c>
      <c r="B543">
        <f>estuary_data!Y403*weights!$C$9</f>
        <v>3.2600926785443747E-2</v>
      </c>
      <c r="C543">
        <f>estuary_data!X403*weights!$C$10</f>
        <v>0.1297607288245336</v>
      </c>
      <c r="D543">
        <f>SUM(B543:C543)</f>
        <v>0.16236165560997734</v>
      </c>
      <c r="E543" s="2" t="str">
        <f>IF(D543&gt;$H$6/10*9,"1",IF(D543&gt;$H$6/10*8,"2",IF(D543&gt;$H$6/10*7,"3",IF(D543&gt;$H$6/10*6,"4",IF(D543&gt;$H$6/10*5,"5",IF(D543&gt;$H$6/10*4,"6",IF(D543&gt;$H$6/10*3,"7",IF(D543&gt;$H$6/10*2,"8",IF(D543&gt;$H$6/10,"9","10")))))))))</f>
        <v>9</v>
      </c>
    </row>
    <row r="544" spans="1:5" x14ac:dyDescent="0.55000000000000004">
      <c r="A544">
        <v>403</v>
      </c>
      <c r="B544">
        <f>estuary_data!Y404*weights!$C$9</f>
        <v>2.5608309165189344E-2</v>
      </c>
      <c r="C544">
        <f>estuary_data!X404*weights!$C$10</f>
        <v>8.3935438111046812E-2</v>
      </c>
      <c r="D544">
        <f>SUM(B544:C544)</f>
        <v>0.10954374727623616</v>
      </c>
      <c r="E544" s="2" t="str">
        <f>IF(D544&gt;$H$6/10*9,"1",IF(D544&gt;$H$6/10*8,"2",IF(D544&gt;$H$6/10*7,"3",IF(D544&gt;$H$6/10*6,"4",IF(D544&gt;$H$6/10*5,"5",IF(D544&gt;$H$6/10*4,"6",IF(D544&gt;$H$6/10*3,"7",IF(D544&gt;$H$6/10*2,"8",IF(D544&gt;$H$6/10,"9","10")))))))))</f>
        <v>9</v>
      </c>
    </row>
    <row r="545" spans="1:5" x14ac:dyDescent="0.55000000000000004">
      <c r="A545">
        <v>404</v>
      </c>
      <c r="B545">
        <f>estuary_data!Y405*weights!$C$9</f>
        <v>2.844482734989803E-2</v>
      </c>
      <c r="C545">
        <f>estuary_data!X405*weights!$C$10</f>
        <v>8.926284320620112E-2</v>
      </c>
      <c r="D545">
        <f>SUM(B545:C545)</f>
        <v>0.11770767055609915</v>
      </c>
      <c r="E545" s="2" t="str">
        <f>IF(D545&gt;$H$6/10*9,"1",IF(D545&gt;$H$6/10*8,"2",IF(D545&gt;$H$6/10*7,"3",IF(D545&gt;$H$6/10*6,"4",IF(D545&gt;$H$6/10*5,"5",IF(D545&gt;$H$6/10*4,"6",IF(D545&gt;$H$6/10*3,"7",IF(D545&gt;$H$6/10*2,"8",IF(D545&gt;$H$6/10,"9","10")))))))))</f>
        <v>9</v>
      </c>
    </row>
    <row r="546" spans="1:5" x14ac:dyDescent="0.55000000000000004">
      <c r="A546">
        <v>406</v>
      </c>
      <c r="B546">
        <f>estuary_data!Y407*weights!$C$9</f>
        <v>2.6046858694131734E-2</v>
      </c>
      <c r="C546">
        <f>estuary_data!X407*weights!$C$10</f>
        <v>0.10681073728146019</v>
      </c>
      <c r="D546">
        <f>SUM(B546:C546)</f>
        <v>0.13285759597559194</v>
      </c>
      <c r="E546" s="2" t="str">
        <f>IF(D546&gt;$H$6/10*9,"1",IF(D546&gt;$H$6/10*8,"2",IF(D546&gt;$H$6/10*7,"3",IF(D546&gt;$H$6/10*6,"4",IF(D546&gt;$H$6/10*5,"5",IF(D546&gt;$H$6/10*4,"6",IF(D546&gt;$H$6/10*3,"7",IF(D546&gt;$H$6/10*2,"8",IF(D546&gt;$H$6/10,"9","10")))))))))</f>
        <v>9</v>
      </c>
    </row>
    <row r="547" spans="1:5" x14ac:dyDescent="0.55000000000000004">
      <c r="A547">
        <v>407</v>
      </c>
      <c r="B547">
        <f>estuary_data!Y408*weights!$C$9</f>
        <v>2.0209570106034906E-2</v>
      </c>
      <c r="C547">
        <f>estuary_data!X408*weights!$C$10</f>
        <v>0.10085046585337876</v>
      </c>
      <c r="D547">
        <f>SUM(B547:C547)</f>
        <v>0.12106003595941367</v>
      </c>
      <c r="E547" s="2" t="str">
        <f>IF(D547&gt;$H$6/10*9,"1",IF(D547&gt;$H$6/10*8,"2",IF(D547&gt;$H$6/10*7,"3",IF(D547&gt;$H$6/10*6,"4",IF(D547&gt;$H$6/10*5,"5",IF(D547&gt;$H$6/10*4,"6",IF(D547&gt;$H$6/10*3,"7",IF(D547&gt;$H$6/10*2,"8",IF(D547&gt;$H$6/10,"9","10")))))))))</f>
        <v>9</v>
      </c>
    </row>
    <row r="548" spans="1:5" x14ac:dyDescent="0.55000000000000004">
      <c r="A548">
        <v>410</v>
      </c>
      <c r="B548">
        <f>estuary_data!Y411*weights!$C$9</f>
        <v>3.7410634054929906E-2</v>
      </c>
      <c r="C548">
        <f>estuary_data!X411*weights!$C$10</f>
        <v>0.15420894572149321</v>
      </c>
      <c r="D548">
        <f>SUM(B548:C548)</f>
        <v>0.19161957977642313</v>
      </c>
      <c r="E548" s="2" t="str">
        <f>IF(D548&gt;$H$6/10*9,"1",IF(D548&gt;$H$6/10*8,"2",IF(D548&gt;$H$6/10*7,"3",IF(D548&gt;$H$6/10*6,"4",IF(D548&gt;$H$6/10*5,"5",IF(D548&gt;$H$6/10*4,"6",IF(D548&gt;$H$6/10*3,"7",IF(D548&gt;$H$6/10*2,"8",IF(D548&gt;$H$6/10,"9","10")))))))))</f>
        <v>9</v>
      </c>
    </row>
    <row r="549" spans="1:5" x14ac:dyDescent="0.55000000000000004">
      <c r="A549">
        <v>411</v>
      </c>
      <c r="B549">
        <f>estuary_data!Y412*weights!$C$9</f>
        <v>1.4687065350007895E-2</v>
      </c>
      <c r="C549">
        <f>estuary_data!X412*weights!$C$10</f>
        <v>8.5312582356591102E-2</v>
      </c>
      <c r="D549">
        <f>SUM(B549:C549)</f>
        <v>9.9999647706598999E-2</v>
      </c>
      <c r="E549" s="2" t="str">
        <f>IF(D549&gt;$H$6/10*9,"1",IF(D549&gt;$H$6/10*8,"2",IF(D549&gt;$H$6/10*7,"3",IF(D549&gt;$H$6/10*6,"4",IF(D549&gt;$H$6/10*5,"5",IF(D549&gt;$H$6/10*4,"6",IF(D549&gt;$H$6/10*3,"7",IF(D549&gt;$H$6/10*2,"8",IF(D549&gt;$H$6/10,"9","10")))))))))</f>
        <v>9</v>
      </c>
    </row>
    <row r="550" spans="1:5" x14ac:dyDescent="0.55000000000000004">
      <c r="A550">
        <v>412</v>
      </c>
      <c r="B550">
        <f>estuary_data!Y413*weights!$C$9</f>
        <v>2.6354488330557441E-2</v>
      </c>
      <c r="C550">
        <f>estuary_data!X413*weights!$C$10</f>
        <v>9.6555196273024405E-2</v>
      </c>
      <c r="D550">
        <f>SUM(B550:C550)</f>
        <v>0.12290968460358184</v>
      </c>
      <c r="E550" s="2" t="str">
        <f>IF(D550&gt;$H$6/10*9,"1",IF(D550&gt;$H$6/10*8,"2",IF(D550&gt;$H$6/10*7,"3",IF(D550&gt;$H$6/10*6,"4",IF(D550&gt;$H$6/10*5,"5",IF(D550&gt;$H$6/10*4,"6",IF(D550&gt;$H$6/10*3,"7",IF(D550&gt;$H$6/10*2,"8",IF(D550&gt;$H$6/10,"9","10")))))))))</f>
        <v>9</v>
      </c>
    </row>
    <row r="551" spans="1:5" x14ac:dyDescent="0.55000000000000004">
      <c r="A551">
        <v>413</v>
      </c>
      <c r="B551">
        <f>estuary_data!Y414*weights!$C$9</f>
        <v>1.6697052797632575E-2</v>
      </c>
      <c r="C551">
        <f>estuary_data!X414*weights!$C$10</f>
        <v>8.6375501072960936E-2</v>
      </c>
      <c r="D551">
        <f>SUM(B551:C551)</f>
        <v>0.10307255387059351</v>
      </c>
      <c r="E551" s="2" t="str">
        <f>IF(D551&gt;$H$6/10*9,"1",IF(D551&gt;$H$6/10*8,"2",IF(D551&gt;$H$6/10*7,"3",IF(D551&gt;$H$6/10*6,"4",IF(D551&gt;$H$6/10*5,"5",IF(D551&gt;$H$6/10*4,"6",IF(D551&gt;$H$6/10*3,"7",IF(D551&gt;$H$6/10*2,"8",IF(D551&gt;$H$6/10,"9","10")))))))))</f>
        <v>9</v>
      </c>
    </row>
    <row r="552" spans="1:5" x14ac:dyDescent="0.55000000000000004">
      <c r="A552">
        <v>414</v>
      </c>
      <c r="B552">
        <f>estuary_data!Y415*weights!$C$9</f>
        <v>2.2100666737966696E-2</v>
      </c>
      <c r="C552">
        <f>estuary_data!X415*weights!$C$10</f>
        <v>8.3510157987313177E-2</v>
      </c>
      <c r="D552">
        <f>SUM(B552:C552)</f>
        <v>0.10561082472527987</v>
      </c>
      <c r="E552" s="2" t="str">
        <f>IF(D552&gt;$H$6/10*9,"1",IF(D552&gt;$H$6/10*8,"2",IF(D552&gt;$H$6/10*7,"3",IF(D552&gt;$H$6/10*6,"4",IF(D552&gt;$H$6/10*5,"5",IF(D552&gt;$H$6/10*4,"6",IF(D552&gt;$H$6/10*3,"7",IF(D552&gt;$H$6/10*2,"8",IF(D552&gt;$H$6/10,"9","10")))))))))</f>
        <v>9</v>
      </c>
    </row>
    <row r="553" spans="1:5" x14ac:dyDescent="0.55000000000000004">
      <c r="A553">
        <v>415</v>
      </c>
      <c r="B553">
        <f>estuary_data!Y416*weights!$C$9</f>
        <v>2.4993913587489935E-2</v>
      </c>
      <c r="C553">
        <f>estuary_data!X416*weights!$C$10</f>
        <v>8.1555358961149946E-2</v>
      </c>
      <c r="D553">
        <f>SUM(B553:C553)</f>
        <v>0.10654927254863988</v>
      </c>
      <c r="E553" s="2" t="str">
        <f>IF(D553&gt;$H$6/10*9,"1",IF(D553&gt;$H$6/10*8,"2",IF(D553&gt;$H$6/10*7,"3",IF(D553&gt;$H$6/10*6,"4",IF(D553&gt;$H$6/10*5,"5",IF(D553&gt;$H$6/10*4,"6",IF(D553&gt;$H$6/10*3,"7",IF(D553&gt;$H$6/10*2,"8",IF(D553&gt;$H$6/10,"9","10")))))))))</f>
        <v>9</v>
      </c>
    </row>
    <row r="554" spans="1:5" x14ac:dyDescent="0.55000000000000004">
      <c r="A554">
        <v>416</v>
      </c>
      <c r="B554">
        <f>estuary_data!Y417*weights!$C$9</f>
        <v>4.3134496729261992E-2</v>
      </c>
      <c r="C554">
        <f>estuary_data!X417*weights!$C$10</f>
        <v>0.11720834806192151</v>
      </c>
      <c r="D554">
        <f>SUM(B554:C554)</f>
        <v>0.16034284479118349</v>
      </c>
      <c r="E554" s="2" t="str">
        <f>IF(D554&gt;$H$6/10*9,"1",IF(D554&gt;$H$6/10*8,"2",IF(D554&gt;$H$6/10*7,"3",IF(D554&gt;$H$6/10*6,"4",IF(D554&gt;$H$6/10*5,"5",IF(D554&gt;$H$6/10*4,"6",IF(D554&gt;$H$6/10*3,"7",IF(D554&gt;$H$6/10*2,"8",IF(D554&gt;$H$6/10,"9","10")))))))))</f>
        <v>9</v>
      </c>
    </row>
    <row r="555" spans="1:5" x14ac:dyDescent="0.55000000000000004">
      <c r="A555">
        <v>418</v>
      </c>
      <c r="B555">
        <f>estuary_data!Y419*weights!$C$9</f>
        <v>2.1114384025377797E-2</v>
      </c>
      <c r="C555">
        <f>estuary_data!X419*weights!$C$10</f>
        <v>8.5722759560656642E-2</v>
      </c>
      <c r="D555">
        <f>SUM(B555:C555)</f>
        <v>0.10683714358603444</v>
      </c>
      <c r="E555" s="2" t="str">
        <f>IF(D555&gt;$H$6/10*9,"1",IF(D555&gt;$H$6/10*8,"2",IF(D555&gt;$H$6/10*7,"3",IF(D555&gt;$H$6/10*6,"4",IF(D555&gt;$H$6/10*5,"5",IF(D555&gt;$H$6/10*4,"6",IF(D555&gt;$H$6/10*3,"7",IF(D555&gt;$H$6/10*2,"8",IF(D555&gt;$H$6/10,"9","10")))))))))</f>
        <v>9</v>
      </c>
    </row>
    <row r="556" spans="1:5" x14ac:dyDescent="0.55000000000000004">
      <c r="A556">
        <v>419</v>
      </c>
      <c r="B556">
        <f>estuary_data!Y420*weights!$C$9</f>
        <v>2.2237089664284258E-2</v>
      </c>
      <c r="C556">
        <f>estuary_data!X420*weights!$C$10</f>
        <v>8.7535524899933381E-2</v>
      </c>
      <c r="D556">
        <f>SUM(B556:C556)</f>
        <v>0.10977261456421764</v>
      </c>
      <c r="E556" s="2" t="str">
        <f>IF(D556&gt;$H$6/10*9,"1",IF(D556&gt;$H$6/10*8,"2",IF(D556&gt;$H$6/10*7,"3",IF(D556&gt;$H$6/10*6,"4",IF(D556&gt;$H$6/10*5,"5",IF(D556&gt;$H$6/10*4,"6",IF(D556&gt;$H$6/10*3,"7",IF(D556&gt;$H$6/10*2,"8",IF(D556&gt;$H$6/10,"9","10")))))))))</f>
        <v>9</v>
      </c>
    </row>
    <row r="557" spans="1:5" x14ac:dyDescent="0.55000000000000004">
      <c r="A557">
        <v>420</v>
      </c>
      <c r="B557">
        <f>estuary_data!Y421*weights!$C$9</f>
        <v>2.0342331819759106E-2</v>
      </c>
      <c r="C557">
        <f>estuary_data!X421*weights!$C$10</f>
        <v>8.2867986843394983E-2</v>
      </c>
      <c r="D557">
        <f>SUM(B557:C557)</f>
        <v>0.10321031866315408</v>
      </c>
      <c r="E557" s="2" t="str">
        <f>IF(D557&gt;$H$6/10*9,"1",IF(D557&gt;$H$6/10*8,"2",IF(D557&gt;$H$6/10*7,"3",IF(D557&gt;$H$6/10*6,"4",IF(D557&gt;$H$6/10*5,"5",IF(D557&gt;$H$6/10*4,"6",IF(D557&gt;$H$6/10*3,"7",IF(D557&gt;$H$6/10*2,"8",IF(D557&gt;$H$6/10,"9","10")))))))))</f>
        <v>9</v>
      </c>
    </row>
    <row r="558" spans="1:5" x14ac:dyDescent="0.55000000000000004">
      <c r="A558">
        <v>422</v>
      </c>
      <c r="B558">
        <f>estuary_data!Y423*weights!$C$9</f>
        <v>2.9447186210700811E-2</v>
      </c>
      <c r="C558">
        <f>estuary_data!X423*weights!$C$10</f>
        <v>0.10320229678276083</v>
      </c>
      <c r="D558">
        <f>SUM(B558:C558)</f>
        <v>0.13264948299346163</v>
      </c>
      <c r="E558" s="2" t="str">
        <f>IF(D558&gt;$H$6/10*9,"1",IF(D558&gt;$H$6/10*8,"2",IF(D558&gt;$H$6/10*7,"3",IF(D558&gt;$H$6/10*6,"4",IF(D558&gt;$H$6/10*5,"5",IF(D558&gt;$H$6/10*4,"6",IF(D558&gt;$H$6/10*3,"7",IF(D558&gt;$H$6/10*2,"8",IF(D558&gt;$H$6/10,"9","10")))))))))</f>
        <v>9</v>
      </c>
    </row>
    <row r="559" spans="1:5" x14ac:dyDescent="0.55000000000000004">
      <c r="A559">
        <v>423</v>
      </c>
      <c r="B559">
        <f>estuary_data!Y424*weights!$C$9</f>
        <v>2.2603781090389522E-2</v>
      </c>
      <c r="C559">
        <f>estuary_data!X424*weights!$C$10</f>
        <v>7.701940665483531E-2</v>
      </c>
      <c r="D559">
        <f>SUM(B559:C559)</f>
        <v>9.9623187745224828E-2</v>
      </c>
      <c r="E559" s="2" t="str">
        <f>IF(D559&gt;$H$6/10*9,"1",IF(D559&gt;$H$6/10*8,"2",IF(D559&gt;$H$6/10*7,"3",IF(D559&gt;$H$6/10*6,"4",IF(D559&gt;$H$6/10*5,"5",IF(D559&gt;$H$6/10*4,"6",IF(D559&gt;$H$6/10*3,"7",IF(D559&gt;$H$6/10*2,"8",IF(D559&gt;$H$6/10,"9","10")))))))))</f>
        <v>9</v>
      </c>
    </row>
    <row r="560" spans="1:5" x14ac:dyDescent="0.55000000000000004">
      <c r="A560">
        <v>425</v>
      </c>
      <c r="B560">
        <f>estuary_data!Y426*weights!$C$9</f>
        <v>2.778915336124933E-2</v>
      </c>
      <c r="C560">
        <f>estuary_data!X426*weights!$C$10</f>
        <v>8.4291997952720368E-2</v>
      </c>
      <c r="D560">
        <f>SUM(B560:C560)</f>
        <v>0.1120811513139697</v>
      </c>
      <c r="E560" s="2" t="str">
        <f>IF(D560&gt;$H$6/10*9,"1",IF(D560&gt;$H$6/10*8,"2",IF(D560&gt;$H$6/10*7,"3",IF(D560&gt;$H$6/10*6,"4",IF(D560&gt;$H$6/10*5,"5",IF(D560&gt;$H$6/10*4,"6",IF(D560&gt;$H$6/10*3,"7",IF(D560&gt;$H$6/10*2,"8",IF(D560&gt;$H$6/10,"9","10")))))))))</f>
        <v>9</v>
      </c>
    </row>
    <row r="561" spans="1:5" x14ac:dyDescent="0.55000000000000004">
      <c r="A561">
        <v>428</v>
      </c>
      <c r="B561">
        <f>estuary_data!Y429*weights!$C$9</f>
        <v>2.9039813110403181E-2</v>
      </c>
      <c r="C561">
        <f>estuary_data!X429*weights!$C$10</f>
        <v>7.824128556606319E-2</v>
      </c>
      <c r="D561">
        <f>SUM(B561:C561)</f>
        <v>0.10728109867646637</v>
      </c>
      <c r="E561" s="2" t="str">
        <f>IF(D561&gt;$H$6/10*9,"1",IF(D561&gt;$H$6/10*8,"2",IF(D561&gt;$H$6/10*7,"3",IF(D561&gt;$H$6/10*6,"4",IF(D561&gt;$H$6/10*5,"5",IF(D561&gt;$H$6/10*4,"6",IF(D561&gt;$H$6/10*3,"7",IF(D561&gt;$H$6/10*2,"8",IF(D561&gt;$H$6/10,"9","10")))))))))</f>
        <v>9</v>
      </c>
    </row>
    <row r="562" spans="1:5" x14ac:dyDescent="0.55000000000000004">
      <c r="A562">
        <v>430</v>
      </c>
      <c r="B562">
        <f>estuary_data!Y431*weights!$C$9</f>
        <v>4.0408864924990559E-2</v>
      </c>
      <c r="C562">
        <f>estuary_data!X431*weights!$C$10</f>
        <v>6.4240524626116194E-2</v>
      </c>
      <c r="D562">
        <f>SUM(B562:C562)</f>
        <v>0.10464938955110675</v>
      </c>
      <c r="E562" s="2" t="str">
        <f>IF(D562&gt;$H$6/10*9,"1",IF(D562&gt;$H$6/10*8,"2",IF(D562&gt;$H$6/10*7,"3",IF(D562&gt;$H$6/10*6,"4",IF(D562&gt;$H$6/10*5,"5",IF(D562&gt;$H$6/10*4,"6",IF(D562&gt;$H$6/10*3,"7",IF(D562&gt;$H$6/10*2,"8",IF(D562&gt;$H$6/10,"9","10")))))))))</f>
        <v>9</v>
      </c>
    </row>
    <row r="563" spans="1:5" x14ac:dyDescent="0.55000000000000004">
      <c r="A563">
        <v>431</v>
      </c>
      <c r="B563">
        <f>estuary_data!Y432*weights!$C$9</f>
        <v>3.9278975956371594E-2</v>
      </c>
      <c r="C563">
        <f>estuary_data!X432*weights!$C$10</f>
        <v>9.6402668254296484E-2</v>
      </c>
      <c r="D563">
        <f>SUM(B563:C563)</f>
        <v>0.13568164421066808</v>
      </c>
      <c r="E563" s="2" t="str">
        <f>IF(D563&gt;$H$6/10*9,"1",IF(D563&gt;$H$6/10*8,"2",IF(D563&gt;$H$6/10*7,"3",IF(D563&gt;$H$6/10*6,"4",IF(D563&gt;$H$6/10*5,"5",IF(D563&gt;$H$6/10*4,"6",IF(D563&gt;$H$6/10*3,"7",IF(D563&gt;$H$6/10*2,"8",IF(D563&gt;$H$6/10,"9","10")))))))))</f>
        <v>9</v>
      </c>
    </row>
    <row r="564" spans="1:5" x14ac:dyDescent="0.55000000000000004">
      <c r="A564">
        <v>432</v>
      </c>
      <c r="B564">
        <f>estuary_data!Y433*weights!$C$9</f>
        <v>2.9660431852083214E-2</v>
      </c>
      <c r="C564">
        <f>estuary_data!X433*weights!$C$10</f>
        <v>7.1068708098781685E-2</v>
      </c>
      <c r="D564">
        <f>SUM(B564:C564)</f>
        <v>0.1007291399508649</v>
      </c>
      <c r="E564" s="2" t="str">
        <f>IF(D564&gt;$H$6/10*9,"1",IF(D564&gt;$H$6/10*8,"2",IF(D564&gt;$H$6/10*7,"3",IF(D564&gt;$H$6/10*6,"4",IF(D564&gt;$H$6/10*5,"5",IF(D564&gt;$H$6/10*4,"6",IF(D564&gt;$H$6/10*3,"7",IF(D564&gt;$H$6/10*2,"8",IF(D564&gt;$H$6/10,"9","10")))))))))</f>
        <v>9</v>
      </c>
    </row>
    <row r="565" spans="1:5" x14ac:dyDescent="0.55000000000000004">
      <c r="A565">
        <v>435</v>
      </c>
      <c r="B565">
        <f>estuary_data!Y436*weights!$C$9</f>
        <v>3.3976390930981766E-2</v>
      </c>
      <c r="C565">
        <f>estuary_data!X436*weights!$C$10</f>
        <v>9.3840555040291804E-2</v>
      </c>
      <c r="D565">
        <f>SUM(B565:C565)</f>
        <v>0.12781694597127358</v>
      </c>
      <c r="E565" s="2" t="str">
        <f>IF(D565&gt;$H$6/10*9,"1",IF(D565&gt;$H$6/10*8,"2",IF(D565&gt;$H$6/10*7,"3",IF(D565&gt;$H$6/10*6,"4",IF(D565&gt;$H$6/10*5,"5",IF(D565&gt;$H$6/10*4,"6",IF(D565&gt;$H$6/10*3,"7",IF(D565&gt;$H$6/10*2,"8",IF(D565&gt;$H$6/10,"9","10")))))))))</f>
        <v>9</v>
      </c>
    </row>
    <row r="566" spans="1:5" x14ac:dyDescent="0.55000000000000004">
      <c r="A566">
        <v>436</v>
      </c>
      <c r="B566">
        <f>estuary_data!Y437*weights!$C$9</f>
        <v>3.5574107943783871E-2</v>
      </c>
      <c r="C566">
        <f>estuary_data!X437*weights!$C$10</f>
        <v>8.625710959627271E-2</v>
      </c>
      <c r="D566">
        <f>SUM(B566:C566)</f>
        <v>0.12183121754005657</v>
      </c>
      <c r="E566" s="2" t="str">
        <f>IF(D566&gt;$H$6/10*9,"1",IF(D566&gt;$H$6/10*8,"2",IF(D566&gt;$H$6/10*7,"3",IF(D566&gt;$H$6/10*6,"4",IF(D566&gt;$H$6/10*5,"5",IF(D566&gt;$H$6/10*4,"6",IF(D566&gt;$H$6/10*3,"7",IF(D566&gt;$H$6/10*2,"8",IF(D566&gt;$H$6/10,"9","10")))))))))</f>
        <v>9</v>
      </c>
    </row>
    <row r="567" spans="1:5" x14ac:dyDescent="0.55000000000000004">
      <c r="A567">
        <v>437</v>
      </c>
      <c r="B567">
        <f>estuary_data!Y438*weights!$C$9</f>
        <v>3.1561215449931193E-2</v>
      </c>
      <c r="C567">
        <f>estuary_data!X438*weights!$C$10</f>
        <v>0.10726352716910152</v>
      </c>
      <c r="D567">
        <f>SUM(B567:C567)</f>
        <v>0.13882474261903271</v>
      </c>
      <c r="E567" s="2" t="str">
        <f>IF(D567&gt;$H$6/10*9,"1",IF(D567&gt;$H$6/10*8,"2",IF(D567&gt;$H$6/10*7,"3",IF(D567&gt;$H$6/10*6,"4",IF(D567&gt;$H$6/10*5,"5",IF(D567&gt;$H$6/10*4,"6",IF(D567&gt;$H$6/10*3,"7",IF(D567&gt;$H$6/10*2,"8",IF(D567&gt;$H$6/10,"9","10")))))))))</f>
        <v>9</v>
      </c>
    </row>
    <row r="568" spans="1:5" x14ac:dyDescent="0.55000000000000004">
      <c r="A568">
        <v>438</v>
      </c>
      <c r="B568">
        <f>estuary_data!Y439*weights!$C$9</f>
        <v>2.8407014975633152E-2</v>
      </c>
      <c r="C568">
        <f>estuary_data!X439*weights!$C$10</f>
        <v>9.9302896648630332E-2</v>
      </c>
      <c r="D568">
        <f>SUM(B568:C568)</f>
        <v>0.12770991162426348</v>
      </c>
      <c r="E568" s="2" t="str">
        <f>IF(D568&gt;$H$6/10*9,"1",IF(D568&gt;$H$6/10*8,"2",IF(D568&gt;$H$6/10*7,"3",IF(D568&gt;$H$6/10*6,"4",IF(D568&gt;$H$6/10*5,"5",IF(D568&gt;$H$6/10*4,"6",IF(D568&gt;$H$6/10*3,"7",IF(D568&gt;$H$6/10*2,"8",IF(D568&gt;$H$6/10,"9","10")))))))))</f>
        <v>9</v>
      </c>
    </row>
    <row r="569" spans="1:5" x14ac:dyDescent="0.55000000000000004">
      <c r="A569">
        <v>439</v>
      </c>
      <c r="B569">
        <f>estuary_data!Y440*weights!$C$9</f>
        <v>4.7386424901470096E-2</v>
      </c>
      <c r="C569">
        <f>estuary_data!X440*weights!$C$10</f>
        <v>0.10699859909560946</v>
      </c>
      <c r="D569">
        <f>SUM(B569:C569)</f>
        <v>0.15438502399707957</v>
      </c>
      <c r="E569" s="2" t="str">
        <f>IF(D569&gt;$H$6/10*9,"1",IF(D569&gt;$H$6/10*8,"2",IF(D569&gt;$H$6/10*7,"3",IF(D569&gt;$H$6/10*6,"4",IF(D569&gt;$H$6/10*5,"5",IF(D569&gt;$H$6/10*4,"6",IF(D569&gt;$H$6/10*3,"7",IF(D569&gt;$H$6/10*2,"8",IF(D569&gt;$H$6/10,"9","10")))))))))</f>
        <v>9</v>
      </c>
    </row>
    <row r="570" spans="1:5" x14ac:dyDescent="0.55000000000000004">
      <c r="A570">
        <v>440</v>
      </c>
      <c r="B570">
        <f>estuary_data!Y441*weights!$C$9</f>
        <v>1.9510508903310832E-2</v>
      </c>
      <c r="C570">
        <f>estuary_data!X441*weights!$C$10</f>
        <v>0.10345257171207448</v>
      </c>
      <c r="D570">
        <f>SUM(B570:C570)</f>
        <v>0.1229630806153853</v>
      </c>
      <c r="E570" s="2" t="str">
        <f>IF(D570&gt;$H$6/10*9,"1",IF(D570&gt;$H$6/10*8,"2",IF(D570&gt;$H$6/10*7,"3",IF(D570&gt;$H$6/10*6,"4",IF(D570&gt;$H$6/10*5,"5",IF(D570&gt;$H$6/10*4,"6",IF(D570&gt;$H$6/10*3,"7",IF(D570&gt;$H$6/10*2,"8",IF(D570&gt;$H$6/10,"9","10")))))))))</f>
        <v>9</v>
      </c>
    </row>
    <row r="571" spans="1:5" x14ac:dyDescent="0.55000000000000004">
      <c r="A571">
        <v>441</v>
      </c>
      <c r="B571">
        <f>estuary_data!Y442*weights!$C$9</f>
        <v>4.187021958493118E-2</v>
      </c>
      <c r="C571">
        <f>estuary_data!X442*weights!$C$10</f>
        <v>0.14527788269738828</v>
      </c>
      <c r="D571">
        <f>SUM(B571:C571)</f>
        <v>0.18714810228231946</v>
      </c>
      <c r="E571" s="2" t="str">
        <f>IF(D571&gt;$H$6/10*9,"1",IF(D571&gt;$H$6/10*8,"2",IF(D571&gt;$H$6/10*7,"3",IF(D571&gt;$H$6/10*6,"4",IF(D571&gt;$H$6/10*5,"5",IF(D571&gt;$H$6/10*4,"6",IF(D571&gt;$H$6/10*3,"7",IF(D571&gt;$H$6/10*2,"8",IF(D571&gt;$H$6/10,"9","10")))))))))</f>
        <v>9</v>
      </c>
    </row>
    <row r="572" spans="1:5" x14ac:dyDescent="0.55000000000000004">
      <c r="A572">
        <v>443</v>
      </c>
      <c r="B572">
        <f>estuary_data!Y444*weights!$C$9</f>
        <v>2.7487266794176561E-2</v>
      </c>
      <c r="C572">
        <f>estuary_data!X444*weights!$C$10</f>
        <v>8.1001248445350352E-2</v>
      </c>
      <c r="D572">
        <f>SUM(B572:C572)</f>
        <v>0.10848851523952691</v>
      </c>
      <c r="E572" s="2" t="str">
        <f>IF(D572&gt;$H$6/10*9,"1",IF(D572&gt;$H$6/10*8,"2",IF(D572&gt;$H$6/10*7,"3",IF(D572&gt;$H$6/10*6,"4",IF(D572&gt;$H$6/10*5,"5",IF(D572&gt;$H$6/10*4,"6",IF(D572&gt;$H$6/10*3,"7",IF(D572&gt;$H$6/10*2,"8",IF(D572&gt;$H$6/10,"9","10")))))))))</f>
        <v>9</v>
      </c>
    </row>
    <row r="573" spans="1:5" x14ac:dyDescent="0.55000000000000004">
      <c r="A573">
        <v>1004</v>
      </c>
      <c r="B573">
        <f>estuary_data!Y451*weights!$C$9</f>
        <v>5.7734049025452053E-2</v>
      </c>
      <c r="C573">
        <f>estuary_data!X451*weights!$C$10</f>
        <v>0.12695721247053113</v>
      </c>
      <c r="D573">
        <f>SUM(B573:C573)</f>
        <v>0.18469126149598319</v>
      </c>
      <c r="E573" s="2" t="str">
        <f>IF(D573&gt;$H$6/10*9,"1",IF(D573&gt;$H$6/10*8,"2",IF(D573&gt;$H$6/10*7,"3",IF(D573&gt;$H$6/10*6,"4",IF(D573&gt;$H$6/10*5,"5",IF(D573&gt;$H$6/10*4,"6",IF(D573&gt;$H$6/10*3,"7",IF(D573&gt;$H$6/10*2,"8",IF(D573&gt;$H$6/10,"9","10")))))))))</f>
        <v>9</v>
      </c>
    </row>
    <row r="574" spans="1:5" x14ac:dyDescent="0.55000000000000004">
      <c r="A574">
        <v>1005</v>
      </c>
      <c r="B574">
        <f>estuary_data!Y452*weights!$C$9</f>
        <v>5.0152410836321076E-2</v>
      </c>
      <c r="C574">
        <f>estuary_data!X452*weights!$C$10</f>
        <v>0.10523181782294908</v>
      </c>
      <c r="D574">
        <f>SUM(B574:C574)</f>
        <v>0.15538422865927015</v>
      </c>
      <c r="E574" s="2" t="str">
        <f>IF(D574&gt;$H$6/10*9,"1",IF(D574&gt;$H$6/10*8,"2",IF(D574&gt;$H$6/10*7,"3",IF(D574&gt;$H$6/10*6,"4",IF(D574&gt;$H$6/10*5,"5",IF(D574&gt;$H$6/10*4,"6",IF(D574&gt;$H$6/10*3,"7",IF(D574&gt;$H$6/10*2,"8",IF(D574&gt;$H$6/10,"9","10")))))))))</f>
        <v>9</v>
      </c>
    </row>
    <row r="575" spans="1:5" x14ac:dyDescent="0.55000000000000004">
      <c r="A575">
        <v>1006</v>
      </c>
      <c r="B575">
        <f>estuary_data!Y453*weights!$C$9</f>
        <v>4.1247525690738272E-2</v>
      </c>
      <c r="C575">
        <f>estuary_data!X453*weights!$C$10</f>
        <v>0.15000044028174289</v>
      </c>
      <c r="D575">
        <f>SUM(B575:C575)</f>
        <v>0.19124796597248117</v>
      </c>
      <c r="E575" s="2" t="str">
        <f>IF(D575&gt;$H$6/10*9,"1",IF(D575&gt;$H$6/10*8,"2",IF(D575&gt;$H$6/10*7,"3",IF(D575&gt;$H$6/10*6,"4",IF(D575&gt;$H$6/10*5,"5",IF(D575&gt;$H$6/10*4,"6",IF(D575&gt;$H$6/10*3,"7",IF(D575&gt;$H$6/10*2,"8",IF(D575&gt;$H$6/10,"9","10")))))))))</f>
        <v>9</v>
      </c>
    </row>
    <row r="576" spans="1:5" x14ac:dyDescent="0.55000000000000004">
      <c r="A576">
        <v>1007</v>
      </c>
      <c r="B576">
        <f>estuary_data!Y454*weights!$C$9</f>
        <v>4.3021420788931751E-2</v>
      </c>
      <c r="C576">
        <f>estuary_data!X454*weights!$C$10</f>
        <v>0.1435901536555021</v>
      </c>
      <c r="D576">
        <f>SUM(B576:C576)</f>
        <v>0.18661157444443385</v>
      </c>
      <c r="E576" s="2" t="str">
        <f>IF(D576&gt;$H$6/10*9,"1",IF(D576&gt;$H$6/10*8,"2",IF(D576&gt;$H$6/10*7,"3",IF(D576&gt;$H$6/10*6,"4",IF(D576&gt;$H$6/10*5,"5",IF(D576&gt;$H$6/10*4,"6",IF(D576&gt;$H$6/10*3,"7",IF(D576&gt;$H$6/10*2,"8",IF(D576&gt;$H$6/10,"9","10")))))))))</f>
        <v>9</v>
      </c>
    </row>
    <row r="577" spans="1:5" x14ac:dyDescent="0.55000000000000004">
      <c r="A577">
        <v>1008</v>
      </c>
      <c r="B577">
        <f>estuary_data!Y455*weights!$C$9</f>
        <v>4.2691103711480639E-2</v>
      </c>
      <c r="C577">
        <f>estuary_data!X455*weights!$C$10</f>
        <v>0.1393160170793904</v>
      </c>
      <c r="D577">
        <f>SUM(B577:C577)</f>
        <v>0.18200712079087103</v>
      </c>
      <c r="E577" s="2" t="str">
        <f>IF(D577&gt;$H$6/10*9,"1",IF(D577&gt;$H$6/10*8,"2",IF(D577&gt;$H$6/10*7,"3",IF(D577&gt;$H$6/10*6,"4",IF(D577&gt;$H$6/10*5,"5",IF(D577&gt;$H$6/10*4,"6",IF(D577&gt;$H$6/10*3,"7",IF(D577&gt;$H$6/10*2,"8",IF(D577&gt;$H$6/10,"9","10")))))))))</f>
        <v>9</v>
      </c>
    </row>
    <row r="578" spans="1:5" x14ac:dyDescent="0.55000000000000004">
      <c r="A578">
        <v>1010</v>
      </c>
      <c r="B578">
        <f>estuary_data!Y457*weights!$C$9</f>
        <v>4.2129030767728504E-2</v>
      </c>
      <c r="C578">
        <f>estuary_data!X457*weights!$C$10</f>
        <v>0.14698504616444757</v>
      </c>
      <c r="D578">
        <f>SUM(B578:C578)</f>
        <v>0.18911407693217608</v>
      </c>
      <c r="E578" s="2" t="str">
        <f>IF(D578&gt;$H$6/10*9,"1",IF(D578&gt;$H$6/10*8,"2",IF(D578&gt;$H$6/10*7,"3",IF(D578&gt;$H$6/10*6,"4",IF(D578&gt;$H$6/10*5,"5",IF(D578&gt;$H$6/10*4,"6",IF(D578&gt;$H$6/10*3,"7",IF(D578&gt;$H$6/10*2,"8",IF(D578&gt;$H$6/10,"9","10")))))))))</f>
        <v>9</v>
      </c>
    </row>
    <row r="579" spans="1:5" x14ac:dyDescent="0.55000000000000004">
      <c r="A579">
        <v>1011</v>
      </c>
      <c r="B579">
        <f>estuary_data!Y458*weights!$C$9</f>
        <v>4.3438319329849748E-2</v>
      </c>
      <c r="C579">
        <f>estuary_data!X458*weights!$C$10</f>
        <v>0.13547025363897688</v>
      </c>
      <c r="D579">
        <f>SUM(B579:C579)</f>
        <v>0.17890857296882662</v>
      </c>
      <c r="E579" s="2" t="str">
        <f>IF(D579&gt;$H$6/10*9,"1",IF(D579&gt;$H$6/10*8,"2",IF(D579&gt;$H$6/10*7,"3",IF(D579&gt;$H$6/10*6,"4",IF(D579&gt;$H$6/10*5,"5",IF(D579&gt;$H$6/10*4,"6",IF(D579&gt;$H$6/10*3,"7",IF(D579&gt;$H$6/10*2,"8",IF(D579&gt;$H$6/10,"9","10")))))))))</f>
        <v>9</v>
      </c>
    </row>
    <row r="580" spans="1:5" x14ac:dyDescent="0.55000000000000004">
      <c r="A580">
        <v>1012</v>
      </c>
      <c r="B580">
        <f>estuary_data!Y459*weights!$C$9</f>
        <v>4.6325847774590478E-2</v>
      </c>
      <c r="C580">
        <f>estuary_data!X459*weights!$C$10</f>
        <v>0.14283807877522636</v>
      </c>
      <c r="D580">
        <f>SUM(B580:C580)</f>
        <v>0.18916392654981684</v>
      </c>
      <c r="E580" s="2" t="str">
        <f>IF(D580&gt;$H$6/10*9,"1",IF(D580&gt;$H$6/10*8,"2",IF(D580&gt;$H$6/10*7,"3",IF(D580&gt;$H$6/10*6,"4",IF(D580&gt;$H$6/10*5,"5",IF(D580&gt;$H$6/10*4,"6",IF(D580&gt;$H$6/10*3,"7",IF(D580&gt;$H$6/10*2,"8",IF(D580&gt;$H$6/10,"9","10")))))))))</f>
        <v>9</v>
      </c>
    </row>
    <row r="581" spans="1:5" x14ac:dyDescent="0.55000000000000004">
      <c r="A581">
        <v>1013</v>
      </c>
      <c r="B581">
        <f>estuary_data!Y460*weights!$C$9</f>
        <v>4.4851795518583114E-2</v>
      </c>
      <c r="C581">
        <f>estuary_data!X460*weights!$C$10</f>
        <v>0.15288813682260347</v>
      </c>
      <c r="D581">
        <f>SUM(B581:C581)</f>
        <v>0.19773993234118659</v>
      </c>
      <c r="E581" s="2" t="str">
        <f>IF(D581&gt;$H$6/10*9,"1",IF(D581&gt;$H$6/10*8,"2",IF(D581&gt;$H$6/10*7,"3",IF(D581&gt;$H$6/10*6,"4",IF(D581&gt;$H$6/10*5,"5",IF(D581&gt;$H$6/10*4,"6",IF(D581&gt;$H$6/10*3,"7",IF(D581&gt;$H$6/10*2,"8",IF(D581&gt;$H$6/10,"9","10")))))))))</f>
        <v>9</v>
      </c>
    </row>
    <row r="582" spans="1:5" x14ac:dyDescent="0.55000000000000004">
      <c r="A582">
        <v>1016</v>
      </c>
      <c r="B582">
        <f>estuary_data!Y463*weights!$C$9</f>
        <v>5.2108011718277149E-2</v>
      </c>
      <c r="C582">
        <f>estuary_data!X463*weights!$C$10</f>
        <v>0.14185841749714648</v>
      </c>
      <c r="D582">
        <f>SUM(B582:C582)</f>
        <v>0.19396642921542362</v>
      </c>
      <c r="E582" s="2" t="str">
        <f>IF(D582&gt;$H$6/10*9,"1",IF(D582&gt;$H$6/10*8,"2",IF(D582&gt;$H$6/10*7,"3",IF(D582&gt;$H$6/10*6,"4",IF(D582&gt;$H$6/10*5,"5",IF(D582&gt;$H$6/10*4,"6",IF(D582&gt;$H$6/10*3,"7",IF(D582&gt;$H$6/10*2,"8",IF(D582&gt;$H$6/10,"9","10")))))))))</f>
        <v>9</v>
      </c>
    </row>
    <row r="583" spans="1:5" x14ac:dyDescent="0.55000000000000004">
      <c r="A583">
        <v>1020</v>
      </c>
      <c r="B583">
        <f>estuary_data!Y467*weights!$C$9</f>
        <v>4.1448829763357557E-2</v>
      </c>
      <c r="C583">
        <f>estuary_data!X467*weights!$C$10</f>
        <v>0.10008441055902625</v>
      </c>
      <c r="D583">
        <f>SUM(B583:C583)</f>
        <v>0.14153324032238382</v>
      </c>
      <c r="E583" s="2" t="str">
        <f>IF(D583&gt;$H$6/10*9,"1",IF(D583&gt;$H$6/10*8,"2",IF(D583&gt;$H$6/10*7,"3",IF(D583&gt;$H$6/10*6,"4",IF(D583&gt;$H$6/10*5,"5",IF(D583&gt;$H$6/10*4,"6",IF(D583&gt;$H$6/10*3,"7",IF(D583&gt;$H$6/10*2,"8",IF(D583&gt;$H$6/10,"9","10")))))))))</f>
        <v>9</v>
      </c>
    </row>
    <row r="584" spans="1:5" x14ac:dyDescent="0.55000000000000004">
      <c r="A584">
        <v>1021</v>
      </c>
      <c r="B584">
        <f>estuary_data!Y468*weights!$C$9</f>
        <v>4.1448829763357557E-2</v>
      </c>
      <c r="C584">
        <f>estuary_data!X468*weights!$C$10</f>
        <v>0.10008441055902625</v>
      </c>
      <c r="D584">
        <f>SUM(B584:C584)</f>
        <v>0.14153324032238382</v>
      </c>
      <c r="E584" s="2" t="str">
        <f>IF(D584&gt;$H$6/10*9,"1",IF(D584&gt;$H$6/10*8,"2",IF(D584&gt;$H$6/10*7,"3",IF(D584&gt;$H$6/10*6,"4",IF(D584&gt;$H$6/10*5,"5",IF(D584&gt;$H$6/10*4,"6",IF(D584&gt;$H$6/10*3,"7",IF(D584&gt;$H$6/10*2,"8",IF(D584&gt;$H$6/10,"9","10")))))))))</f>
        <v>9</v>
      </c>
    </row>
    <row r="585" spans="1:5" x14ac:dyDescent="0.55000000000000004">
      <c r="A585">
        <v>1023</v>
      </c>
      <c r="B585">
        <f>estuary_data!Y470*weights!$C$9</f>
        <v>4.435391050203398E-2</v>
      </c>
      <c r="C585">
        <f>estuary_data!X470*weights!$C$10</f>
        <v>0.10566896609133905</v>
      </c>
      <c r="D585">
        <f>SUM(B585:C585)</f>
        <v>0.15002287659337304</v>
      </c>
      <c r="E585" s="2" t="str">
        <f>IF(D585&gt;$H$6/10*9,"1",IF(D585&gt;$H$6/10*8,"2",IF(D585&gt;$H$6/10*7,"3",IF(D585&gt;$H$6/10*6,"4",IF(D585&gt;$H$6/10*5,"5",IF(D585&gt;$H$6/10*4,"6",IF(D585&gt;$H$6/10*3,"7",IF(D585&gt;$H$6/10*2,"8",IF(D585&gt;$H$6/10,"9","10")))))))))</f>
        <v>9</v>
      </c>
    </row>
    <row r="586" spans="1:5" x14ac:dyDescent="0.55000000000000004">
      <c r="A586">
        <v>1026</v>
      </c>
      <c r="B586">
        <f>estuary_data!Y473*weights!$C$9</f>
        <v>4.5282603089405335E-2</v>
      </c>
      <c r="C586">
        <f>estuary_data!X473*weights!$C$10</f>
        <v>0.14712952719705047</v>
      </c>
      <c r="D586">
        <f>SUM(B586:C586)</f>
        <v>0.19241213028645582</v>
      </c>
      <c r="E586" s="2" t="str">
        <f>IF(D586&gt;$H$6/10*9,"1",IF(D586&gt;$H$6/10*8,"2",IF(D586&gt;$H$6/10*7,"3",IF(D586&gt;$H$6/10*6,"4",IF(D586&gt;$H$6/10*5,"5",IF(D586&gt;$H$6/10*4,"6",IF(D586&gt;$H$6/10*3,"7",IF(D586&gt;$H$6/10*2,"8",IF(D586&gt;$H$6/10,"9","10")))))))))</f>
        <v>9</v>
      </c>
    </row>
    <row r="587" spans="1:5" x14ac:dyDescent="0.55000000000000004">
      <c r="A587">
        <v>1031</v>
      </c>
      <c r="B587">
        <f>estuary_data!Y478*weights!$C$9</f>
        <v>4.8275997210159134E-2</v>
      </c>
      <c r="C587">
        <f>estuary_data!X478*weights!$C$10</f>
        <v>0.14065480153280954</v>
      </c>
      <c r="D587">
        <f>SUM(B587:C587)</f>
        <v>0.18893079874296867</v>
      </c>
      <c r="E587" s="2" t="str">
        <f>IF(D587&gt;$H$6/10*9,"1",IF(D587&gt;$H$6/10*8,"2",IF(D587&gt;$H$6/10*7,"3",IF(D587&gt;$H$6/10*6,"4",IF(D587&gt;$H$6/10*5,"5",IF(D587&gt;$H$6/10*4,"6",IF(D587&gt;$H$6/10*3,"7",IF(D587&gt;$H$6/10*2,"8",IF(D587&gt;$H$6/10,"9","10")))))))))</f>
        <v>9</v>
      </c>
    </row>
    <row r="588" spans="1:5" x14ac:dyDescent="0.55000000000000004">
      <c r="A588">
        <v>1032</v>
      </c>
      <c r="B588">
        <f>estuary_data!Y479*weights!$C$9</f>
        <v>3.6643716961115527E-2</v>
      </c>
      <c r="C588">
        <f>estuary_data!X479*weights!$C$10</f>
        <v>0.10595878260109873</v>
      </c>
      <c r="D588">
        <f>SUM(B588:C588)</f>
        <v>0.14260249956221427</v>
      </c>
      <c r="E588" s="2" t="str">
        <f>IF(D588&gt;$H$6/10*9,"1",IF(D588&gt;$H$6/10*8,"2",IF(D588&gt;$H$6/10*7,"3",IF(D588&gt;$H$6/10*6,"4",IF(D588&gt;$H$6/10*5,"5",IF(D588&gt;$H$6/10*4,"6",IF(D588&gt;$H$6/10*3,"7",IF(D588&gt;$H$6/10*2,"8",IF(D588&gt;$H$6/10,"9","10")))))))))</f>
        <v>9</v>
      </c>
    </row>
    <row r="589" spans="1:5" x14ac:dyDescent="0.55000000000000004">
      <c r="A589">
        <v>1033</v>
      </c>
      <c r="B589">
        <f>estuary_data!Y480*weights!$C$9</f>
        <v>3.8157459321481013E-2</v>
      </c>
      <c r="C589">
        <f>estuary_data!X480*weights!$C$10</f>
        <v>9.8373367939463163E-2</v>
      </c>
      <c r="D589">
        <f>SUM(B589:C589)</f>
        <v>0.13653082726094418</v>
      </c>
      <c r="E589" s="2" t="str">
        <f>IF(D589&gt;$H$6/10*9,"1",IF(D589&gt;$H$6/10*8,"2",IF(D589&gt;$H$6/10*7,"3",IF(D589&gt;$H$6/10*6,"4",IF(D589&gt;$H$6/10*5,"5",IF(D589&gt;$H$6/10*4,"6",IF(D589&gt;$H$6/10*3,"7",IF(D589&gt;$H$6/10*2,"8",IF(D589&gt;$H$6/10,"9","10")))))))))</f>
        <v>9</v>
      </c>
    </row>
    <row r="590" spans="1:5" x14ac:dyDescent="0.55000000000000004">
      <c r="A590">
        <v>1037</v>
      </c>
      <c r="B590">
        <f>estuary_data!Y484*weights!$C$9</f>
        <v>5.6324916059380961E-2</v>
      </c>
      <c r="C590">
        <f>estuary_data!X484*weights!$C$10</f>
        <v>0.14097339465262798</v>
      </c>
      <c r="D590">
        <f>SUM(B590:C590)</f>
        <v>0.19729831071200893</v>
      </c>
      <c r="E590" s="2" t="str">
        <f>IF(D590&gt;$H$6/10*9,"1",IF(D590&gt;$H$6/10*8,"2",IF(D590&gt;$H$6/10*7,"3",IF(D590&gt;$H$6/10*6,"4",IF(D590&gt;$H$6/10*5,"5",IF(D590&gt;$H$6/10*4,"6",IF(D590&gt;$H$6/10*3,"7",IF(D590&gt;$H$6/10*2,"8",IF(D590&gt;$H$6/10,"9","10")))))))))</f>
        <v>9</v>
      </c>
    </row>
    <row r="591" spans="1:5" x14ac:dyDescent="0.55000000000000004">
      <c r="A591">
        <v>1038</v>
      </c>
      <c r="B591">
        <f>estuary_data!Y485*weights!$C$9</f>
        <v>4.1294744616983695E-2</v>
      </c>
      <c r="C591">
        <f>estuary_data!X485*weights!$C$10</f>
        <v>0.11029530265100977</v>
      </c>
      <c r="D591">
        <f>SUM(B591:C591)</f>
        <v>0.15159004726799347</v>
      </c>
      <c r="E591" s="2" t="str">
        <f>IF(D591&gt;$H$6/10*9,"1",IF(D591&gt;$H$6/10*8,"2",IF(D591&gt;$H$6/10*7,"3",IF(D591&gt;$H$6/10*6,"4",IF(D591&gt;$H$6/10*5,"5",IF(D591&gt;$H$6/10*4,"6",IF(D591&gt;$H$6/10*3,"7",IF(D591&gt;$H$6/10*2,"8",IF(D591&gt;$H$6/10,"9","10")))))))))</f>
        <v>9</v>
      </c>
    </row>
    <row r="592" spans="1:5" x14ac:dyDescent="0.55000000000000004">
      <c r="A592">
        <v>1039</v>
      </c>
      <c r="B592">
        <f>estuary_data!Y486*weights!$C$9</f>
        <v>5.4588651626845709E-2</v>
      </c>
      <c r="C592">
        <f>estuary_data!X486*weights!$C$10</f>
        <v>0.12817234217190335</v>
      </c>
      <c r="D592">
        <f>SUM(B592:C592)</f>
        <v>0.18276099379874905</v>
      </c>
      <c r="E592" s="2" t="str">
        <f>IF(D592&gt;$H$6/10*9,"1",IF(D592&gt;$H$6/10*8,"2",IF(D592&gt;$H$6/10*7,"3",IF(D592&gt;$H$6/10*6,"4",IF(D592&gt;$H$6/10*5,"5",IF(D592&gt;$H$6/10*4,"6",IF(D592&gt;$H$6/10*3,"7",IF(D592&gt;$H$6/10*2,"8",IF(D592&gt;$H$6/10,"9","10")))))))))</f>
        <v>9</v>
      </c>
    </row>
    <row r="593" spans="1:5" x14ac:dyDescent="0.55000000000000004">
      <c r="A593">
        <v>1040</v>
      </c>
      <c r="B593">
        <f>estuary_data!Y487*weights!$C$9</f>
        <v>4.4351402396332604E-2</v>
      </c>
      <c r="C593">
        <f>estuary_data!X487*weights!$C$10</f>
        <v>0.12560152857299589</v>
      </c>
      <c r="D593">
        <f>SUM(B593:C593)</f>
        <v>0.16995293096932851</v>
      </c>
      <c r="E593" s="2" t="str">
        <f>IF(D593&gt;$H$6/10*9,"1",IF(D593&gt;$H$6/10*8,"2",IF(D593&gt;$H$6/10*7,"3",IF(D593&gt;$H$6/10*6,"4",IF(D593&gt;$H$6/10*5,"5",IF(D593&gt;$H$6/10*4,"6",IF(D593&gt;$H$6/10*3,"7",IF(D593&gt;$H$6/10*2,"8",IF(D593&gt;$H$6/10,"9","10")))))))))</f>
        <v>9</v>
      </c>
    </row>
    <row r="594" spans="1:5" x14ac:dyDescent="0.55000000000000004">
      <c r="A594">
        <v>1041</v>
      </c>
      <c r="B594">
        <f>estuary_data!Y488*weights!$C$9</f>
        <v>4.4277662093904463E-2</v>
      </c>
      <c r="C594">
        <f>estuary_data!X488*weights!$C$10</f>
        <v>0.11354451429646119</v>
      </c>
      <c r="D594">
        <f>SUM(B594:C594)</f>
        <v>0.15782217639036566</v>
      </c>
      <c r="E594" s="2" t="str">
        <f>IF(D594&gt;$H$6/10*9,"1",IF(D594&gt;$H$6/10*8,"2",IF(D594&gt;$H$6/10*7,"3",IF(D594&gt;$H$6/10*6,"4",IF(D594&gt;$H$6/10*5,"5",IF(D594&gt;$H$6/10*4,"6",IF(D594&gt;$H$6/10*3,"7",IF(D594&gt;$H$6/10*2,"8",IF(D594&gt;$H$6/10,"9","10")))))))))</f>
        <v>9</v>
      </c>
    </row>
    <row r="595" spans="1:5" x14ac:dyDescent="0.55000000000000004">
      <c r="A595">
        <v>1042</v>
      </c>
      <c r="B595">
        <f>estuary_data!Y489*weights!$C$9</f>
        <v>4.8261922173699574E-2</v>
      </c>
      <c r="C595">
        <f>estuary_data!X489*weights!$C$10</f>
        <v>0.14353169572938701</v>
      </c>
      <c r="D595">
        <f>SUM(B595:C595)</f>
        <v>0.19179361790308658</v>
      </c>
      <c r="E595" s="2" t="str">
        <f>IF(D595&gt;$H$6/10*9,"1",IF(D595&gt;$H$6/10*8,"2",IF(D595&gt;$H$6/10*7,"3",IF(D595&gt;$H$6/10*6,"4",IF(D595&gt;$H$6/10*5,"5",IF(D595&gt;$H$6/10*4,"6",IF(D595&gt;$H$6/10*3,"7",IF(D595&gt;$H$6/10*2,"8",IF(D595&gt;$H$6/10,"9","10")))))))))</f>
        <v>9</v>
      </c>
    </row>
    <row r="596" spans="1:5" x14ac:dyDescent="0.55000000000000004">
      <c r="A596">
        <v>1047</v>
      </c>
      <c r="B596">
        <f>estuary_data!Y494*weights!$C$9</f>
        <v>3.5071081075898319E-2</v>
      </c>
      <c r="C596">
        <f>estuary_data!X494*weights!$C$10</f>
        <v>0.12608420082247249</v>
      </c>
      <c r="D596">
        <f>SUM(B596:C596)</f>
        <v>0.16115528189837081</v>
      </c>
      <c r="E596" s="2" t="str">
        <f>IF(D596&gt;$H$6/10*9,"1",IF(D596&gt;$H$6/10*8,"2",IF(D596&gt;$H$6/10*7,"3",IF(D596&gt;$H$6/10*6,"4",IF(D596&gt;$H$6/10*5,"5",IF(D596&gt;$H$6/10*4,"6",IF(D596&gt;$H$6/10*3,"7",IF(D596&gt;$H$6/10*2,"8",IF(D596&gt;$H$6/10,"9","10")))))))))</f>
        <v>9</v>
      </c>
    </row>
    <row r="597" spans="1:5" x14ac:dyDescent="0.55000000000000004">
      <c r="A597">
        <v>1048</v>
      </c>
      <c r="B597">
        <f>estuary_data!Y495*weights!$C$9</f>
        <v>4.6411074239247986E-2</v>
      </c>
      <c r="C597">
        <f>estuary_data!X495*weights!$C$10</f>
        <v>0.13510128824181894</v>
      </c>
      <c r="D597">
        <f>SUM(B597:C597)</f>
        <v>0.18151236248106692</v>
      </c>
      <c r="E597" s="2" t="str">
        <f>IF(D597&gt;$H$6/10*9,"1",IF(D597&gt;$H$6/10*8,"2",IF(D597&gt;$H$6/10*7,"3",IF(D597&gt;$H$6/10*6,"4",IF(D597&gt;$H$6/10*5,"5",IF(D597&gt;$H$6/10*4,"6",IF(D597&gt;$H$6/10*3,"7",IF(D597&gt;$H$6/10*2,"8",IF(D597&gt;$H$6/10,"9","10")))))))))</f>
        <v>9</v>
      </c>
    </row>
    <row r="598" spans="1:5" x14ac:dyDescent="0.55000000000000004">
      <c r="A598">
        <v>1049</v>
      </c>
      <c r="B598">
        <f>estuary_data!Y496*weights!$C$9</f>
        <v>4.1345929857852133E-2</v>
      </c>
      <c r="C598">
        <f>estuary_data!X496*weights!$C$10</f>
        <v>0.10091085304570646</v>
      </c>
      <c r="D598">
        <f>SUM(B598:C598)</f>
        <v>0.14225678290355859</v>
      </c>
      <c r="E598" s="2" t="str">
        <f>IF(D598&gt;$H$6/10*9,"1",IF(D598&gt;$H$6/10*8,"2",IF(D598&gt;$H$6/10*7,"3",IF(D598&gt;$H$6/10*6,"4",IF(D598&gt;$H$6/10*5,"5",IF(D598&gt;$H$6/10*4,"6",IF(D598&gt;$H$6/10*3,"7",IF(D598&gt;$H$6/10*2,"8",IF(D598&gt;$H$6/10,"9","10")))))))))</f>
        <v>9</v>
      </c>
    </row>
    <row r="599" spans="1:5" x14ac:dyDescent="0.55000000000000004">
      <c r="A599">
        <v>1053</v>
      </c>
      <c r="B599">
        <f>estuary_data!Y500*weights!$C$9</f>
        <v>4.524794716853562E-2</v>
      </c>
      <c r="C599">
        <f>estuary_data!X500*weights!$C$10</f>
        <v>0.15050235364314357</v>
      </c>
      <c r="D599">
        <f>SUM(B599:C599)</f>
        <v>0.19575030081167918</v>
      </c>
      <c r="E599" s="2" t="str">
        <f>IF(D599&gt;$H$6/10*9,"1",IF(D599&gt;$H$6/10*8,"2",IF(D599&gt;$H$6/10*7,"3",IF(D599&gt;$H$6/10*6,"4",IF(D599&gt;$H$6/10*5,"5",IF(D599&gt;$H$6/10*4,"6",IF(D599&gt;$H$6/10*3,"7",IF(D599&gt;$H$6/10*2,"8",IF(D599&gt;$H$6/10,"9","10")))))))))</f>
        <v>9</v>
      </c>
    </row>
    <row r="600" spans="1:5" x14ac:dyDescent="0.55000000000000004">
      <c r="A600">
        <v>1057</v>
      </c>
      <c r="B600">
        <f>estuary_data!Y504*weights!$C$9</f>
        <v>4.4245837329327756E-2</v>
      </c>
      <c r="C600">
        <f>estuary_data!X504*weights!$C$10</f>
        <v>0.13287440855199725</v>
      </c>
      <c r="D600">
        <f>SUM(B600:C600)</f>
        <v>0.17712024588132502</v>
      </c>
      <c r="E600" s="2" t="str">
        <f>IF(D600&gt;$H$6/10*9,"1",IF(D600&gt;$H$6/10*8,"2",IF(D600&gt;$H$6/10*7,"3",IF(D600&gt;$H$6/10*6,"4",IF(D600&gt;$H$6/10*5,"5",IF(D600&gt;$H$6/10*4,"6",IF(D600&gt;$H$6/10*3,"7",IF(D600&gt;$H$6/10*2,"8",IF(D600&gt;$H$6/10,"9","10")))))))))</f>
        <v>9</v>
      </c>
    </row>
    <row r="601" spans="1:5" x14ac:dyDescent="0.55000000000000004">
      <c r="A601">
        <v>1058</v>
      </c>
      <c r="B601">
        <f>estuary_data!Y505*weights!$C$9</f>
        <v>4.4245837329327756E-2</v>
      </c>
      <c r="C601">
        <f>estuary_data!X505*weights!$C$10</f>
        <v>0.13287440855199725</v>
      </c>
      <c r="D601">
        <f>SUM(B601:C601)</f>
        <v>0.17712024588132502</v>
      </c>
      <c r="E601" s="2" t="str">
        <f>IF(D601&gt;$H$6/10*9,"1",IF(D601&gt;$H$6/10*8,"2",IF(D601&gt;$H$6/10*7,"3",IF(D601&gt;$H$6/10*6,"4",IF(D601&gt;$H$6/10*5,"5",IF(D601&gt;$H$6/10*4,"6",IF(D601&gt;$H$6/10*3,"7",IF(D601&gt;$H$6/10*2,"8",IF(D601&gt;$H$6/10,"9","10")))))))))</f>
        <v>9</v>
      </c>
    </row>
    <row r="602" spans="1:5" x14ac:dyDescent="0.55000000000000004">
      <c r="A602">
        <v>1060</v>
      </c>
      <c r="B602">
        <f>estuary_data!Y507*weights!$C$9</f>
        <v>3.5153884684642797E-2</v>
      </c>
      <c r="C602">
        <f>estuary_data!X507*weights!$C$10</f>
        <v>0.1220791601534741</v>
      </c>
      <c r="D602">
        <f>SUM(B602:C602)</f>
        <v>0.1572330448381169</v>
      </c>
      <c r="E602" s="2" t="str">
        <f>IF(D602&gt;$H$6/10*9,"1",IF(D602&gt;$H$6/10*8,"2",IF(D602&gt;$H$6/10*7,"3",IF(D602&gt;$H$6/10*6,"4",IF(D602&gt;$H$6/10*5,"5",IF(D602&gt;$H$6/10*4,"6",IF(D602&gt;$H$6/10*3,"7",IF(D602&gt;$H$6/10*2,"8",IF(D602&gt;$H$6/10,"9","10")))))))))</f>
        <v>9</v>
      </c>
    </row>
    <row r="603" spans="1:5" x14ac:dyDescent="0.55000000000000004">
      <c r="A603">
        <v>1063</v>
      </c>
      <c r="B603">
        <f>estuary_data!Y510*weights!$C$9</f>
        <v>4.4254057123803092E-2</v>
      </c>
      <c r="C603">
        <f>estuary_data!X510*weights!$C$10</f>
        <v>0.14545257085808236</v>
      </c>
      <c r="D603">
        <f>SUM(B603:C603)</f>
        <v>0.18970662798188545</v>
      </c>
      <c r="E603" s="2" t="str">
        <f>IF(D603&gt;$H$6/10*9,"1",IF(D603&gt;$H$6/10*8,"2",IF(D603&gt;$H$6/10*7,"3",IF(D603&gt;$H$6/10*6,"4",IF(D603&gt;$H$6/10*5,"5",IF(D603&gt;$H$6/10*4,"6",IF(D603&gt;$H$6/10*3,"7",IF(D603&gt;$H$6/10*2,"8",IF(D603&gt;$H$6/10,"9","10")))))))))</f>
        <v>9</v>
      </c>
    </row>
    <row r="604" spans="1:5" x14ac:dyDescent="0.55000000000000004">
      <c r="A604">
        <v>1066</v>
      </c>
      <c r="B604">
        <f>estuary_data!Y513*weights!$C$9</f>
        <v>2.7390648379597246E-2</v>
      </c>
      <c r="C604">
        <f>estuary_data!X513*weights!$C$10</f>
        <v>0.12248954871335646</v>
      </c>
      <c r="D604">
        <f>SUM(B604:C604)</f>
        <v>0.14988019709295369</v>
      </c>
      <c r="E604" s="2" t="str">
        <f>IF(D604&gt;$H$6/10*9,"1",IF(D604&gt;$H$6/10*8,"2",IF(D604&gt;$H$6/10*7,"3",IF(D604&gt;$H$6/10*6,"4",IF(D604&gt;$H$6/10*5,"5",IF(D604&gt;$H$6/10*4,"6",IF(D604&gt;$H$6/10*3,"7",IF(D604&gt;$H$6/10*2,"8",IF(D604&gt;$H$6/10,"9","10")))))))))</f>
        <v>9</v>
      </c>
    </row>
    <row r="605" spans="1:5" x14ac:dyDescent="0.55000000000000004">
      <c r="A605">
        <v>1067</v>
      </c>
      <c r="B605">
        <f>estuary_data!Y514*weights!$C$9</f>
        <v>3.6745158681223064E-2</v>
      </c>
      <c r="C605">
        <f>estuary_data!X514*weights!$C$10</f>
        <v>0.12268035017762731</v>
      </c>
      <c r="D605">
        <f>SUM(B605:C605)</f>
        <v>0.15942550885885037</v>
      </c>
      <c r="E605" s="2" t="str">
        <f>IF(D605&gt;$H$6/10*9,"1",IF(D605&gt;$H$6/10*8,"2",IF(D605&gt;$H$6/10*7,"3",IF(D605&gt;$H$6/10*6,"4",IF(D605&gt;$H$6/10*5,"5",IF(D605&gt;$H$6/10*4,"6",IF(D605&gt;$H$6/10*3,"7",IF(D605&gt;$H$6/10*2,"8",IF(D605&gt;$H$6/10,"9","10")))))))))</f>
        <v>9</v>
      </c>
    </row>
    <row r="606" spans="1:5" x14ac:dyDescent="0.55000000000000004">
      <c r="A606">
        <v>1068</v>
      </c>
      <c r="B606">
        <f>estuary_data!Y515*weights!$C$9</f>
        <v>4.2969903523190717E-2</v>
      </c>
      <c r="C606">
        <f>estuary_data!X515*weights!$C$10</f>
        <v>0.13466303551040715</v>
      </c>
      <c r="D606">
        <f>SUM(B606:C606)</f>
        <v>0.17763293903359786</v>
      </c>
      <c r="E606" s="2" t="str">
        <f>IF(D606&gt;$H$6/10*9,"1",IF(D606&gt;$H$6/10*8,"2",IF(D606&gt;$H$6/10*7,"3",IF(D606&gt;$H$6/10*6,"4",IF(D606&gt;$H$6/10*5,"5",IF(D606&gt;$H$6/10*4,"6",IF(D606&gt;$H$6/10*3,"7",IF(D606&gt;$H$6/10*2,"8",IF(D606&gt;$H$6/10,"9","10")))))))))</f>
        <v>9</v>
      </c>
    </row>
    <row r="607" spans="1:5" x14ac:dyDescent="0.55000000000000004">
      <c r="A607">
        <v>1069</v>
      </c>
      <c r="B607">
        <f>estuary_data!Y516*weights!$C$9</f>
        <v>4.0673526880274244E-2</v>
      </c>
      <c r="C607">
        <f>estuary_data!X516*weights!$C$10</f>
        <v>9.5535774326150305E-2</v>
      </c>
      <c r="D607">
        <f>SUM(B607:C607)</f>
        <v>0.13620930120642455</v>
      </c>
      <c r="E607" s="2" t="str">
        <f>IF(D607&gt;$H$6/10*9,"1",IF(D607&gt;$H$6/10*8,"2",IF(D607&gt;$H$6/10*7,"3",IF(D607&gt;$H$6/10*6,"4",IF(D607&gt;$H$6/10*5,"5",IF(D607&gt;$H$6/10*4,"6",IF(D607&gt;$H$6/10*3,"7",IF(D607&gt;$H$6/10*2,"8",IF(D607&gt;$H$6/10,"9","10")))))))))</f>
        <v>9</v>
      </c>
    </row>
    <row r="608" spans="1:5" x14ac:dyDescent="0.55000000000000004">
      <c r="A608">
        <v>1070</v>
      </c>
      <c r="B608">
        <f>estuary_data!Y517*weights!$C$9</f>
        <v>3.279343002888209E-2</v>
      </c>
      <c r="C608">
        <f>estuary_data!X517*weights!$C$10</f>
        <v>0.12109684017385933</v>
      </c>
      <c r="D608">
        <f>SUM(B608:C608)</f>
        <v>0.15389027020274143</v>
      </c>
      <c r="E608" s="2" t="str">
        <f>IF(D608&gt;$H$6/10*9,"1",IF(D608&gt;$H$6/10*8,"2",IF(D608&gt;$H$6/10*7,"3",IF(D608&gt;$H$6/10*6,"4",IF(D608&gt;$H$6/10*5,"5",IF(D608&gt;$H$6/10*4,"6",IF(D608&gt;$H$6/10*3,"7",IF(D608&gt;$H$6/10*2,"8",IF(D608&gt;$H$6/10,"9","10")))))))))</f>
        <v>9</v>
      </c>
    </row>
    <row r="609" spans="1:5" x14ac:dyDescent="0.55000000000000004">
      <c r="A609">
        <v>1071</v>
      </c>
      <c r="B609">
        <f>estuary_data!Y518*weights!$C$9</f>
        <v>3.4933695737338115E-2</v>
      </c>
      <c r="C609">
        <f>estuary_data!X518*weights!$C$10</f>
        <v>0.10802088336730498</v>
      </c>
      <c r="D609">
        <f>SUM(B609:C609)</f>
        <v>0.1429545791046431</v>
      </c>
      <c r="E609" s="2" t="str">
        <f>IF(D609&gt;$H$6/10*9,"1",IF(D609&gt;$H$6/10*8,"2",IF(D609&gt;$H$6/10*7,"3",IF(D609&gt;$H$6/10*6,"4",IF(D609&gt;$H$6/10*5,"5",IF(D609&gt;$H$6/10*4,"6",IF(D609&gt;$H$6/10*3,"7",IF(D609&gt;$H$6/10*2,"8",IF(D609&gt;$H$6/10,"9","10")))))))))</f>
        <v>9</v>
      </c>
    </row>
    <row r="610" spans="1:5" x14ac:dyDescent="0.55000000000000004">
      <c r="A610">
        <v>1073</v>
      </c>
      <c r="B610">
        <f>estuary_data!Y520*weights!$C$9</f>
        <v>3.0471157904131588E-2</v>
      </c>
      <c r="C610">
        <f>estuary_data!X520*weights!$C$10</f>
        <v>0.10462239007693208</v>
      </c>
      <c r="D610">
        <f>SUM(B610:C610)</f>
        <v>0.13509354798106366</v>
      </c>
      <c r="E610" s="2" t="str">
        <f>IF(D610&gt;$H$6/10*9,"1",IF(D610&gt;$H$6/10*8,"2",IF(D610&gt;$H$6/10*7,"3",IF(D610&gt;$H$6/10*6,"4",IF(D610&gt;$H$6/10*5,"5",IF(D610&gt;$H$6/10*4,"6",IF(D610&gt;$H$6/10*3,"7",IF(D610&gt;$H$6/10*2,"8",IF(D610&gt;$H$6/10,"9","10")))))))))</f>
        <v>9</v>
      </c>
    </row>
    <row r="611" spans="1:5" x14ac:dyDescent="0.55000000000000004">
      <c r="A611">
        <v>1074</v>
      </c>
      <c r="B611">
        <f>estuary_data!Y521*weights!$C$9</f>
        <v>4.3380341099324975E-2</v>
      </c>
      <c r="C611">
        <f>estuary_data!X521*weights!$C$10</f>
        <v>0.14650472589281827</v>
      </c>
      <c r="D611">
        <f>SUM(B611:C611)</f>
        <v>0.18988506699214325</v>
      </c>
      <c r="E611" s="2" t="str">
        <f>IF(D611&gt;$H$6/10*9,"1",IF(D611&gt;$H$6/10*8,"2",IF(D611&gt;$H$6/10*7,"3",IF(D611&gt;$H$6/10*6,"4",IF(D611&gt;$H$6/10*5,"5",IF(D611&gt;$H$6/10*4,"6",IF(D611&gt;$H$6/10*3,"7",IF(D611&gt;$H$6/10*2,"8",IF(D611&gt;$H$6/10,"9","10")))))))))</f>
        <v>9</v>
      </c>
    </row>
    <row r="612" spans="1:5" x14ac:dyDescent="0.55000000000000004">
      <c r="A612">
        <v>1075</v>
      </c>
      <c r="B612">
        <f>estuary_data!Y522*weights!$C$9</f>
        <v>4.4718255347733597E-2</v>
      </c>
      <c r="C612">
        <f>estuary_data!X522*weights!$C$10</f>
        <v>0.1401795705546163</v>
      </c>
      <c r="D612">
        <f>SUM(B612:C612)</f>
        <v>0.1848978259023499</v>
      </c>
      <c r="E612" s="2" t="str">
        <f>IF(D612&gt;$H$6/10*9,"1",IF(D612&gt;$H$6/10*8,"2",IF(D612&gt;$H$6/10*7,"3",IF(D612&gt;$H$6/10*6,"4",IF(D612&gt;$H$6/10*5,"5",IF(D612&gt;$H$6/10*4,"6",IF(D612&gt;$H$6/10*3,"7",IF(D612&gt;$H$6/10*2,"8",IF(D612&gt;$H$6/10,"9","10")))))))))</f>
        <v>9</v>
      </c>
    </row>
    <row r="613" spans="1:5" x14ac:dyDescent="0.55000000000000004">
      <c r="A613">
        <v>1076</v>
      </c>
      <c r="B613">
        <f>estuary_data!Y523*weights!$C$9</f>
        <v>3.4080506763346008E-2</v>
      </c>
      <c r="C613">
        <f>estuary_data!X523*weights!$C$10</f>
        <v>0.10623903526011612</v>
      </c>
      <c r="D613">
        <f>SUM(B613:C613)</f>
        <v>0.14031954202346214</v>
      </c>
      <c r="E613" s="2" t="str">
        <f>IF(D613&gt;$H$6/10*9,"1",IF(D613&gt;$H$6/10*8,"2",IF(D613&gt;$H$6/10*7,"3",IF(D613&gt;$H$6/10*6,"4",IF(D613&gt;$H$6/10*5,"5",IF(D613&gt;$H$6/10*4,"6",IF(D613&gt;$H$6/10*3,"7",IF(D613&gt;$H$6/10*2,"8",IF(D613&gt;$H$6/10,"9","10")))))))))</f>
        <v>9</v>
      </c>
    </row>
    <row r="614" spans="1:5" x14ac:dyDescent="0.55000000000000004">
      <c r="A614">
        <v>1077</v>
      </c>
      <c r="B614">
        <f>estuary_data!Y524*weights!$C$9</f>
        <v>3.8000659660943285E-2</v>
      </c>
      <c r="C614">
        <f>estuary_data!X524*weights!$C$10</f>
        <v>0.12671837266419883</v>
      </c>
      <c r="D614">
        <f>SUM(B614:C614)</f>
        <v>0.16471903232514212</v>
      </c>
      <c r="E614" s="2" t="str">
        <f>IF(D614&gt;$H$6/10*9,"1",IF(D614&gt;$H$6/10*8,"2",IF(D614&gt;$H$6/10*7,"3",IF(D614&gt;$H$6/10*6,"4",IF(D614&gt;$H$6/10*5,"5",IF(D614&gt;$H$6/10*4,"6",IF(D614&gt;$H$6/10*3,"7",IF(D614&gt;$H$6/10*2,"8",IF(D614&gt;$H$6/10,"9","10")))))))))</f>
        <v>9</v>
      </c>
    </row>
    <row r="615" spans="1:5" x14ac:dyDescent="0.55000000000000004">
      <c r="A615">
        <v>1079</v>
      </c>
      <c r="B615">
        <f>estuary_data!Y526*weights!$C$9</f>
        <v>3.7389622440318349E-2</v>
      </c>
      <c r="C615">
        <f>estuary_data!X526*weights!$C$10</f>
        <v>0.12386910293072317</v>
      </c>
      <c r="D615">
        <f>SUM(B615:C615)</f>
        <v>0.16125872537104152</v>
      </c>
      <c r="E615" s="2" t="str">
        <f>IF(D615&gt;$H$6/10*9,"1",IF(D615&gt;$H$6/10*8,"2",IF(D615&gt;$H$6/10*7,"3",IF(D615&gt;$H$6/10*6,"4",IF(D615&gt;$H$6/10*5,"5",IF(D615&gt;$H$6/10*4,"6",IF(D615&gt;$H$6/10*3,"7",IF(D615&gt;$H$6/10*2,"8",IF(D615&gt;$H$6/10,"9","10")))))))))</f>
        <v>9</v>
      </c>
    </row>
    <row r="616" spans="1:5" x14ac:dyDescent="0.55000000000000004">
      <c r="A616">
        <v>1084</v>
      </c>
      <c r="B616">
        <f>estuary_data!Y531*weights!$C$9</f>
        <v>4.2171516131255568E-2</v>
      </c>
      <c r="C616">
        <f>estuary_data!X531*weights!$C$10</f>
        <v>0.15409798520604706</v>
      </c>
      <c r="D616">
        <f>SUM(B616:C616)</f>
        <v>0.19626950133730264</v>
      </c>
      <c r="E616" s="2" t="str">
        <f>IF(D616&gt;$H$6/10*9,"1",IF(D616&gt;$H$6/10*8,"2",IF(D616&gt;$H$6/10*7,"3",IF(D616&gt;$H$6/10*6,"4",IF(D616&gt;$H$6/10*5,"5",IF(D616&gt;$H$6/10*4,"6",IF(D616&gt;$H$6/10*3,"7",IF(D616&gt;$H$6/10*2,"8",IF(D616&gt;$H$6/10,"9","10")))))))))</f>
        <v>9</v>
      </c>
    </row>
    <row r="617" spans="1:5" x14ac:dyDescent="0.55000000000000004">
      <c r="A617">
        <v>1086</v>
      </c>
      <c r="B617">
        <f>estuary_data!Y533*weights!$C$9</f>
        <v>4.4223712997969539E-2</v>
      </c>
      <c r="C617">
        <f>estuary_data!X533*weights!$C$10</f>
        <v>0.14985324126487692</v>
      </c>
      <c r="D617">
        <f>SUM(B617:C617)</f>
        <v>0.19407695426284646</v>
      </c>
      <c r="E617" s="2" t="str">
        <f>IF(D617&gt;$H$6/10*9,"1",IF(D617&gt;$H$6/10*8,"2",IF(D617&gt;$H$6/10*7,"3",IF(D617&gt;$H$6/10*6,"4",IF(D617&gt;$H$6/10*5,"5",IF(D617&gt;$H$6/10*4,"6",IF(D617&gt;$H$6/10*3,"7",IF(D617&gt;$H$6/10*2,"8",IF(D617&gt;$H$6/10,"9","10")))))))))</f>
        <v>9</v>
      </c>
    </row>
    <row r="618" spans="1:5" x14ac:dyDescent="0.55000000000000004">
      <c r="A618">
        <v>1087</v>
      </c>
      <c r="B618">
        <f>estuary_data!Y534*weights!$C$9</f>
        <v>4.8789832734988485E-2</v>
      </c>
      <c r="C618">
        <f>estuary_data!X534*weights!$C$10</f>
        <v>0.1442940355431179</v>
      </c>
      <c r="D618">
        <f>SUM(B618:C618)</f>
        <v>0.19308386827810639</v>
      </c>
      <c r="E618" s="2" t="str">
        <f>IF(D618&gt;$H$6/10*9,"1",IF(D618&gt;$H$6/10*8,"2",IF(D618&gt;$H$6/10*7,"3",IF(D618&gt;$H$6/10*6,"4",IF(D618&gt;$H$6/10*5,"5",IF(D618&gt;$H$6/10*4,"6",IF(D618&gt;$H$6/10*3,"7",IF(D618&gt;$H$6/10*2,"8",IF(D618&gt;$H$6/10,"9","10")))))))))</f>
        <v>9</v>
      </c>
    </row>
    <row r="619" spans="1:5" x14ac:dyDescent="0.55000000000000004">
      <c r="A619">
        <v>1090</v>
      </c>
      <c r="B619">
        <f>estuary_data!Y537*weights!$C$9</f>
        <v>4.3866035513754321E-2</v>
      </c>
      <c r="C619">
        <f>estuary_data!X537*weights!$C$10</f>
        <v>0.12155863717009106</v>
      </c>
      <c r="D619">
        <f>SUM(B619:C619)</f>
        <v>0.16542467268384539</v>
      </c>
      <c r="E619" s="2" t="str">
        <f>IF(D619&gt;$H$6/10*9,"1",IF(D619&gt;$H$6/10*8,"2",IF(D619&gt;$H$6/10*7,"3",IF(D619&gt;$H$6/10*6,"4",IF(D619&gt;$H$6/10*5,"5",IF(D619&gt;$H$6/10*4,"6",IF(D619&gt;$H$6/10*3,"7",IF(D619&gt;$H$6/10*2,"8",IF(D619&gt;$H$6/10,"9","10")))))))))</f>
        <v>9</v>
      </c>
    </row>
    <row r="620" spans="1:5" x14ac:dyDescent="0.55000000000000004">
      <c r="A620">
        <v>1091</v>
      </c>
      <c r="B620">
        <f>estuary_data!Y538*weights!$C$9</f>
        <v>4.4472105863879133E-2</v>
      </c>
      <c r="C620">
        <f>estuary_data!X538*weights!$C$10</f>
        <v>0.11459431735334982</v>
      </c>
      <c r="D620">
        <f>SUM(B620:C620)</f>
        <v>0.15906642321722897</v>
      </c>
      <c r="E620" s="2" t="str">
        <f>IF(D620&gt;$H$6/10*9,"1",IF(D620&gt;$H$6/10*8,"2",IF(D620&gt;$H$6/10*7,"3",IF(D620&gt;$H$6/10*6,"4",IF(D620&gt;$H$6/10*5,"5",IF(D620&gt;$H$6/10*4,"6",IF(D620&gt;$H$6/10*3,"7",IF(D620&gt;$H$6/10*2,"8",IF(D620&gt;$H$6/10,"9","10")))))))))</f>
        <v>9</v>
      </c>
    </row>
    <row r="621" spans="1:5" x14ac:dyDescent="0.55000000000000004">
      <c r="A621">
        <v>1092</v>
      </c>
      <c r="B621">
        <f>estuary_data!Y539*weights!$C$9</f>
        <v>4.9564525425774421E-2</v>
      </c>
      <c r="C621">
        <f>estuary_data!X539*weights!$C$10</f>
        <v>0.12225652763578077</v>
      </c>
      <c r="D621">
        <f>SUM(B621:C621)</f>
        <v>0.17182105306155518</v>
      </c>
      <c r="E621" s="2" t="str">
        <f>IF(D621&gt;$H$6/10*9,"1",IF(D621&gt;$H$6/10*8,"2",IF(D621&gt;$H$6/10*7,"3",IF(D621&gt;$H$6/10*6,"4",IF(D621&gt;$H$6/10*5,"5",IF(D621&gt;$H$6/10*4,"6",IF(D621&gt;$H$6/10*3,"7",IF(D621&gt;$H$6/10*2,"8",IF(D621&gt;$H$6/10,"9","10")))))))))</f>
        <v>9</v>
      </c>
    </row>
    <row r="622" spans="1:5" x14ac:dyDescent="0.55000000000000004">
      <c r="A622">
        <v>1093</v>
      </c>
      <c r="B622">
        <f>estuary_data!Y540*weights!$C$9</f>
        <v>4.2245987784655159E-2</v>
      </c>
      <c r="C622">
        <f>estuary_data!X540*weights!$C$10</f>
        <v>0.12131030181702934</v>
      </c>
      <c r="D622">
        <f>SUM(B622:C622)</f>
        <v>0.1635562896016845</v>
      </c>
      <c r="E622" s="2" t="str">
        <f>IF(D622&gt;$H$6/10*9,"1",IF(D622&gt;$H$6/10*8,"2",IF(D622&gt;$H$6/10*7,"3",IF(D622&gt;$H$6/10*6,"4",IF(D622&gt;$H$6/10*5,"5",IF(D622&gt;$H$6/10*4,"6",IF(D622&gt;$H$6/10*3,"7",IF(D622&gt;$H$6/10*2,"8",IF(D622&gt;$H$6/10,"9","10")))))))))</f>
        <v>9</v>
      </c>
    </row>
    <row r="623" spans="1:5" x14ac:dyDescent="0.55000000000000004">
      <c r="A623">
        <v>1094</v>
      </c>
      <c r="B623">
        <f>estuary_data!Y541*weights!$C$9</f>
        <v>4.1678584541427838E-2</v>
      </c>
      <c r="C623">
        <f>estuary_data!X541*weights!$C$10</f>
        <v>0.14694354567642301</v>
      </c>
      <c r="D623">
        <f>SUM(B623:C623)</f>
        <v>0.18862213021785085</v>
      </c>
      <c r="E623" s="2" t="str">
        <f>IF(D623&gt;$H$6/10*9,"1",IF(D623&gt;$H$6/10*8,"2",IF(D623&gt;$H$6/10*7,"3",IF(D623&gt;$H$6/10*6,"4",IF(D623&gt;$H$6/10*5,"5",IF(D623&gt;$H$6/10*4,"6",IF(D623&gt;$H$6/10*3,"7",IF(D623&gt;$H$6/10*2,"8",IF(D623&gt;$H$6/10,"9","10")))))))))</f>
        <v>9</v>
      </c>
    </row>
    <row r="624" spans="1:5" x14ac:dyDescent="0.55000000000000004">
      <c r="A624">
        <v>1096</v>
      </c>
      <c r="B624">
        <f>estuary_data!Y543*weights!$C$9</f>
        <v>3.6372019734112693E-2</v>
      </c>
      <c r="C624">
        <f>estuary_data!X543*weights!$C$10</f>
        <v>0.11950753077266048</v>
      </c>
      <c r="D624">
        <f>SUM(B624:C624)</f>
        <v>0.15587955050677316</v>
      </c>
      <c r="E624" s="2" t="str">
        <f>IF(D624&gt;$H$6/10*9,"1",IF(D624&gt;$H$6/10*8,"2",IF(D624&gt;$H$6/10*7,"3",IF(D624&gt;$H$6/10*6,"4",IF(D624&gt;$H$6/10*5,"5",IF(D624&gt;$H$6/10*4,"6",IF(D624&gt;$H$6/10*3,"7",IF(D624&gt;$H$6/10*2,"8",IF(D624&gt;$H$6/10,"9","10")))))))))</f>
        <v>9</v>
      </c>
    </row>
    <row r="625" spans="1:5" x14ac:dyDescent="0.55000000000000004">
      <c r="A625">
        <v>1097</v>
      </c>
      <c r="B625">
        <f>estuary_data!Y544*weights!$C$9</f>
        <v>4.6947177683931217E-2</v>
      </c>
      <c r="C625">
        <f>estuary_data!X544*weights!$C$10</f>
        <v>0.12514989083231062</v>
      </c>
      <c r="D625">
        <f>SUM(B625:C625)</f>
        <v>0.17209706851624185</v>
      </c>
      <c r="E625" s="2" t="str">
        <f>IF(D625&gt;$H$6/10*9,"1",IF(D625&gt;$H$6/10*8,"2",IF(D625&gt;$H$6/10*7,"3",IF(D625&gt;$H$6/10*6,"4",IF(D625&gt;$H$6/10*5,"5",IF(D625&gt;$H$6/10*4,"6",IF(D625&gt;$H$6/10*3,"7",IF(D625&gt;$H$6/10*2,"8",IF(D625&gt;$H$6/10,"9","10")))))))))</f>
        <v>9</v>
      </c>
    </row>
    <row r="626" spans="1:5" x14ac:dyDescent="0.55000000000000004">
      <c r="A626">
        <v>1098</v>
      </c>
      <c r="B626">
        <f>estuary_data!Y545*weights!$C$9</f>
        <v>3.3887492032939275E-2</v>
      </c>
      <c r="C626">
        <f>estuary_data!X545*weights!$C$10</f>
        <v>0.12335083655731804</v>
      </c>
      <c r="D626">
        <f>SUM(B626:C626)</f>
        <v>0.15723832859025733</v>
      </c>
      <c r="E626" s="2" t="str">
        <f>IF(D626&gt;$H$6/10*9,"1",IF(D626&gt;$H$6/10*8,"2",IF(D626&gt;$H$6/10*7,"3",IF(D626&gt;$H$6/10*6,"4",IF(D626&gt;$H$6/10*5,"5",IF(D626&gt;$H$6/10*4,"6",IF(D626&gt;$H$6/10*3,"7",IF(D626&gt;$H$6/10*2,"8",IF(D626&gt;$H$6/10,"9","10")))))))))</f>
        <v>9</v>
      </c>
    </row>
    <row r="627" spans="1:5" x14ac:dyDescent="0.55000000000000004">
      <c r="A627">
        <v>1099</v>
      </c>
      <c r="B627">
        <f>estuary_data!Y546*weights!$C$9</f>
        <v>4.3200510787383031E-2</v>
      </c>
      <c r="C627">
        <f>estuary_data!X546*weights!$C$10</f>
        <v>0.12661895423839833</v>
      </c>
      <c r="D627">
        <f>SUM(B627:C627)</f>
        <v>0.16981946502578138</v>
      </c>
      <c r="E627" s="2" t="str">
        <f>IF(D627&gt;$H$6/10*9,"1",IF(D627&gt;$H$6/10*8,"2",IF(D627&gt;$H$6/10*7,"3",IF(D627&gt;$H$6/10*6,"4",IF(D627&gt;$H$6/10*5,"5",IF(D627&gt;$H$6/10*4,"6",IF(D627&gt;$H$6/10*3,"7",IF(D627&gt;$H$6/10*2,"8",IF(D627&gt;$H$6/10,"9","10")))))))))</f>
        <v>9</v>
      </c>
    </row>
    <row r="628" spans="1:5" x14ac:dyDescent="0.55000000000000004">
      <c r="A628">
        <v>1100</v>
      </c>
      <c r="B628">
        <f>estuary_data!Y547*weights!$C$9</f>
        <v>3.7202563915497137E-2</v>
      </c>
      <c r="C628">
        <f>estuary_data!X547*weights!$C$10</f>
        <v>0.1432147921673535</v>
      </c>
      <c r="D628">
        <f>SUM(B628:C628)</f>
        <v>0.18041735608285064</v>
      </c>
      <c r="E628" s="2" t="str">
        <f>IF(D628&gt;$H$6/10*9,"1",IF(D628&gt;$H$6/10*8,"2",IF(D628&gt;$H$6/10*7,"3",IF(D628&gt;$H$6/10*6,"4",IF(D628&gt;$H$6/10*5,"5",IF(D628&gt;$H$6/10*4,"6",IF(D628&gt;$H$6/10*3,"7",IF(D628&gt;$H$6/10*2,"8",IF(D628&gt;$H$6/10,"9","10")))))))))</f>
        <v>9</v>
      </c>
    </row>
    <row r="629" spans="1:5" x14ac:dyDescent="0.55000000000000004">
      <c r="A629">
        <v>1101</v>
      </c>
      <c r="B629">
        <f>estuary_data!Y548*weights!$C$9</f>
        <v>3.4808382100496138E-2</v>
      </c>
      <c r="C629">
        <f>estuary_data!X548*weights!$C$10</f>
        <v>0.12461243876344649</v>
      </c>
      <c r="D629">
        <f>SUM(B629:C629)</f>
        <v>0.15942082086394263</v>
      </c>
      <c r="E629" s="2" t="str">
        <f>IF(D629&gt;$H$6/10*9,"1",IF(D629&gt;$H$6/10*8,"2",IF(D629&gt;$H$6/10*7,"3",IF(D629&gt;$H$6/10*6,"4",IF(D629&gt;$H$6/10*5,"5",IF(D629&gt;$H$6/10*4,"6",IF(D629&gt;$H$6/10*3,"7",IF(D629&gt;$H$6/10*2,"8",IF(D629&gt;$H$6/10,"9","10")))))))))</f>
        <v>9</v>
      </c>
    </row>
    <row r="630" spans="1:5" x14ac:dyDescent="0.55000000000000004">
      <c r="A630">
        <v>1103</v>
      </c>
      <c r="B630">
        <f>estuary_data!Y550*weights!$C$9</f>
        <v>3.8634216057765874E-2</v>
      </c>
      <c r="C630">
        <f>estuary_data!X550*weights!$C$10</f>
        <v>0.11011332529212144</v>
      </c>
      <c r="D630">
        <f>SUM(B630:C630)</f>
        <v>0.14874754134988732</v>
      </c>
      <c r="E630" s="2" t="str">
        <f>IF(D630&gt;$H$6/10*9,"1",IF(D630&gt;$H$6/10*8,"2",IF(D630&gt;$H$6/10*7,"3",IF(D630&gt;$H$6/10*6,"4",IF(D630&gt;$H$6/10*5,"5",IF(D630&gt;$H$6/10*4,"6",IF(D630&gt;$H$6/10*3,"7",IF(D630&gt;$H$6/10*2,"8",IF(D630&gt;$H$6/10,"9","10")))))))))</f>
        <v>9</v>
      </c>
    </row>
    <row r="631" spans="1:5" x14ac:dyDescent="0.55000000000000004">
      <c r="A631">
        <v>1104</v>
      </c>
      <c r="B631">
        <f>estuary_data!Y551*weights!$C$9</f>
        <v>3.7412751820575116E-2</v>
      </c>
      <c r="C631">
        <f>estuary_data!X551*weights!$C$10</f>
        <v>0.1315979611771988</v>
      </c>
      <c r="D631">
        <f>SUM(B631:C631)</f>
        <v>0.16901071299777393</v>
      </c>
      <c r="E631" s="2" t="str">
        <f>IF(D631&gt;$H$6/10*9,"1",IF(D631&gt;$H$6/10*8,"2",IF(D631&gt;$H$6/10*7,"3",IF(D631&gt;$H$6/10*6,"4",IF(D631&gt;$H$6/10*5,"5",IF(D631&gt;$H$6/10*4,"6",IF(D631&gt;$H$6/10*3,"7",IF(D631&gt;$H$6/10*2,"8",IF(D631&gt;$H$6/10,"9","10")))))))))</f>
        <v>9</v>
      </c>
    </row>
    <row r="632" spans="1:5" x14ac:dyDescent="0.55000000000000004">
      <c r="A632">
        <v>1105</v>
      </c>
      <c r="B632">
        <f>estuary_data!Y552*weights!$C$9</f>
        <v>4.3425617240761563E-2</v>
      </c>
      <c r="C632">
        <f>estuary_data!X552*weights!$C$10</f>
        <v>0.11946863356970576</v>
      </c>
      <c r="D632">
        <f>SUM(B632:C632)</f>
        <v>0.16289425081046732</v>
      </c>
      <c r="E632" s="2" t="str">
        <f>IF(D632&gt;$H$6/10*9,"1",IF(D632&gt;$H$6/10*8,"2",IF(D632&gt;$H$6/10*7,"3",IF(D632&gt;$H$6/10*6,"4",IF(D632&gt;$H$6/10*5,"5",IF(D632&gt;$H$6/10*4,"6",IF(D632&gt;$H$6/10*3,"7",IF(D632&gt;$H$6/10*2,"8",IF(D632&gt;$H$6/10,"9","10")))))))))</f>
        <v>9</v>
      </c>
    </row>
    <row r="633" spans="1:5" x14ac:dyDescent="0.55000000000000004">
      <c r="A633">
        <v>1106</v>
      </c>
      <c r="B633">
        <f>estuary_data!Y553*weights!$C$9</f>
        <v>3.4913568024712877E-2</v>
      </c>
      <c r="C633">
        <f>estuary_data!X553*weights!$C$10</f>
        <v>0.12377122070086469</v>
      </c>
      <c r="D633">
        <f>SUM(B633:C633)</f>
        <v>0.15868478872557756</v>
      </c>
      <c r="E633" s="2" t="str">
        <f>IF(D633&gt;$H$6/10*9,"1",IF(D633&gt;$H$6/10*8,"2",IF(D633&gt;$H$6/10*7,"3",IF(D633&gt;$H$6/10*6,"4",IF(D633&gt;$H$6/10*5,"5",IF(D633&gt;$H$6/10*4,"6",IF(D633&gt;$H$6/10*3,"7",IF(D633&gt;$H$6/10*2,"8",IF(D633&gt;$H$6/10,"9","10")))))))))</f>
        <v>9</v>
      </c>
    </row>
    <row r="634" spans="1:5" x14ac:dyDescent="0.55000000000000004">
      <c r="A634">
        <v>1107</v>
      </c>
      <c r="B634">
        <f>estuary_data!Y554*weights!$C$9</f>
        <v>3.84717540846422E-2</v>
      </c>
      <c r="C634">
        <f>estuary_data!X554*weights!$C$10</f>
        <v>0.11601317215398023</v>
      </c>
      <c r="D634">
        <f>SUM(B634:C634)</f>
        <v>0.15448492623862242</v>
      </c>
      <c r="E634" s="2" t="str">
        <f>IF(D634&gt;$H$6/10*9,"1",IF(D634&gt;$H$6/10*8,"2",IF(D634&gt;$H$6/10*7,"3",IF(D634&gt;$H$6/10*6,"4",IF(D634&gt;$H$6/10*5,"5",IF(D634&gt;$H$6/10*4,"6",IF(D634&gt;$H$6/10*3,"7",IF(D634&gt;$H$6/10*2,"8",IF(D634&gt;$H$6/10,"9","10")))))))))</f>
        <v>9</v>
      </c>
    </row>
    <row r="635" spans="1:5" x14ac:dyDescent="0.55000000000000004">
      <c r="A635">
        <v>1108</v>
      </c>
      <c r="B635">
        <f>estuary_data!Y555*weights!$C$9</f>
        <v>3.9824362547850642E-2</v>
      </c>
      <c r="C635">
        <f>estuary_data!X555*weights!$C$10</f>
        <v>0.13404251802774508</v>
      </c>
      <c r="D635">
        <f>SUM(B635:C635)</f>
        <v>0.17386688057559574</v>
      </c>
      <c r="E635" s="2" t="str">
        <f>IF(D635&gt;$H$6/10*9,"1",IF(D635&gt;$H$6/10*8,"2",IF(D635&gt;$H$6/10*7,"3",IF(D635&gt;$H$6/10*6,"4",IF(D635&gt;$H$6/10*5,"5",IF(D635&gt;$H$6/10*4,"6",IF(D635&gt;$H$6/10*3,"7",IF(D635&gt;$H$6/10*2,"8",IF(D635&gt;$H$6/10,"9","10")))))))))</f>
        <v>9</v>
      </c>
    </row>
    <row r="636" spans="1:5" x14ac:dyDescent="0.55000000000000004">
      <c r="A636">
        <v>1109</v>
      </c>
      <c r="B636">
        <f>estuary_data!Y556*weights!$C$9</f>
        <v>3.7200378848625489E-2</v>
      </c>
      <c r="C636">
        <f>estuary_data!X556*weights!$C$10</f>
        <v>0.13178682177646125</v>
      </c>
      <c r="D636">
        <f>SUM(B636:C636)</f>
        <v>0.16898720062508674</v>
      </c>
      <c r="E636" s="2" t="str">
        <f>IF(D636&gt;$H$6/10*9,"1",IF(D636&gt;$H$6/10*8,"2",IF(D636&gt;$H$6/10*7,"3",IF(D636&gt;$H$6/10*6,"4",IF(D636&gt;$H$6/10*5,"5",IF(D636&gt;$H$6/10*4,"6",IF(D636&gt;$H$6/10*3,"7",IF(D636&gt;$H$6/10*2,"8",IF(D636&gt;$H$6/10,"9","10")))))))))</f>
        <v>9</v>
      </c>
    </row>
    <row r="637" spans="1:5" x14ac:dyDescent="0.55000000000000004">
      <c r="A637">
        <v>1112</v>
      </c>
      <c r="B637">
        <f>estuary_data!Y559*weights!$C$9</f>
        <v>3.7446501409636922E-2</v>
      </c>
      <c r="C637">
        <f>estuary_data!X559*weights!$C$10</f>
        <v>0.12804080410561447</v>
      </c>
      <c r="D637">
        <f>SUM(B637:C637)</f>
        <v>0.1654873055152514</v>
      </c>
      <c r="E637" s="2" t="str">
        <f>IF(D637&gt;$H$6/10*9,"1",IF(D637&gt;$H$6/10*8,"2",IF(D637&gt;$H$6/10*7,"3",IF(D637&gt;$H$6/10*6,"4",IF(D637&gt;$H$6/10*5,"5",IF(D637&gt;$H$6/10*4,"6",IF(D637&gt;$H$6/10*3,"7",IF(D637&gt;$H$6/10*2,"8",IF(D637&gt;$H$6/10,"9","10")))))))))</f>
        <v>9</v>
      </c>
    </row>
    <row r="638" spans="1:5" x14ac:dyDescent="0.55000000000000004">
      <c r="A638">
        <v>1114</v>
      </c>
      <c r="B638">
        <f>estuary_data!Y561*weights!$C$9</f>
        <v>3.2331450510674625E-2</v>
      </c>
      <c r="C638">
        <f>estuary_data!X561*weights!$C$10</f>
        <v>0.122663623426678</v>
      </c>
      <c r="D638">
        <f>SUM(B638:C638)</f>
        <v>0.15499507393735262</v>
      </c>
      <c r="E638" s="2" t="str">
        <f>IF(D638&gt;$H$6/10*9,"1",IF(D638&gt;$H$6/10*8,"2",IF(D638&gt;$H$6/10*7,"3",IF(D638&gt;$H$6/10*6,"4",IF(D638&gt;$H$6/10*5,"5",IF(D638&gt;$H$6/10*4,"6",IF(D638&gt;$H$6/10*3,"7",IF(D638&gt;$H$6/10*2,"8",IF(D638&gt;$H$6/10,"9","10")))))))))</f>
        <v>9</v>
      </c>
    </row>
    <row r="639" spans="1:5" x14ac:dyDescent="0.55000000000000004">
      <c r="A639">
        <v>1115</v>
      </c>
      <c r="B639">
        <f>estuary_data!Y562*weights!$C$9</f>
        <v>3.0694577333828136E-2</v>
      </c>
      <c r="C639">
        <f>estuary_data!X562*weights!$C$10</f>
        <v>0.11406106147071547</v>
      </c>
      <c r="D639">
        <f>SUM(B639:C639)</f>
        <v>0.14475563880454362</v>
      </c>
      <c r="E639" s="2" t="str">
        <f>IF(D639&gt;$H$6/10*9,"1",IF(D639&gt;$H$6/10*8,"2",IF(D639&gt;$H$6/10*7,"3",IF(D639&gt;$H$6/10*6,"4",IF(D639&gt;$H$6/10*5,"5",IF(D639&gt;$H$6/10*4,"6",IF(D639&gt;$H$6/10*3,"7",IF(D639&gt;$H$6/10*2,"8",IF(D639&gt;$H$6/10,"9","10")))))))))</f>
        <v>9</v>
      </c>
    </row>
    <row r="640" spans="1:5" x14ac:dyDescent="0.55000000000000004">
      <c r="A640">
        <v>1116</v>
      </c>
      <c r="B640">
        <f>estuary_data!Y563*weights!$C$9</f>
        <v>2.2462862413918559E-2</v>
      </c>
      <c r="C640">
        <f>estuary_data!X563*weights!$C$10</f>
        <v>9.416718483619603E-2</v>
      </c>
      <c r="D640">
        <f>SUM(B640:C640)</f>
        <v>0.11663004725011458</v>
      </c>
      <c r="E640" s="2" t="str">
        <f>IF(D640&gt;$H$6/10*9,"1",IF(D640&gt;$H$6/10*8,"2",IF(D640&gt;$H$6/10*7,"3",IF(D640&gt;$H$6/10*6,"4",IF(D640&gt;$H$6/10*5,"5",IF(D640&gt;$H$6/10*4,"6",IF(D640&gt;$H$6/10*3,"7",IF(D640&gt;$H$6/10*2,"8",IF(D640&gt;$H$6/10,"9","10")))))))))</f>
        <v>9</v>
      </c>
    </row>
    <row r="641" spans="1:5" x14ac:dyDescent="0.55000000000000004">
      <c r="A641">
        <v>1117</v>
      </c>
      <c r="B641">
        <f>estuary_data!Y564*weights!$C$9</f>
        <v>3.4212777173412652E-2</v>
      </c>
      <c r="C641">
        <f>estuary_data!X564*weights!$C$10</f>
        <v>0.11946987206324658</v>
      </c>
      <c r="D641">
        <f>SUM(B641:C641)</f>
        <v>0.15368264923665922</v>
      </c>
      <c r="E641" s="2" t="str">
        <f>IF(D641&gt;$H$6/10*9,"1",IF(D641&gt;$H$6/10*8,"2",IF(D641&gt;$H$6/10*7,"3",IF(D641&gt;$H$6/10*6,"4",IF(D641&gt;$H$6/10*5,"5",IF(D641&gt;$H$6/10*4,"6",IF(D641&gt;$H$6/10*3,"7",IF(D641&gt;$H$6/10*2,"8",IF(D641&gt;$H$6/10,"9","10")))))))))</f>
        <v>9</v>
      </c>
    </row>
    <row r="642" spans="1:5" x14ac:dyDescent="0.55000000000000004">
      <c r="A642">
        <v>1118</v>
      </c>
      <c r="B642">
        <f>estuary_data!Y565*weights!$C$9</f>
        <v>4.8186028208502325E-2</v>
      </c>
      <c r="C642">
        <f>estuary_data!X565*weights!$C$10</f>
        <v>0.14555609912352974</v>
      </c>
      <c r="D642">
        <f>SUM(B642:C642)</f>
        <v>0.19374212733203205</v>
      </c>
      <c r="E642" s="2" t="str">
        <f>IF(D642&gt;$H$6/10*9,"1",IF(D642&gt;$H$6/10*8,"2",IF(D642&gt;$H$6/10*7,"3",IF(D642&gt;$H$6/10*6,"4",IF(D642&gt;$H$6/10*5,"5",IF(D642&gt;$H$6/10*4,"6",IF(D642&gt;$H$6/10*3,"7",IF(D642&gt;$H$6/10*2,"8",IF(D642&gt;$H$6/10,"9","10")))))))))</f>
        <v>9</v>
      </c>
    </row>
    <row r="643" spans="1:5" x14ac:dyDescent="0.55000000000000004">
      <c r="A643">
        <v>1119</v>
      </c>
      <c r="B643">
        <f>estuary_data!Y566*weights!$C$9</f>
        <v>3.0624807839044355E-2</v>
      </c>
      <c r="C643">
        <f>estuary_data!X566*weights!$C$10</f>
        <v>9.7571008417186481E-2</v>
      </c>
      <c r="D643">
        <f>SUM(B643:C643)</f>
        <v>0.12819581625623083</v>
      </c>
      <c r="E643" s="2" t="str">
        <f>IF(D643&gt;$H$6/10*9,"1",IF(D643&gt;$H$6/10*8,"2",IF(D643&gt;$H$6/10*7,"3",IF(D643&gt;$H$6/10*6,"4",IF(D643&gt;$H$6/10*5,"5",IF(D643&gt;$H$6/10*4,"6",IF(D643&gt;$H$6/10*3,"7",IF(D643&gt;$H$6/10*2,"8",IF(D643&gt;$H$6/10,"9","10")))))))))</f>
        <v>9</v>
      </c>
    </row>
    <row r="644" spans="1:5" x14ac:dyDescent="0.55000000000000004">
      <c r="A644">
        <v>1120</v>
      </c>
      <c r="B644">
        <f>estuary_data!Y567*weights!$C$9</f>
        <v>4.1494505230893083E-2</v>
      </c>
      <c r="C644">
        <f>estuary_data!X567*weights!$C$10</f>
        <v>0.11002836798600679</v>
      </c>
      <c r="D644">
        <f>SUM(B644:C644)</f>
        <v>0.15152287321689989</v>
      </c>
      <c r="E644" s="2" t="str">
        <f>IF(D644&gt;$H$6/10*9,"1",IF(D644&gt;$H$6/10*8,"2",IF(D644&gt;$H$6/10*7,"3",IF(D644&gt;$H$6/10*6,"4",IF(D644&gt;$H$6/10*5,"5",IF(D644&gt;$H$6/10*4,"6",IF(D644&gt;$H$6/10*3,"7",IF(D644&gt;$H$6/10*2,"8",IF(D644&gt;$H$6/10,"9","10")))))))))</f>
        <v>9</v>
      </c>
    </row>
    <row r="645" spans="1:5" x14ac:dyDescent="0.55000000000000004">
      <c r="A645">
        <v>1121</v>
      </c>
      <c r="B645">
        <f>estuary_data!Y568*weights!$C$9</f>
        <v>3.1764390513111522E-2</v>
      </c>
      <c r="C645">
        <f>estuary_data!X568*weights!$C$10</f>
        <v>9.4001532136700899E-2</v>
      </c>
      <c r="D645">
        <f>SUM(B645:C645)</f>
        <v>0.12576592264981243</v>
      </c>
      <c r="E645" s="2" t="str">
        <f>IF(D645&gt;$H$6/10*9,"1",IF(D645&gt;$H$6/10*8,"2",IF(D645&gt;$H$6/10*7,"3",IF(D645&gt;$H$6/10*6,"4",IF(D645&gt;$H$6/10*5,"5",IF(D645&gt;$H$6/10*4,"6",IF(D645&gt;$H$6/10*3,"7",IF(D645&gt;$H$6/10*2,"8",IF(D645&gt;$H$6/10,"9","10")))))))))</f>
        <v>9</v>
      </c>
    </row>
    <row r="646" spans="1:5" x14ac:dyDescent="0.55000000000000004">
      <c r="A646">
        <v>1122</v>
      </c>
      <c r="B646">
        <f>estuary_data!Y569*weights!$C$9</f>
        <v>4.8186028208502325E-2</v>
      </c>
      <c r="C646">
        <f>estuary_data!X569*weights!$C$10</f>
        <v>0.14555609912352974</v>
      </c>
      <c r="D646">
        <f>SUM(B646:C646)</f>
        <v>0.19374212733203205</v>
      </c>
      <c r="E646" s="2" t="str">
        <f>IF(D646&gt;$H$6/10*9,"1",IF(D646&gt;$H$6/10*8,"2",IF(D646&gt;$H$6/10*7,"3",IF(D646&gt;$H$6/10*6,"4",IF(D646&gt;$H$6/10*5,"5",IF(D646&gt;$H$6/10*4,"6",IF(D646&gt;$H$6/10*3,"7",IF(D646&gt;$H$6/10*2,"8",IF(D646&gt;$H$6/10,"9","10")))))))))</f>
        <v>9</v>
      </c>
    </row>
    <row r="647" spans="1:5" x14ac:dyDescent="0.55000000000000004">
      <c r="A647">
        <v>1123</v>
      </c>
      <c r="B647">
        <f>estuary_data!Y570*weights!$C$9</f>
        <v>4.4273673337698112E-2</v>
      </c>
      <c r="C647">
        <f>estuary_data!X570*weights!$C$10</f>
        <v>0.11101546022532986</v>
      </c>
      <c r="D647">
        <f>SUM(B647:C647)</f>
        <v>0.15528913356302798</v>
      </c>
      <c r="E647" s="2" t="str">
        <f>IF(D647&gt;$H$6/10*9,"1",IF(D647&gt;$H$6/10*8,"2",IF(D647&gt;$H$6/10*7,"3",IF(D647&gt;$H$6/10*6,"4",IF(D647&gt;$H$6/10*5,"5",IF(D647&gt;$H$6/10*4,"6",IF(D647&gt;$H$6/10*3,"7",IF(D647&gt;$H$6/10*2,"8",IF(D647&gt;$H$6/10,"9","10")))))))))</f>
        <v>9</v>
      </c>
    </row>
    <row r="648" spans="1:5" x14ac:dyDescent="0.55000000000000004">
      <c r="A648">
        <v>1124</v>
      </c>
      <c r="B648">
        <f>estuary_data!Y571*weights!$C$9</f>
        <v>3.7760033417724201E-2</v>
      </c>
      <c r="C648">
        <f>estuary_data!X571*weights!$C$10</f>
        <v>9.5140854692350701E-2</v>
      </c>
      <c r="D648">
        <f>SUM(B648:C648)</f>
        <v>0.13290088811007489</v>
      </c>
      <c r="E648" s="2" t="str">
        <f>IF(D648&gt;$H$6/10*9,"1",IF(D648&gt;$H$6/10*8,"2",IF(D648&gt;$H$6/10*7,"3",IF(D648&gt;$H$6/10*6,"4",IF(D648&gt;$H$6/10*5,"5",IF(D648&gt;$H$6/10*4,"6",IF(D648&gt;$H$6/10*3,"7",IF(D648&gt;$H$6/10*2,"8",IF(D648&gt;$H$6/10,"9","10")))))))))</f>
        <v>9</v>
      </c>
    </row>
    <row r="649" spans="1:5" x14ac:dyDescent="0.55000000000000004">
      <c r="A649">
        <v>1125</v>
      </c>
      <c r="B649">
        <f>estuary_data!Y572*weights!$C$9</f>
        <v>4.4391038643242918E-2</v>
      </c>
      <c r="C649">
        <f>estuary_data!X572*weights!$C$10</f>
        <v>0.1323821247678432</v>
      </c>
      <c r="D649">
        <f>SUM(B649:C649)</f>
        <v>0.17677316341108612</v>
      </c>
      <c r="E649" s="2" t="str">
        <f>IF(D649&gt;$H$6/10*9,"1",IF(D649&gt;$H$6/10*8,"2",IF(D649&gt;$H$6/10*7,"3",IF(D649&gt;$H$6/10*6,"4",IF(D649&gt;$H$6/10*5,"5",IF(D649&gt;$H$6/10*4,"6",IF(D649&gt;$H$6/10*3,"7",IF(D649&gt;$H$6/10*2,"8",IF(D649&gt;$H$6/10,"9","10")))))))))</f>
        <v>9</v>
      </c>
    </row>
    <row r="650" spans="1:5" x14ac:dyDescent="0.55000000000000004">
      <c r="A650">
        <v>1126</v>
      </c>
      <c r="B650">
        <f>estuary_data!Y573*weights!$C$9</f>
        <v>3.9043994077176465E-2</v>
      </c>
      <c r="C650">
        <f>estuary_data!X573*weights!$C$10</f>
        <v>9.980513735379723E-2</v>
      </c>
      <c r="D650">
        <f>SUM(B650:C650)</f>
        <v>0.13884913143097369</v>
      </c>
      <c r="E650" s="2" t="str">
        <f>IF(D650&gt;$H$6/10*9,"1",IF(D650&gt;$H$6/10*8,"2",IF(D650&gt;$H$6/10*7,"3",IF(D650&gt;$H$6/10*6,"4",IF(D650&gt;$H$6/10*5,"5",IF(D650&gt;$H$6/10*4,"6",IF(D650&gt;$H$6/10*3,"7",IF(D650&gt;$H$6/10*2,"8",IF(D650&gt;$H$6/10,"9","10")))))))))</f>
        <v>9</v>
      </c>
    </row>
    <row r="651" spans="1:5" x14ac:dyDescent="0.55000000000000004">
      <c r="A651">
        <v>1127</v>
      </c>
      <c r="B651">
        <f>estuary_data!Y574*weights!$C$9</f>
        <v>3.716972064648124E-2</v>
      </c>
      <c r="C651">
        <f>estuary_data!X574*weights!$C$10</f>
        <v>0.12155422060675751</v>
      </c>
      <c r="D651">
        <f>SUM(B651:C651)</f>
        <v>0.15872394125323874</v>
      </c>
      <c r="E651" s="2" t="str">
        <f>IF(D651&gt;$H$6/10*9,"1",IF(D651&gt;$H$6/10*8,"2",IF(D651&gt;$H$6/10*7,"3",IF(D651&gt;$H$6/10*6,"4",IF(D651&gt;$H$6/10*5,"5",IF(D651&gt;$H$6/10*4,"6",IF(D651&gt;$H$6/10*3,"7",IF(D651&gt;$H$6/10*2,"8",IF(D651&gt;$H$6/10,"9","10")))))))))</f>
        <v>9</v>
      </c>
    </row>
    <row r="652" spans="1:5" x14ac:dyDescent="0.55000000000000004">
      <c r="A652">
        <v>1128</v>
      </c>
      <c r="B652">
        <f>estuary_data!Y575*weights!$C$9</f>
        <v>2.6976394793344086E-2</v>
      </c>
      <c r="C652">
        <f>estuary_data!X575*weights!$C$10</f>
        <v>9.492339790872803E-2</v>
      </c>
      <c r="D652">
        <f>SUM(B652:C652)</f>
        <v>0.12189979270207212</v>
      </c>
      <c r="E652" s="2" t="str">
        <f>IF(D652&gt;$H$6/10*9,"1",IF(D652&gt;$H$6/10*8,"2",IF(D652&gt;$H$6/10*7,"3",IF(D652&gt;$H$6/10*6,"4",IF(D652&gt;$H$6/10*5,"5",IF(D652&gt;$H$6/10*4,"6",IF(D652&gt;$H$6/10*3,"7",IF(D652&gt;$H$6/10*2,"8",IF(D652&gt;$H$6/10,"9","10")))))))))</f>
        <v>9</v>
      </c>
    </row>
    <row r="653" spans="1:5" x14ac:dyDescent="0.55000000000000004">
      <c r="A653">
        <v>1129</v>
      </c>
      <c r="B653">
        <f>estuary_data!Y576*weights!$C$9</f>
        <v>4.0370825970714189E-2</v>
      </c>
      <c r="C653">
        <f>estuary_data!X576*weights!$C$10</f>
        <v>0.11970114558906289</v>
      </c>
      <c r="D653">
        <f>SUM(B653:C653)</f>
        <v>0.16007197155977709</v>
      </c>
      <c r="E653" s="2" t="str">
        <f>IF(D653&gt;$H$6/10*9,"1",IF(D653&gt;$H$6/10*8,"2",IF(D653&gt;$H$6/10*7,"3",IF(D653&gt;$H$6/10*6,"4",IF(D653&gt;$H$6/10*5,"5",IF(D653&gt;$H$6/10*4,"6",IF(D653&gt;$H$6/10*3,"7",IF(D653&gt;$H$6/10*2,"8",IF(D653&gt;$H$6/10,"9","10")))))))))</f>
        <v>9</v>
      </c>
    </row>
    <row r="654" spans="1:5" x14ac:dyDescent="0.55000000000000004">
      <c r="A654">
        <v>1130</v>
      </c>
      <c r="B654">
        <f>estuary_data!Y577*weights!$C$9</f>
        <v>3.8894157917633586E-2</v>
      </c>
      <c r="C654">
        <f>estuary_data!X577*weights!$C$10</f>
        <v>0.12277562010113134</v>
      </c>
      <c r="D654">
        <f>SUM(B654:C654)</f>
        <v>0.16166977801876492</v>
      </c>
      <c r="E654" s="2" t="str">
        <f>IF(D654&gt;$H$6/10*9,"1",IF(D654&gt;$H$6/10*8,"2",IF(D654&gt;$H$6/10*7,"3",IF(D654&gt;$H$6/10*6,"4",IF(D654&gt;$H$6/10*5,"5",IF(D654&gt;$H$6/10*4,"6",IF(D654&gt;$H$6/10*3,"7",IF(D654&gt;$H$6/10*2,"8",IF(D654&gt;$H$6/10,"9","10")))))))))</f>
        <v>9</v>
      </c>
    </row>
    <row r="655" spans="1:5" x14ac:dyDescent="0.55000000000000004">
      <c r="A655">
        <v>1131</v>
      </c>
      <c r="B655">
        <f>estuary_data!Y578*weights!$C$9</f>
        <v>2.6414440749993596E-2</v>
      </c>
      <c r="C655">
        <f>estuary_data!X578*weights!$C$10</f>
        <v>0.10781200195935163</v>
      </c>
      <c r="D655">
        <f>SUM(B655:C655)</f>
        <v>0.13422644270934522</v>
      </c>
      <c r="E655" s="2" t="str">
        <f>IF(D655&gt;$H$6/10*9,"1",IF(D655&gt;$H$6/10*8,"2",IF(D655&gt;$H$6/10*7,"3",IF(D655&gt;$H$6/10*6,"4",IF(D655&gt;$H$6/10*5,"5",IF(D655&gt;$H$6/10*4,"6",IF(D655&gt;$H$6/10*3,"7",IF(D655&gt;$H$6/10*2,"8",IF(D655&gt;$H$6/10,"9","10")))))))))</f>
        <v>9</v>
      </c>
    </row>
    <row r="656" spans="1:5" x14ac:dyDescent="0.55000000000000004">
      <c r="A656">
        <v>1132</v>
      </c>
      <c r="B656">
        <f>estuary_data!Y579*weights!$C$9</f>
        <v>3.6031291079306055E-2</v>
      </c>
      <c r="C656">
        <f>estuary_data!X579*weights!$C$10</f>
        <v>0.11789596457287234</v>
      </c>
      <c r="D656">
        <f>SUM(B656:C656)</f>
        <v>0.15392725565217841</v>
      </c>
      <c r="E656" s="2" t="str">
        <f>IF(D656&gt;$H$6/10*9,"1",IF(D656&gt;$H$6/10*8,"2",IF(D656&gt;$H$6/10*7,"3",IF(D656&gt;$H$6/10*6,"4",IF(D656&gt;$H$6/10*5,"5",IF(D656&gt;$H$6/10*4,"6",IF(D656&gt;$H$6/10*3,"7",IF(D656&gt;$H$6/10*2,"8",IF(D656&gt;$H$6/10,"9","10")))))))))</f>
        <v>9</v>
      </c>
    </row>
    <row r="657" spans="1:5" x14ac:dyDescent="0.55000000000000004">
      <c r="A657">
        <v>1133</v>
      </c>
      <c r="B657">
        <f>estuary_data!Y580*weights!$C$9</f>
        <v>3.7983340674789472E-2</v>
      </c>
      <c r="C657">
        <f>estuary_data!X580*weights!$C$10</f>
        <v>0.12467082838554693</v>
      </c>
      <c r="D657">
        <f>SUM(B657:C657)</f>
        <v>0.16265416906033639</v>
      </c>
      <c r="E657" s="2" t="str">
        <f>IF(D657&gt;$H$6/10*9,"1",IF(D657&gt;$H$6/10*8,"2",IF(D657&gt;$H$6/10*7,"3",IF(D657&gt;$H$6/10*6,"4",IF(D657&gt;$H$6/10*5,"5",IF(D657&gt;$H$6/10*4,"6",IF(D657&gt;$H$6/10*3,"7",IF(D657&gt;$H$6/10*2,"8",IF(D657&gt;$H$6/10,"9","10")))))))))</f>
        <v>9</v>
      </c>
    </row>
    <row r="658" spans="1:5" x14ac:dyDescent="0.55000000000000004">
      <c r="A658">
        <v>1134</v>
      </c>
      <c r="B658">
        <f>estuary_data!Y581*weights!$C$9</f>
        <v>3.4725782641941566E-2</v>
      </c>
      <c r="C658">
        <f>estuary_data!X581*weights!$C$10</f>
        <v>0.13223559976983446</v>
      </c>
      <c r="D658">
        <f>SUM(B658:C658)</f>
        <v>0.16696138241177602</v>
      </c>
      <c r="E658" s="2" t="str">
        <f>IF(D658&gt;$H$6/10*9,"1",IF(D658&gt;$H$6/10*8,"2",IF(D658&gt;$H$6/10*7,"3",IF(D658&gt;$H$6/10*6,"4",IF(D658&gt;$H$6/10*5,"5",IF(D658&gt;$H$6/10*4,"6",IF(D658&gt;$H$6/10*3,"7",IF(D658&gt;$H$6/10*2,"8",IF(D658&gt;$H$6/10,"9","10")))))))))</f>
        <v>9</v>
      </c>
    </row>
    <row r="659" spans="1:5" x14ac:dyDescent="0.55000000000000004">
      <c r="A659">
        <v>1136</v>
      </c>
      <c r="B659">
        <f>estuary_data!Y583*weights!$C$9</f>
        <v>4.4206797819174172E-2</v>
      </c>
      <c r="C659">
        <f>estuary_data!X583*weights!$C$10</f>
        <v>0.14062749281467907</v>
      </c>
      <c r="D659">
        <f>SUM(B659:C659)</f>
        <v>0.18483429063385323</v>
      </c>
      <c r="E659" s="2" t="str">
        <f>IF(D659&gt;$H$6/10*9,"1",IF(D659&gt;$H$6/10*8,"2",IF(D659&gt;$H$6/10*7,"3",IF(D659&gt;$H$6/10*6,"4",IF(D659&gt;$H$6/10*5,"5",IF(D659&gt;$H$6/10*4,"6",IF(D659&gt;$H$6/10*3,"7",IF(D659&gt;$H$6/10*2,"8",IF(D659&gt;$H$6/10,"9","10")))))))))</f>
        <v>9</v>
      </c>
    </row>
    <row r="660" spans="1:5" x14ac:dyDescent="0.55000000000000004">
      <c r="A660">
        <v>1137</v>
      </c>
      <c r="B660">
        <f>estuary_data!Y584*weights!$C$9</f>
        <v>4.5815570264004159E-2</v>
      </c>
      <c r="C660">
        <f>estuary_data!X584*weights!$C$10</f>
        <v>0.15225807482052395</v>
      </c>
      <c r="D660">
        <f>SUM(B660:C660)</f>
        <v>0.1980736450845281</v>
      </c>
      <c r="E660" s="2" t="str">
        <f>IF(D660&gt;$H$6/10*9,"1",IF(D660&gt;$H$6/10*8,"2",IF(D660&gt;$H$6/10*7,"3",IF(D660&gt;$H$6/10*6,"4",IF(D660&gt;$H$6/10*5,"5",IF(D660&gt;$H$6/10*4,"6",IF(D660&gt;$H$6/10*3,"7",IF(D660&gt;$H$6/10*2,"8",IF(D660&gt;$H$6/10,"9","10")))))))))</f>
        <v>9</v>
      </c>
    </row>
    <row r="661" spans="1:5" x14ac:dyDescent="0.55000000000000004">
      <c r="A661">
        <v>1141</v>
      </c>
      <c r="B661">
        <f>estuary_data!Y588*weights!$C$9</f>
        <v>2.9589047116103492E-2</v>
      </c>
      <c r="C661">
        <f>estuary_data!X588*weights!$C$10</f>
        <v>0.14802206863815068</v>
      </c>
      <c r="D661">
        <f>SUM(B661:C661)</f>
        <v>0.17761111575425417</v>
      </c>
      <c r="E661" s="2" t="str">
        <f>IF(D661&gt;$H$6/10*9,"1",IF(D661&gt;$H$6/10*8,"2",IF(D661&gt;$H$6/10*7,"3",IF(D661&gt;$H$6/10*6,"4",IF(D661&gt;$H$6/10*5,"5",IF(D661&gt;$H$6/10*4,"6",IF(D661&gt;$H$6/10*3,"7",IF(D661&gt;$H$6/10*2,"8",IF(D661&gt;$H$6/10,"9","10")))))))))</f>
        <v>9</v>
      </c>
    </row>
    <row r="662" spans="1:5" x14ac:dyDescent="0.55000000000000004">
      <c r="A662">
        <v>1149</v>
      </c>
      <c r="B662">
        <f>estuary_data!Y596*weights!$C$9</f>
        <v>2.8293286206349431E-2</v>
      </c>
      <c r="C662">
        <f>estuary_data!X596*weights!$C$10</f>
        <v>0.1137210659968635</v>
      </c>
      <c r="D662">
        <f>SUM(B662:C662)</f>
        <v>0.14201435220321293</v>
      </c>
      <c r="E662" s="2" t="str">
        <f>IF(D662&gt;$H$6/10*9,"1",IF(D662&gt;$H$6/10*8,"2",IF(D662&gt;$H$6/10*7,"3",IF(D662&gt;$H$6/10*6,"4",IF(D662&gt;$H$6/10*5,"5",IF(D662&gt;$H$6/10*4,"6",IF(D662&gt;$H$6/10*3,"7",IF(D662&gt;$H$6/10*2,"8",IF(D662&gt;$H$6/10,"9","10")))))))))</f>
        <v>9</v>
      </c>
    </row>
    <row r="663" spans="1:5" x14ac:dyDescent="0.55000000000000004">
      <c r="A663">
        <v>1150</v>
      </c>
      <c r="B663">
        <f>estuary_data!Y597*weights!$C$9</f>
        <v>4.1456596386048157E-2</v>
      </c>
      <c r="C663">
        <f>estuary_data!X597*weights!$C$10</f>
        <v>0.13472199218470146</v>
      </c>
      <c r="D663">
        <f>SUM(B663:C663)</f>
        <v>0.17617858857074961</v>
      </c>
      <c r="E663" s="2" t="str">
        <f>IF(D663&gt;$H$6/10*9,"1",IF(D663&gt;$H$6/10*8,"2",IF(D663&gt;$H$6/10*7,"3",IF(D663&gt;$H$6/10*6,"4",IF(D663&gt;$H$6/10*5,"5",IF(D663&gt;$H$6/10*4,"6",IF(D663&gt;$H$6/10*3,"7",IF(D663&gt;$H$6/10*2,"8",IF(D663&gt;$H$6/10,"9","10")))))))))</f>
        <v>9</v>
      </c>
    </row>
    <row r="664" spans="1:5" x14ac:dyDescent="0.55000000000000004">
      <c r="A664">
        <v>1154</v>
      </c>
      <c r="B664">
        <f>estuary_data!Y601*weights!$C$9</f>
        <v>4.02492296269003E-2</v>
      </c>
      <c r="C664">
        <f>estuary_data!X601*weights!$C$10</f>
        <v>0.13955191852435761</v>
      </c>
      <c r="D664">
        <f>SUM(B664:C664)</f>
        <v>0.17980114815125792</v>
      </c>
      <c r="E664" s="2" t="str">
        <f>IF(D664&gt;$H$6/10*9,"1",IF(D664&gt;$H$6/10*8,"2",IF(D664&gt;$H$6/10*7,"3",IF(D664&gt;$H$6/10*6,"4",IF(D664&gt;$H$6/10*5,"5",IF(D664&gt;$H$6/10*4,"6",IF(D664&gt;$H$6/10*3,"7",IF(D664&gt;$H$6/10*2,"8",IF(D664&gt;$H$6/10,"9","10")))))))))</f>
        <v>9</v>
      </c>
    </row>
    <row r="665" spans="1:5" x14ac:dyDescent="0.55000000000000004">
      <c r="A665">
        <v>1155</v>
      </c>
      <c r="B665">
        <f>estuary_data!Y602*weights!$C$9</f>
        <v>3.4043542393943561E-2</v>
      </c>
      <c r="C665">
        <f>estuary_data!X602*weights!$C$10</f>
        <v>0.10009249620780186</v>
      </c>
      <c r="D665">
        <f>SUM(B665:C665)</f>
        <v>0.13413603860174542</v>
      </c>
      <c r="E665" s="2" t="str">
        <f>IF(D665&gt;$H$6/10*9,"1",IF(D665&gt;$H$6/10*8,"2",IF(D665&gt;$H$6/10*7,"3",IF(D665&gt;$H$6/10*6,"4",IF(D665&gt;$H$6/10*5,"5",IF(D665&gt;$H$6/10*4,"6",IF(D665&gt;$H$6/10*3,"7",IF(D665&gt;$H$6/10*2,"8",IF(D665&gt;$H$6/10,"9","10")))))))))</f>
        <v>9</v>
      </c>
    </row>
    <row r="666" spans="1:5" x14ac:dyDescent="0.55000000000000004">
      <c r="A666">
        <v>1156</v>
      </c>
      <c r="B666">
        <f>estuary_data!Y603*weights!$C$9</f>
        <v>3.9647758225279127E-2</v>
      </c>
      <c r="C666">
        <f>estuary_data!X603*weights!$C$10</f>
        <v>0.1076174850144601</v>
      </c>
      <c r="D666">
        <f>SUM(B666:C666)</f>
        <v>0.14726524323973922</v>
      </c>
      <c r="E666" s="2" t="str">
        <f>IF(D666&gt;$H$6/10*9,"1",IF(D666&gt;$H$6/10*8,"2",IF(D666&gt;$H$6/10*7,"3",IF(D666&gt;$H$6/10*6,"4",IF(D666&gt;$H$6/10*5,"5",IF(D666&gt;$H$6/10*4,"6",IF(D666&gt;$H$6/10*3,"7",IF(D666&gt;$H$6/10*2,"8",IF(D666&gt;$H$6/10,"9","10")))))))))</f>
        <v>9</v>
      </c>
    </row>
    <row r="667" spans="1:5" x14ac:dyDescent="0.55000000000000004">
      <c r="A667">
        <v>1158</v>
      </c>
      <c r="B667">
        <f>estuary_data!Y605*weights!$C$9</f>
        <v>2.8308570441897628E-2</v>
      </c>
      <c r="C667">
        <f>estuary_data!X605*weights!$C$10</f>
        <v>8.1028066147831215E-2</v>
      </c>
      <c r="D667">
        <f>SUM(B667:C667)</f>
        <v>0.10933663658972884</v>
      </c>
      <c r="E667" s="2" t="str">
        <f>IF(D667&gt;$H$6/10*9,"1",IF(D667&gt;$H$6/10*8,"2",IF(D667&gt;$H$6/10*7,"3",IF(D667&gt;$H$6/10*6,"4",IF(D667&gt;$H$6/10*5,"5",IF(D667&gt;$H$6/10*4,"6",IF(D667&gt;$H$6/10*3,"7",IF(D667&gt;$H$6/10*2,"8",IF(D667&gt;$H$6/10,"9","10")))))))))</f>
        <v>9</v>
      </c>
    </row>
    <row r="668" spans="1:5" x14ac:dyDescent="0.55000000000000004">
      <c r="A668">
        <v>1159</v>
      </c>
      <c r="B668">
        <f>estuary_data!Y606*weights!$C$9</f>
        <v>3.3111946856031402E-2</v>
      </c>
      <c r="C668">
        <f>estuary_data!X606*weights!$C$10</f>
        <v>9.8239564241910854E-2</v>
      </c>
      <c r="D668">
        <f>SUM(B668:C668)</f>
        <v>0.13135151109794224</v>
      </c>
      <c r="E668" s="2" t="str">
        <f>IF(D668&gt;$H$6/10*9,"1",IF(D668&gt;$H$6/10*8,"2",IF(D668&gt;$H$6/10*7,"3",IF(D668&gt;$H$6/10*6,"4",IF(D668&gt;$H$6/10*5,"5",IF(D668&gt;$H$6/10*4,"6",IF(D668&gt;$H$6/10*3,"7",IF(D668&gt;$H$6/10*2,"8",IF(D668&gt;$H$6/10,"9","10")))))))))</f>
        <v>9</v>
      </c>
    </row>
    <row r="669" spans="1:5" x14ac:dyDescent="0.55000000000000004">
      <c r="A669">
        <v>1160</v>
      </c>
      <c r="B669">
        <f>estuary_data!Y607*weights!$C$9</f>
        <v>3.0842645712922046E-2</v>
      </c>
      <c r="C669">
        <f>estuary_data!X607*weights!$C$10</f>
        <v>9.195545703873198E-2</v>
      </c>
      <c r="D669">
        <f>SUM(B669:C669)</f>
        <v>0.12279810275165402</v>
      </c>
      <c r="E669" s="2" t="str">
        <f>IF(D669&gt;$H$6/10*9,"1",IF(D669&gt;$H$6/10*8,"2",IF(D669&gt;$H$6/10*7,"3",IF(D669&gt;$H$6/10*6,"4",IF(D669&gt;$H$6/10*5,"5",IF(D669&gt;$H$6/10*4,"6",IF(D669&gt;$H$6/10*3,"7",IF(D669&gt;$H$6/10*2,"8",IF(D669&gt;$H$6/10,"9","10")))))))))</f>
        <v>9</v>
      </c>
    </row>
    <row r="670" spans="1:5" x14ac:dyDescent="0.55000000000000004">
      <c r="A670">
        <v>1161</v>
      </c>
      <c r="B670">
        <f>estuary_data!Y608*weights!$C$9</f>
        <v>4.7705013511105454E-2</v>
      </c>
      <c r="C670">
        <f>estuary_data!X608*weights!$C$10</f>
        <v>0.12021827914683586</v>
      </c>
      <c r="D670">
        <f>SUM(B670:C670)</f>
        <v>0.16792329265794131</v>
      </c>
      <c r="E670" s="2" t="str">
        <f>IF(D670&gt;$H$6/10*9,"1",IF(D670&gt;$H$6/10*8,"2",IF(D670&gt;$H$6/10*7,"3",IF(D670&gt;$H$6/10*6,"4",IF(D670&gt;$H$6/10*5,"5",IF(D670&gt;$H$6/10*4,"6",IF(D670&gt;$H$6/10*3,"7",IF(D670&gt;$H$6/10*2,"8",IF(D670&gt;$H$6/10,"9","10")))))))))</f>
        <v>9</v>
      </c>
    </row>
    <row r="671" spans="1:5" x14ac:dyDescent="0.55000000000000004">
      <c r="A671">
        <v>1163</v>
      </c>
      <c r="B671">
        <f>estuary_data!Y610*weights!$C$9</f>
        <v>3.8406570082821681E-2</v>
      </c>
      <c r="C671">
        <f>estuary_data!X610*weights!$C$10</f>
        <v>0.1211260974895272</v>
      </c>
      <c r="D671">
        <f>SUM(B671:C671)</f>
        <v>0.15953266757234888</v>
      </c>
      <c r="E671" s="2" t="str">
        <f>IF(D671&gt;$H$6/10*9,"1",IF(D671&gt;$H$6/10*8,"2",IF(D671&gt;$H$6/10*7,"3",IF(D671&gt;$H$6/10*6,"4",IF(D671&gt;$H$6/10*5,"5",IF(D671&gt;$H$6/10*4,"6",IF(D671&gt;$H$6/10*3,"7",IF(D671&gt;$H$6/10*2,"8",IF(D671&gt;$H$6/10,"9","10")))))))))</f>
        <v>9</v>
      </c>
    </row>
    <row r="672" spans="1:5" x14ac:dyDescent="0.55000000000000004">
      <c r="A672">
        <v>1164</v>
      </c>
      <c r="B672">
        <f>estuary_data!Y611*weights!$C$9</f>
        <v>4.2743818943756576E-2</v>
      </c>
      <c r="C672">
        <f>estuary_data!X611*weights!$C$10</f>
        <v>0.10653360469826109</v>
      </c>
      <c r="D672">
        <f>SUM(B672:C672)</f>
        <v>0.14927742364201768</v>
      </c>
      <c r="E672" s="2" t="str">
        <f>IF(D672&gt;$H$6/10*9,"1",IF(D672&gt;$H$6/10*8,"2",IF(D672&gt;$H$6/10*7,"3",IF(D672&gt;$H$6/10*6,"4",IF(D672&gt;$H$6/10*5,"5",IF(D672&gt;$H$6/10*4,"6",IF(D672&gt;$H$6/10*3,"7",IF(D672&gt;$H$6/10*2,"8",IF(D672&gt;$H$6/10,"9","10")))))))))</f>
        <v>9</v>
      </c>
    </row>
    <row r="673" spans="1:5" x14ac:dyDescent="0.55000000000000004">
      <c r="A673">
        <v>2002</v>
      </c>
      <c r="B673">
        <f>estuary_data!Y615*weights!$C$9</f>
        <v>5.2687825404103557E-2</v>
      </c>
      <c r="C673">
        <f>estuary_data!X615*weights!$C$10</f>
        <v>0.11368933040536019</v>
      </c>
      <c r="D673">
        <f>SUM(B673:C673)</f>
        <v>0.16637715580946374</v>
      </c>
      <c r="E673" s="2" t="str">
        <f>IF(D673&gt;$H$6/10*9,"1",IF(D673&gt;$H$6/10*8,"2",IF(D673&gt;$H$6/10*7,"3",IF(D673&gt;$H$6/10*6,"4",IF(D673&gt;$H$6/10*5,"5",IF(D673&gt;$H$6/10*4,"6",IF(D673&gt;$H$6/10*3,"7",IF(D673&gt;$H$6/10*2,"8",IF(D673&gt;$H$6/10,"9","10")))))))))</f>
        <v>9</v>
      </c>
    </row>
    <row r="674" spans="1:5" x14ac:dyDescent="0.55000000000000004">
      <c r="A674">
        <v>2005</v>
      </c>
      <c r="B674">
        <f>estuary_data!Y618*weights!$C$9</f>
        <v>4.1940675559281569E-2</v>
      </c>
      <c r="C674">
        <f>estuary_data!X618*weights!$C$10</f>
        <v>8.2539993544716805E-2</v>
      </c>
      <c r="D674">
        <f>SUM(B674:C674)</f>
        <v>0.12448066910399838</v>
      </c>
      <c r="E674" s="2" t="str">
        <f>IF(D674&gt;$H$6/10*9,"1",IF(D674&gt;$H$6/10*8,"2",IF(D674&gt;$H$6/10*7,"3",IF(D674&gt;$H$6/10*6,"4",IF(D674&gt;$H$6/10*5,"5",IF(D674&gt;$H$6/10*4,"6",IF(D674&gt;$H$6/10*3,"7",IF(D674&gt;$H$6/10*2,"8",IF(D674&gt;$H$6/10,"9","10")))))))))</f>
        <v>9</v>
      </c>
    </row>
    <row r="675" spans="1:5" x14ac:dyDescent="0.55000000000000004">
      <c r="A675">
        <v>2006</v>
      </c>
      <c r="B675">
        <f>estuary_data!Y619*weights!$C$9</f>
        <v>3.4835708856646934E-2</v>
      </c>
      <c r="C675">
        <f>estuary_data!X619*weights!$C$10</f>
        <v>7.6747833760641232E-2</v>
      </c>
      <c r="D675">
        <f>SUM(B675:C675)</f>
        <v>0.11158354261728817</v>
      </c>
      <c r="E675" s="2" t="str">
        <f>IF(D675&gt;$H$6/10*9,"1",IF(D675&gt;$H$6/10*8,"2",IF(D675&gt;$H$6/10*7,"3",IF(D675&gt;$H$6/10*6,"4",IF(D675&gt;$H$6/10*5,"5",IF(D675&gt;$H$6/10*4,"6",IF(D675&gt;$H$6/10*3,"7",IF(D675&gt;$H$6/10*2,"8",IF(D675&gt;$H$6/10,"9","10")))))))))</f>
        <v>9</v>
      </c>
    </row>
    <row r="676" spans="1:5" x14ac:dyDescent="0.55000000000000004">
      <c r="A676">
        <v>2007</v>
      </c>
      <c r="B676">
        <f>estuary_data!Y620*weights!$C$9</f>
        <v>4.47334924653661E-2</v>
      </c>
      <c r="C676">
        <f>estuary_data!X620*weights!$C$10</f>
        <v>8.4513487250690994E-2</v>
      </c>
      <c r="D676">
        <f>SUM(B676:C676)</f>
        <v>0.12924697971605709</v>
      </c>
      <c r="E676" s="2" t="str">
        <f>IF(D676&gt;$H$6/10*9,"1",IF(D676&gt;$H$6/10*8,"2",IF(D676&gt;$H$6/10*7,"3",IF(D676&gt;$H$6/10*6,"4",IF(D676&gt;$H$6/10*5,"5",IF(D676&gt;$H$6/10*4,"6",IF(D676&gt;$H$6/10*3,"7",IF(D676&gt;$H$6/10*2,"8",IF(D676&gt;$H$6/10,"9","10")))))))))</f>
        <v>9</v>
      </c>
    </row>
    <row r="677" spans="1:5" x14ac:dyDescent="0.55000000000000004">
      <c r="A677">
        <v>2008</v>
      </c>
      <c r="B677">
        <f>estuary_data!Y621*weights!$C$9</f>
        <v>5.166555195514648E-2</v>
      </c>
      <c r="C677">
        <f>estuary_data!X621*weights!$C$10</f>
        <v>8.9237206003286357E-2</v>
      </c>
      <c r="D677">
        <f>SUM(B677:C677)</f>
        <v>0.14090275795843282</v>
      </c>
      <c r="E677" s="2" t="str">
        <f>IF(D677&gt;$H$6/10*9,"1",IF(D677&gt;$H$6/10*8,"2",IF(D677&gt;$H$6/10*7,"3",IF(D677&gt;$H$6/10*6,"4",IF(D677&gt;$H$6/10*5,"5",IF(D677&gt;$H$6/10*4,"6",IF(D677&gt;$H$6/10*3,"7",IF(D677&gt;$H$6/10*2,"8",IF(D677&gt;$H$6/10,"9","10")))))))))</f>
        <v>9</v>
      </c>
    </row>
    <row r="678" spans="1:5" x14ac:dyDescent="0.55000000000000004">
      <c r="A678">
        <v>2010</v>
      </c>
      <c r="B678">
        <f>estuary_data!Y623*weights!$C$9</f>
        <v>4.849130901801163E-2</v>
      </c>
      <c r="C678">
        <f>estuary_data!X623*weights!$C$10</f>
        <v>0.10427995498989338</v>
      </c>
      <c r="D678">
        <f>SUM(B678:C678)</f>
        <v>0.15277126400790503</v>
      </c>
      <c r="E678" s="2" t="str">
        <f>IF(D678&gt;$H$6/10*9,"1",IF(D678&gt;$H$6/10*8,"2",IF(D678&gt;$H$6/10*7,"3",IF(D678&gt;$H$6/10*6,"4",IF(D678&gt;$H$6/10*5,"5",IF(D678&gt;$H$6/10*4,"6",IF(D678&gt;$H$6/10*3,"7",IF(D678&gt;$H$6/10*2,"8",IF(D678&gt;$H$6/10,"9","10")))))))))</f>
        <v>9</v>
      </c>
    </row>
    <row r="679" spans="1:5" x14ac:dyDescent="0.55000000000000004">
      <c r="A679">
        <v>2011</v>
      </c>
      <c r="B679">
        <f>estuary_data!Y624*weights!$C$9</f>
        <v>4.8547689955902369E-2</v>
      </c>
      <c r="C679">
        <f>estuary_data!X624*weights!$C$10</f>
        <v>0.11179909671518562</v>
      </c>
      <c r="D679">
        <f>SUM(B679:C679)</f>
        <v>0.16034678667108798</v>
      </c>
      <c r="E679" s="2" t="str">
        <f>IF(D679&gt;$H$6/10*9,"1",IF(D679&gt;$H$6/10*8,"2",IF(D679&gt;$H$6/10*7,"3",IF(D679&gt;$H$6/10*6,"4",IF(D679&gt;$H$6/10*5,"5",IF(D679&gt;$H$6/10*4,"6",IF(D679&gt;$H$6/10*3,"7",IF(D679&gt;$H$6/10*2,"8",IF(D679&gt;$H$6/10,"9","10")))))))))</f>
        <v>9</v>
      </c>
    </row>
    <row r="680" spans="1:5" x14ac:dyDescent="0.55000000000000004">
      <c r="A680">
        <v>2012</v>
      </c>
      <c r="B680">
        <f>estuary_data!Y625*weights!$C$9</f>
        <v>5.426209447907878E-2</v>
      </c>
      <c r="C680">
        <f>estuary_data!X625*weights!$C$10</f>
        <v>0.13889480813265481</v>
      </c>
      <c r="D680">
        <f>SUM(B680:C680)</f>
        <v>0.1931569026117336</v>
      </c>
      <c r="E680" s="2" t="str">
        <f>IF(D680&gt;$H$6/10*9,"1",IF(D680&gt;$H$6/10*8,"2",IF(D680&gt;$H$6/10*7,"3",IF(D680&gt;$H$6/10*6,"4",IF(D680&gt;$H$6/10*5,"5",IF(D680&gt;$H$6/10*4,"6",IF(D680&gt;$H$6/10*3,"7",IF(D680&gt;$H$6/10*2,"8",IF(D680&gt;$H$6/10,"9","10")))))))))</f>
        <v>9</v>
      </c>
    </row>
    <row r="681" spans="1:5" x14ac:dyDescent="0.55000000000000004">
      <c r="A681">
        <v>2013</v>
      </c>
      <c r="B681">
        <f>estuary_data!Y626*weights!$C$9</f>
        <v>5.4492463942467886E-2</v>
      </c>
      <c r="C681">
        <f>estuary_data!X626*weights!$C$10</f>
        <v>0.13169858974392981</v>
      </c>
      <c r="D681">
        <f>SUM(B681:C681)</f>
        <v>0.18619105368639771</v>
      </c>
      <c r="E681" s="2" t="str">
        <f>IF(D681&gt;$H$6/10*9,"1",IF(D681&gt;$H$6/10*8,"2",IF(D681&gt;$H$6/10*7,"3",IF(D681&gt;$H$6/10*6,"4",IF(D681&gt;$H$6/10*5,"5",IF(D681&gt;$H$6/10*4,"6",IF(D681&gt;$H$6/10*3,"7",IF(D681&gt;$H$6/10*2,"8",IF(D681&gt;$H$6/10,"9","10")))))))))</f>
        <v>9</v>
      </c>
    </row>
    <row r="682" spans="1:5" x14ac:dyDescent="0.55000000000000004">
      <c r="A682">
        <v>2015</v>
      </c>
      <c r="B682">
        <f>estuary_data!Y628*weights!$C$9</f>
        <v>4.7463534781764335E-2</v>
      </c>
      <c r="C682">
        <f>estuary_data!X628*weights!$C$10</f>
        <v>0.13154826162996094</v>
      </c>
      <c r="D682">
        <f>SUM(B682:C682)</f>
        <v>0.17901179641172527</v>
      </c>
      <c r="E682" s="2" t="str">
        <f>IF(D682&gt;$H$6/10*9,"1",IF(D682&gt;$H$6/10*8,"2",IF(D682&gt;$H$6/10*7,"3",IF(D682&gt;$H$6/10*6,"4",IF(D682&gt;$H$6/10*5,"5",IF(D682&gt;$H$6/10*4,"6",IF(D682&gt;$H$6/10*3,"7",IF(D682&gt;$H$6/10*2,"8",IF(D682&gt;$H$6/10,"9","10")))))))))</f>
        <v>9</v>
      </c>
    </row>
    <row r="683" spans="1:5" x14ac:dyDescent="0.55000000000000004">
      <c r="A683">
        <v>2017</v>
      </c>
      <c r="B683">
        <f>estuary_data!Y630*weights!$C$9</f>
        <v>4.7162318992206943E-2</v>
      </c>
      <c r="C683">
        <f>estuary_data!X630*weights!$C$10</f>
        <v>0.14690143174102688</v>
      </c>
      <c r="D683">
        <f>SUM(B683:C683)</f>
        <v>0.19406375073323381</v>
      </c>
      <c r="E683" s="2" t="str">
        <f>IF(D683&gt;$H$6/10*9,"1",IF(D683&gt;$H$6/10*8,"2",IF(D683&gt;$H$6/10*7,"3",IF(D683&gt;$H$6/10*6,"4",IF(D683&gt;$H$6/10*5,"5",IF(D683&gt;$H$6/10*4,"6",IF(D683&gt;$H$6/10*3,"7",IF(D683&gt;$H$6/10*2,"8",IF(D683&gt;$H$6/10,"9","10")))))))))</f>
        <v>9</v>
      </c>
    </row>
    <row r="684" spans="1:5" x14ac:dyDescent="0.55000000000000004">
      <c r="A684">
        <v>2032</v>
      </c>
      <c r="B684">
        <f>estuary_data!Y645*weights!$C$9</f>
        <v>2.5455926756310525E-2</v>
      </c>
      <c r="C684">
        <f>estuary_data!X645*weights!$C$10</f>
        <v>0.14828552753095972</v>
      </c>
      <c r="D684">
        <f>SUM(B684:C684)</f>
        <v>0.17374145428727025</v>
      </c>
      <c r="E684" s="2" t="str">
        <f>IF(D684&gt;$H$6/10*9,"1",IF(D684&gt;$H$6/10*8,"2",IF(D684&gt;$H$6/10*7,"3",IF(D684&gt;$H$6/10*6,"4",IF(D684&gt;$H$6/10*5,"5",IF(D684&gt;$H$6/10*4,"6",IF(D684&gt;$H$6/10*3,"7",IF(D684&gt;$H$6/10*2,"8",IF(D684&gt;$H$6/10,"9","10")))))))))</f>
        <v>9</v>
      </c>
    </row>
    <row r="685" spans="1:5" x14ac:dyDescent="0.55000000000000004">
      <c r="A685">
        <v>2034</v>
      </c>
      <c r="B685">
        <f>estuary_data!Y647*weights!$C$9</f>
        <v>4.4198981843819124E-2</v>
      </c>
      <c r="C685">
        <f>estuary_data!X647*weights!$C$10</f>
        <v>0.14443662468340218</v>
      </c>
      <c r="D685">
        <f>SUM(B685:C685)</f>
        <v>0.18863560652722131</v>
      </c>
      <c r="E685" s="2" t="str">
        <f>IF(D685&gt;$H$6/10*9,"1",IF(D685&gt;$H$6/10*8,"2",IF(D685&gt;$H$6/10*7,"3",IF(D685&gt;$H$6/10*6,"4",IF(D685&gt;$H$6/10*5,"5",IF(D685&gt;$H$6/10*4,"6",IF(D685&gt;$H$6/10*3,"7",IF(D685&gt;$H$6/10*2,"8",IF(D685&gt;$H$6/10,"9","10")))))))))</f>
        <v>9</v>
      </c>
    </row>
    <row r="686" spans="1:5" x14ac:dyDescent="0.55000000000000004">
      <c r="A686">
        <v>2035</v>
      </c>
      <c r="B686">
        <f>estuary_data!Y648*weights!$C$9</f>
        <v>3.4636773806016638E-2</v>
      </c>
      <c r="C686">
        <f>estuary_data!X648*weights!$C$10</f>
        <v>0.10197839065994214</v>
      </c>
      <c r="D686">
        <f>SUM(B686:C686)</f>
        <v>0.13661516446595878</v>
      </c>
      <c r="E686" s="2" t="str">
        <f>IF(D686&gt;$H$6/10*9,"1",IF(D686&gt;$H$6/10*8,"2",IF(D686&gt;$H$6/10*7,"3",IF(D686&gt;$H$6/10*6,"4",IF(D686&gt;$H$6/10*5,"5",IF(D686&gt;$H$6/10*4,"6",IF(D686&gt;$H$6/10*3,"7",IF(D686&gt;$H$6/10*2,"8",IF(D686&gt;$H$6/10,"9","10")))))))))</f>
        <v>9</v>
      </c>
    </row>
    <row r="687" spans="1:5" x14ac:dyDescent="0.55000000000000004">
      <c r="A687">
        <v>2041</v>
      </c>
      <c r="B687">
        <f>estuary_data!Y654*weights!$C$9</f>
        <v>4.3856828630704163E-2</v>
      </c>
      <c r="C687">
        <f>estuary_data!X654*weights!$C$10</f>
        <v>0.15305198526511948</v>
      </c>
      <c r="D687">
        <f>SUM(B687:C687)</f>
        <v>0.19690881389582365</v>
      </c>
      <c r="E687" s="2" t="str">
        <f>IF(D687&gt;$H$6/10*9,"1",IF(D687&gt;$H$6/10*8,"2",IF(D687&gt;$H$6/10*7,"3",IF(D687&gt;$H$6/10*6,"4",IF(D687&gt;$H$6/10*5,"5",IF(D687&gt;$H$6/10*4,"6",IF(D687&gt;$H$6/10*3,"7",IF(D687&gt;$H$6/10*2,"8",IF(D687&gt;$H$6/10,"9","10")))))))))</f>
        <v>9</v>
      </c>
    </row>
    <row r="688" spans="1:5" x14ac:dyDescent="0.55000000000000004">
      <c r="A688">
        <v>2043</v>
      </c>
      <c r="B688">
        <f>estuary_data!Y656*weights!$C$9</f>
        <v>4.1381604271399128E-2</v>
      </c>
      <c r="C688">
        <f>estuary_data!X656*weights!$C$10</f>
        <v>0.1119917501203689</v>
      </c>
      <c r="D688">
        <f>SUM(B688:C688)</f>
        <v>0.15337335439176802</v>
      </c>
      <c r="E688" s="2" t="str">
        <f>IF(D688&gt;$H$6/10*9,"1",IF(D688&gt;$H$6/10*8,"2",IF(D688&gt;$H$6/10*7,"3",IF(D688&gt;$H$6/10*6,"4",IF(D688&gt;$H$6/10*5,"5",IF(D688&gt;$H$6/10*4,"6",IF(D688&gt;$H$6/10*3,"7",IF(D688&gt;$H$6/10*2,"8",IF(D688&gt;$H$6/10,"9","10")))))))))</f>
        <v>9</v>
      </c>
    </row>
    <row r="689" spans="1:5" x14ac:dyDescent="0.55000000000000004">
      <c r="A689">
        <v>2044</v>
      </c>
      <c r="B689">
        <f>estuary_data!Y657*weights!$C$9</f>
        <v>3.1227039749228844E-2</v>
      </c>
      <c r="C689">
        <f>estuary_data!X657*weights!$C$10</f>
        <v>8.7469501982056733E-2</v>
      </c>
      <c r="D689">
        <f>SUM(B689:C689)</f>
        <v>0.11869654173128558</v>
      </c>
      <c r="E689" s="2" t="str">
        <f>IF(D689&gt;$H$6/10*9,"1",IF(D689&gt;$H$6/10*8,"2",IF(D689&gt;$H$6/10*7,"3",IF(D689&gt;$H$6/10*6,"4",IF(D689&gt;$H$6/10*5,"5",IF(D689&gt;$H$6/10*4,"6",IF(D689&gt;$H$6/10*3,"7",IF(D689&gt;$H$6/10*2,"8",IF(D689&gt;$H$6/10,"9","10")))))))))</f>
        <v>9</v>
      </c>
    </row>
    <row r="690" spans="1:5" x14ac:dyDescent="0.55000000000000004">
      <c r="A690">
        <v>2045</v>
      </c>
      <c r="B690">
        <f>estuary_data!Y658*weights!$C$9</f>
        <v>3.5039397653306513E-2</v>
      </c>
      <c r="C690">
        <f>estuary_data!X658*weights!$C$10</f>
        <v>0.1253598947458559</v>
      </c>
      <c r="D690">
        <f>SUM(B690:C690)</f>
        <v>0.16039929239916242</v>
      </c>
      <c r="E690" s="2" t="str">
        <f>IF(D690&gt;$H$6/10*9,"1",IF(D690&gt;$H$6/10*8,"2",IF(D690&gt;$H$6/10*7,"3",IF(D690&gt;$H$6/10*6,"4",IF(D690&gt;$H$6/10*5,"5",IF(D690&gt;$H$6/10*4,"6",IF(D690&gt;$H$6/10*3,"7",IF(D690&gt;$H$6/10*2,"8",IF(D690&gt;$H$6/10,"9","10")))))))))</f>
        <v>9</v>
      </c>
    </row>
    <row r="691" spans="1:5" x14ac:dyDescent="0.55000000000000004">
      <c r="A691">
        <v>2051</v>
      </c>
      <c r="B691">
        <f>estuary_data!Y664*weights!$C$9</f>
        <v>3.6192223072783969E-2</v>
      </c>
      <c r="C691">
        <f>estuary_data!X664*weights!$C$10</f>
        <v>0.14591541432336153</v>
      </c>
      <c r="D691">
        <f>SUM(B691:C691)</f>
        <v>0.18210763739614549</v>
      </c>
      <c r="E691" s="2" t="str">
        <f>IF(D691&gt;$H$6/10*9,"1",IF(D691&gt;$H$6/10*8,"2",IF(D691&gt;$H$6/10*7,"3",IF(D691&gt;$H$6/10*6,"4",IF(D691&gt;$H$6/10*5,"5",IF(D691&gt;$H$6/10*4,"6",IF(D691&gt;$H$6/10*3,"7",IF(D691&gt;$H$6/10*2,"8",IF(D691&gt;$H$6/10,"9","10")))))))))</f>
        <v>9</v>
      </c>
    </row>
    <row r="692" spans="1:5" x14ac:dyDescent="0.55000000000000004">
      <c r="A692">
        <v>2052</v>
      </c>
      <c r="B692">
        <f>estuary_data!Y665*weights!$C$9</f>
        <v>4.0013368338740196E-2</v>
      </c>
      <c r="C692">
        <f>estuary_data!X665*weights!$C$10</f>
        <v>0.14005002103726824</v>
      </c>
      <c r="D692">
        <f>SUM(B692:C692)</f>
        <v>0.18006338937600844</v>
      </c>
      <c r="E692" s="2" t="str">
        <f>IF(D692&gt;$H$6/10*9,"1",IF(D692&gt;$H$6/10*8,"2",IF(D692&gt;$H$6/10*7,"3",IF(D692&gt;$H$6/10*6,"4",IF(D692&gt;$H$6/10*5,"5",IF(D692&gt;$H$6/10*4,"6",IF(D692&gt;$H$6/10*3,"7",IF(D692&gt;$H$6/10*2,"8",IF(D692&gt;$H$6/10,"9","10")))))))))</f>
        <v>9</v>
      </c>
    </row>
    <row r="693" spans="1:5" x14ac:dyDescent="0.55000000000000004">
      <c r="A693">
        <v>2056</v>
      </c>
      <c r="B693">
        <f>estuary_data!Y669*weights!$C$9</f>
        <v>3.093573302433944E-2</v>
      </c>
      <c r="C693">
        <f>estuary_data!X669*weights!$C$10</f>
        <v>7.1103255753661984E-2</v>
      </c>
      <c r="D693">
        <f>SUM(B693:C693)</f>
        <v>0.10203898877800142</v>
      </c>
      <c r="E693" s="2" t="str">
        <f>IF(D693&gt;$H$6/10*9,"1",IF(D693&gt;$H$6/10*8,"2",IF(D693&gt;$H$6/10*7,"3",IF(D693&gt;$H$6/10*6,"4",IF(D693&gt;$H$6/10*5,"5",IF(D693&gt;$H$6/10*4,"6",IF(D693&gt;$H$6/10*3,"7",IF(D693&gt;$H$6/10*2,"8",IF(D693&gt;$H$6/10,"9","10")))))))))</f>
        <v>9</v>
      </c>
    </row>
    <row r="694" spans="1:5" x14ac:dyDescent="0.55000000000000004">
      <c r="A694">
        <v>2057</v>
      </c>
      <c r="B694">
        <f>estuary_data!Y670*weights!$C$9</f>
        <v>2.878964571275058E-2</v>
      </c>
      <c r="C694">
        <f>estuary_data!X670*weights!$C$10</f>
        <v>7.5598223073946855E-2</v>
      </c>
      <c r="D694">
        <f>SUM(B694:C694)</f>
        <v>0.10438786878669744</v>
      </c>
      <c r="E694" s="2" t="str">
        <f>IF(D694&gt;$H$6/10*9,"1",IF(D694&gt;$H$6/10*8,"2",IF(D694&gt;$H$6/10*7,"3",IF(D694&gt;$H$6/10*6,"4",IF(D694&gt;$H$6/10*5,"5",IF(D694&gt;$H$6/10*4,"6",IF(D694&gt;$H$6/10*3,"7",IF(D694&gt;$H$6/10*2,"8",IF(D694&gt;$H$6/10,"9","10")))))))))</f>
        <v>9</v>
      </c>
    </row>
    <row r="695" spans="1:5" x14ac:dyDescent="0.55000000000000004">
      <c r="A695">
        <v>2058</v>
      </c>
      <c r="B695">
        <f>estuary_data!Y671*weights!$C$9</f>
        <v>3.4757125077141661E-2</v>
      </c>
      <c r="C695">
        <f>estuary_data!X671*weights!$C$10</f>
        <v>9.9955706464949362E-2</v>
      </c>
      <c r="D695">
        <f>SUM(B695:C695)</f>
        <v>0.13471283154209102</v>
      </c>
      <c r="E695" s="2" t="str">
        <f>IF(D695&gt;$H$6/10*9,"1",IF(D695&gt;$H$6/10*8,"2",IF(D695&gt;$H$6/10*7,"3",IF(D695&gt;$H$6/10*6,"4",IF(D695&gt;$H$6/10*5,"5",IF(D695&gt;$H$6/10*4,"6",IF(D695&gt;$H$6/10*3,"7",IF(D695&gt;$H$6/10*2,"8",IF(D695&gt;$H$6/10,"9","10")))))))))</f>
        <v>9</v>
      </c>
    </row>
    <row r="696" spans="1:5" x14ac:dyDescent="0.55000000000000004">
      <c r="A696">
        <v>2059</v>
      </c>
      <c r="B696">
        <f>estuary_data!Y672*weights!$C$9</f>
        <v>3.8408095581207842E-2</v>
      </c>
      <c r="C696">
        <f>estuary_data!X672*weights!$C$10</f>
        <v>0.11681561802284168</v>
      </c>
      <c r="D696">
        <f>SUM(B696:C696)</f>
        <v>0.15522371360404952</v>
      </c>
      <c r="E696" s="2" t="str">
        <f>IF(D696&gt;$H$6/10*9,"1",IF(D696&gt;$H$6/10*8,"2",IF(D696&gt;$H$6/10*7,"3",IF(D696&gt;$H$6/10*6,"4",IF(D696&gt;$H$6/10*5,"5",IF(D696&gt;$H$6/10*4,"6",IF(D696&gt;$H$6/10*3,"7",IF(D696&gt;$H$6/10*2,"8",IF(D696&gt;$H$6/10,"9","10")))))))))</f>
        <v>9</v>
      </c>
    </row>
    <row r="697" spans="1:5" x14ac:dyDescent="0.55000000000000004">
      <c r="A697">
        <v>2061</v>
      </c>
      <c r="B697">
        <f>estuary_data!Y674*weights!$C$9</f>
        <v>4.4422504471866006E-2</v>
      </c>
      <c r="C697">
        <f>estuary_data!X674*weights!$C$10</f>
        <v>0.14227953236476917</v>
      </c>
      <c r="D697">
        <f>SUM(B697:C697)</f>
        <v>0.18670203683663517</v>
      </c>
      <c r="E697" s="2" t="str">
        <f>IF(D697&gt;$H$6/10*9,"1",IF(D697&gt;$H$6/10*8,"2",IF(D697&gt;$H$6/10*7,"3",IF(D697&gt;$H$6/10*6,"4",IF(D697&gt;$H$6/10*5,"5",IF(D697&gt;$H$6/10*4,"6",IF(D697&gt;$H$6/10*3,"7",IF(D697&gt;$H$6/10*2,"8",IF(D697&gt;$H$6/10,"9","10")))))))))</f>
        <v>9</v>
      </c>
    </row>
    <row r="698" spans="1:5" x14ac:dyDescent="0.55000000000000004">
      <c r="A698">
        <v>2062</v>
      </c>
      <c r="B698">
        <f>estuary_data!Y675*weights!$C$9</f>
        <v>3.8797288234948671E-2</v>
      </c>
      <c r="C698">
        <f>estuary_data!X675*weights!$C$10</f>
        <v>0.13313402695495122</v>
      </c>
      <c r="D698">
        <f>SUM(B698:C698)</f>
        <v>0.1719313151898999</v>
      </c>
      <c r="E698" s="2" t="str">
        <f>IF(D698&gt;$H$6/10*9,"1",IF(D698&gt;$H$6/10*8,"2",IF(D698&gt;$H$6/10*7,"3",IF(D698&gt;$H$6/10*6,"4",IF(D698&gt;$H$6/10*5,"5",IF(D698&gt;$H$6/10*4,"6",IF(D698&gt;$H$6/10*3,"7",IF(D698&gt;$H$6/10*2,"8",IF(D698&gt;$H$6/10,"9","10")))))))))</f>
        <v>9</v>
      </c>
    </row>
    <row r="699" spans="1:5" x14ac:dyDescent="0.55000000000000004">
      <c r="A699">
        <v>2066</v>
      </c>
      <c r="B699">
        <f>estuary_data!Y679*weights!$C$9</f>
        <v>3.5502830887414093E-2</v>
      </c>
      <c r="C699">
        <f>estuary_data!X679*weights!$C$10</f>
        <v>0.12949595411288448</v>
      </c>
      <c r="D699">
        <f>SUM(B699:C699)</f>
        <v>0.16499878500029858</v>
      </c>
      <c r="E699" s="2" t="str">
        <f>IF(D699&gt;$H$6/10*9,"1",IF(D699&gt;$H$6/10*8,"2",IF(D699&gt;$H$6/10*7,"3",IF(D699&gt;$H$6/10*6,"4",IF(D699&gt;$H$6/10*5,"5",IF(D699&gt;$H$6/10*4,"6",IF(D699&gt;$H$6/10*3,"7",IF(D699&gt;$H$6/10*2,"8",IF(D699&gt;$H$6/10,"9","10")))))))))</f>
        <v>9</v>
      </c>
    </row>
    <row r="700" spans="1:5" x14ac:dyDescent="0.55000000000000004">
      <c r="A700">
        <v>2071</v>
      </c>
      <c r="B700">
        <f>estuary_data!Y684*weights!$C$9</f>
        <v>4.0697064549149169E-2</v>
      </c>
      <c r="C700">
        <f>estuary_data!X684*weights!$C$10</f>
        <v>0.14508651546968004</v>
      </c>
      <c r="D700">
        <f>SUM(B700:C700)</f>
        <v>0.18578358001882922</v>
      </c>
      <c r="E700" s="2" t="str">
        <f>IF(D700&gt;$H$6/10*9,"1",IF(D700&gt;$H$6/10*8,"2",IF(D700&gt;$H$6/10*7,"3",IF(D700&gt;$H$6/10*6,"4",IF(D700&gt;$H$6/10*5,"5",IF(D700&gt;$H$6/10*4,"6",IF(D700&gt;$H$6/10*3,"7",IF(D700&gt;$H$6/10*2,"8",IF(D700&gt;$H$6/10,"9","10")))))))))</f>
        <v>9</v>
      </c>
    </row>
    <row r="701" spans="1:5" x14ac:dyDescent="0.55000000000000004">
      <c r="A701">
        <v>2072</v>
      </c>
      <c r="B701">
        <f>estuary_data!Y685*weights!$C$9</f>
        <v>3.9963789376548577E-2</v>
      </c>
      <c r="C701">
        <f>estuary_data!X685*weights!$C$10</f>
        <v>0.12125137478410002</v>
      </c>
      <c r="D701">
        <f>SUM(B701:C701)</f>
        <v>0.1612151641606486</v>
      </c>
      <c r="E701" s="2" t="str">
        <f>IF(D701&gt;$H$6/10*9,"1",IF(D701&gt;$H$6/10*8,"2",IF(D701&gt;$H$6/10*7,"3",IF(D701&gt;$H$6/10*6,"4",IF(D701&gt;$H$6/10*5,"5",IF(D701&gt;$H$6/10*4,"6",IF(D701&gt;$H$6/10*3,"7",IF(D701&gt;$H$6/10*2,"8",IF(D701&gt;$H$6/10,"9","10")))))))))</f>
        <v>9</v>
      </c>
    </row>
    <row r="702" spans="1:5" x14ac:dyDescent="0.55000000000000004">
      <c r="A702">
        <v>2074</v>
      </c>
      <c r="B702">
        <f>estuary_data!Y687*weights!$C$9</f>
        <v>3.4130175468347408E-2</v>
      </c>
      <c r="C702">
        <f>estuary_data!X687*weights!$C$10</f>
        <v>0.10339325032011989</v>
      </c>
      <c r="D702">
        <f>SUM(B702:C702)</f>
        <v>0.1375234257884673</v>
      </c>
      <c r="E702" s="2" t="str">
        <f>IF(D702&gt;$H$6/10*9,"1",IF(D702&gt;$H$6/10*8,"2",IF(D702&gt;$H$6/10*7,"3",IF(D702&gt;$H$6/10*6,"4",IF(D702&gt;$H$6/10*5,"5",IF(D702&gt;$H$6/10*4,"6",IF(D702&gt;$H$6/10*3,"7",IF(D702&gt;$H$6/10*2,"8",IF(D702&gt;$H$6/10,"9","10")))))))))</f>
        <v>9</v>
      </c>
    </row>
    <row r="703" spans="1:5" x14ac:dyDescent="0.55000000000000004">
      <c r="A703">
        <v>2075</v>
      </c>
      <c r="B703">
        <f>estuary_data!Y688*weights!$C$9</f>
        <v>3.2244795006449188E-2</v>
      </c>
      <c r="C703">
        <f>estuary_data!X688*weights!$C$10</f>
        <v>9.5752490075656699E-2</v>
      </c>
      <c r="D703">
        <f>SUM(B703:C703)</f>
        <v>0.12799728508210589</v>
      </c>
      <c r="E703" s="2" t="str">
        <f>IF(D703&gt;$H$6/10*9,"1",IF(D703&gt;$H$6/10*8,"2",IF(D703&gt;$H$6/10*7,"3",IF(D703&gt;$H$6/10*6,"4",IF(D703&gt;$H$6/10*5,"5",IF(D703&gt;$H$6/10*4,"6",IF(D703&gt;$H$6/10*3,"7",IF(D703&gt;$H$6/10*2,"8",IF(D703&gt;$H$6/10,"9","10")))))))))</f>
        <v>9</v>
      </c>
    </row>
    <row r="704" spans="1:5" x14ac:dyDescent="0.55000000000000004">
      <c r="A704">
        <v>2076</v>
      </c>
      <c r="B704">
        <f>estuary_data!Y689*weights!$C$9</f>
        <v>3.4586990693635029E-2</v>
      </c>
      <c r="C704">
        <f>estuary_data!X689*weights!$C$10</f>
        <v>9.9903019583655717E-2</v>
      </c>
      <c r="D704">
        <f>SUM(B704:C704)</f>
        <v>0.13449001027729074</v>
      </c>
      <c r="E704" s="2" t="str">
        <f>IF(D704&gt;$H$6/10*9,"1",IF(D704&gt;$H$6/10*8,"2",IF(D704&gt;$H$6/10*7,"3",IF(D704&gt;$H$6/10*6,"4",IF(D704&gt;$H$6/10*5,"5",IF(D704&gt;$H$6/10*4,"6",IF(D704&gt;$H$6/10*3,"7",IF(D704&gt;$H$6/10*2,"8",IF(D704&gt;$H$6/10,"9","10")))))))))</f>
        <v>9</v>
      </c>
    </row>
    <row r="705" spans="1:5" x14ac:dyDescent="0.55000000000000004">
      <c r="A705">
        <v>2077</v>
      </c>
      <c r="B705">
        <f>estuary_data!Y690*weights!$C$9</f>
        <v>3.2580191115269962E-2</v>
      </c>
      <c r="C705">
        <f>estuary_data!X690*weights!$C$10</f>
        <v>0.11323115352188157</v>
      </c>
      <c r="D705">
        <f>SUM(B705:C705)</f>
        <v>0.14581134463715154</v>
      </c>
      <c r="E705" s="2" t="str">
        <f>IF(D705&gt;$H$6/10*9,"1",IF(D705&gt;$H$6/10*8,"2",IF(D705&gt;$H$6/10*7,"3",IF(D705&gt;$H$6/10*6,"4",IF(D705&gt;$H$6/10*5,"5",IF(D705&gt;$H$6/10*4,"6",IF(D705&gt;$H$6/10*3,"7",IF(D705&gt;$H$6/10*2,"8",IF(D705&gt;$H$6/10,"9","10")))))))))</f>
        <v>9</v>
      </c>
    </row>
    <row r="706" spans="1:5" x14ac:dyDescent="0.55000000000000004">
      <c r="A706">
        <v>2078</v>
      </c>
      <c r="B706">
        <f>estuary_data!Y691*weights!$C$9</f>
        <v>2.8474058758985014E-2</v>
      </c>
      <c r="C706">
        <f>estuary_data!X691*weights!$C$10</f>
        <v>8.3838093292016996E-2</v>
      </c>
      <c r="D706">
        <f>SUM(B706:C706)</f>
        <v>0.11231215205100201</v>
      </c>
      <c r="E706" s="2" t="str">
        <f>IF(D706&gt;$H$6/10*9,"1",IF(D706&gt;$H$6/10*8,"2",IF(D706&gt;$H$6/10*7,"3",IF(D706&gt;$H$6/10*6,"4",IF(D706&gt;$H$6/10*5,"5",IF(D706&gt;$H$6/10*4,"6",IF(D706&gt;$H$6/10*3,"7",IF(D706&gt;$H$6/10*2,"8",IF(D706&gt;$H$6/10,"9","10")))))))))</f>
        <v>9</v>
      </c>
    </row>
    <row r="707" spans="1:5" x14ac:dyDescent="0.55000000000000004">
      <c r="A707">
        <v>2080</v>
      </c>
      <c r="B707">
        <f>estuary_data!Y693*weights!$C$9</f>
        <v>2.6622869837141804E-2</v>
      </c>
      <c r="C707">
        <f>estuary_data!X693*weights!$C$10</f>
        <v>8.7272536402693876E-2</v>
      </c>
      <c r="D707">
        <f>SUM(B707:C707)</f>
        <v>0.11389540623983568</v>
      </c>
      <c r="E707" s="2" t="str">
        <f>IF(D707&gt;$H$6/10*9,"1",IF(D707&gt;$H$6/10*8,"2",IF(D707&gt;$H$6/10*7,"3",IF(D707&gt;$H$6/10*6,"4",IF(D707&gt;$H$6/10*5,"5",IF(D707&gt;$H$6/10*4,"6",IF(D707&gt;$H$6/10*3,"7",IF(D707&gt;$H$6/10*2,"8",IF(D707&gt;$H$6/10,"9","10")))))))))</f>
        <v>9</v>
      </c>
    </row>
    <row r="708" spans="1:5" x14ac:dyDescent="0.55000000000000004">
      <c r="A708">
        <v>2081</v>
      </c>
      <c r="B708">
        <f>estuary_data!Y694*weights!$C$9</f>
        <v>3.9700415130609672E-2</v>
      </c>
      <c r="C708">
        <f>estuary_data!X694*weights!$C$10</f>
        <v>0.11400714640592211</v>
      </c>
      <c r="D708">
        <f>SUM(B708:C708)</f>
        <v>0.15370756153653178</v>
      </c>
      <c r="E708" s="2" t="str">
        <f>IF(D708&gt;$H$6/10*9,"1",IF(D708&gt;$H$6/10*8,"2",IF(D708&gt;$H$6/10*7,"3",IF(D708&gt;$H$6/10*6,"4",IF(D708&gt;$H$6/10*5,"5",IF(D708&gt;$H$6/10*4,"6",IF(D708&gt;$H$6/10*3,"7",IF(D708&gt;$H$6/10*2,"8",IF(D708&gt;$H$6/10,"9","10")))))))))</f>
        <v>9</v>
      </c>
    </row>
    <row r="709" spans="1:5" x14ac:dyDescent="0.55000000000000004">
      <c r="A709">
        <v>2082</v>
      </c>
      <c r="B709">
        <f>estuary_data!Y695*weights!$C$9</f>
        <v>3.6560653121746334E-2</v>
      </c>
      <c r="C709">
        <f>estuary_data!X695*weights!$C$10</f>
        <v>0.12155454666176811</v>
      </c>
      <c r="D709">
        <f>SUM(B709:C709)</f>
        <v>0.15811519978351446</v>
      </c>
      <c r="E709" s="2" t="str">
        <f>IF(D709&gt;$H$6/10*9,"1",IF(D709&gt;$H$6/10*8,"2",IF(D709&gt;$H$6/10*7,"3",IF(D709&gt;$H$6/10*6,"4",IF(D709&gt;$H$6/10*5,"5",IF(D709&gt;$H$6/10*4,"6",IF(D709&gt;$H$6/10*3,"7",IF(D709&gt;$H$6/10*2,"8",IF(D709&gt;$H$6/10,"9","10")))))))))</f>
        <v>9</v>
      </c>
    </row>
    <row r="710" spans="1:5" x14ac:dyDescent="0.55000000000000004">
      <c r="A710">
        <v>2083</v>
      </c>
      <c r="B710">
        <f>estuary_data!Y696*weights!$C$9</f>
        <v>3.1048476939797183E-2</v>
      </c>
      <c r="C710">
        <f>estuary_data!X696*weights!$C$10</f>
        <v>9.1022270842917655E-2</v>
      </c>
      <c r="D710">
        <f>SUM(B710:C710)</f>
        <v>0.12207074778271484</v>
      </c>
      <c r="E710" s="2" t="str">
        <f>IF(D710&gt;$H$6/10*9,"1",IF(D710&gt;$H$6/10*8,"2",IF(D710&gt;$H$6/10*7,"3",IF(D710&gt;$H$6/10*6,"4",IF(D710&gt;$H$6/10*5,"5",IF(D710&gt;$H$6/10*4,"6",IF(D710&gt;$H$6/10*3,"7",IF(D710&gt;$H$6/10*2,"8",IF(D710&gt;$H$6/10,"9","10")))))))))</f>
        <v>9</v>
      </c>
    </row>
    <row r="711" spans="1:5" x14ac:dyDescent="0.55000000000000004">
      <c r="A711">
        <v>2084</v>
      </c>
      <c r="B711">
        <f>estuary_data!Y697*weights!$C$9</f>
        <v>3.2160028429584951E-2</v>
      </c>
      <c r="C711">
        <f>estuary_data!X697*weights!$C$10</f>
        <v>9.3295479985691043E-2</v>
      </c>
      <c r="D711">
        <f>SUM(B711:C711)</f>
        <v>0.125455508415276</v>
      </c>
      <c r="E711" s="2" t="str">
        <f>IF(D711&gt;$H$6/10*9,"1",IF(D711&gt;$H$6/10*8,"2",IF(D711&gt;$H$6/10*7,"3",IF(D711&gt;$H$6/10*6,"4",IF(D711&gt;$H$6/10*5,"5",IF(D711&gt;$H$6/10*4,"6",IF(D711&gt;$H$6/10*3,"7",IF(D711&gt;$H$6/10*2,"8",IF(D711&gt;$H$6/10,"9","10")))))))))</f>
        <v>9</v>
      </c>
    </row>
    <row r="712" spans="1:5" x14ac:dyDescent="0.55000000000000004">
      <c r="A712">
        <v>2085</v>
      </c>
      <c r="B712">
        <f>estuary_data!Y698*weights!$C$9</f>
        <v>3.5348750222299836E-2</v>
      </c>
      <c r="C712">
        <f>estuary_data!X698*weights!$C$10</f>
        <v>0.11550352755142489</v>
      </c>
      <c r="D712">
        <f>SUM(B712:C712)</f>
        <v>0.15085227777372473</v>
      </c>
      <c r="E712" s="2" t="str">
        <f>IF(D712&gt;$H$6/10*9,"1",IF(D712&gt;$H$6/10*8,"2",IF(D712&gt;$H$6/10*7,"3",IF(D712&gt;$H$6/10*6,"4",IF(D712&gt;$H$6/10*5,"5",IF(D712&gt;$H$6/10*4,"6",IF(D712&gt;$H$6/10*3,"7",IF(D712&gt;$H$6/10*2,"8",IF(D712&gt;$H$6/10,"9","10")))))))))</f>
        <v>9</v>
      </c>
    </row>
    <row r="713" spans="1:5" x14ac:dyDescent="0.55000000000000004">
      <c r="A713">
        <v>2086</v>
      </c>
      <c r="B713">
        <f>estuary_data!Y699*weights!$C$9</f>
        <v>3.5539535026191914E-2</v>
      </c>
      <c r="C713">
        <f>estuary_data!X699*weights!$C$10</f>
        <v>0.14255451272714253</v>
      </c>
      <c r="D713">
        <f>SUM(B713:C713)</f>
        <v>0.17809404775333446</v>
      </c>
      <c r="E713" s="2" t="str">
        <f>IF(D713&gt;$H$6/10*9,"1",IF(D713&gt;$H$6/10*8,"2",IF(D713&gt;$H$6/10*7,"3",IF(D713&gt;$H$6/10*6,"4",IF(D713&gt;$H$6/10*5,"5",IF(D713&gt;$H$6/10*4,"6",IF(D713&gt;$H$6/10*3,"7",IF(D713&gt;$H$6/10*2,"8",IF(D713&gt;$H$6/10,"9","10")))))))))</f>
        <v>9</v>
      </c>
    </row>
    <row r="714" spans="1:5" x14ac:dyDescent="0.55000000000000004">
      <c r="A714">
        <v>2091</v>
      </c>
      <c r="B714">
        <f>estuary_data!Y704*weights!$C$9</f>
        <v>3.8893960495213965E-2</v>
      </c>
      <c r="C714">
        <f>estuary_data!X704*weights!$C$10</f>
        <v>0.13313685963840854</v>
      </c>
      <c r="D714">
        <f>SUM(B714:C714)</f>
        <v>0.1720308201336225</v>
      </c>
      <c r="E714" s="2" t="str">
        <f>IF(D714&gt;$H$6/10*9,"1",IF(D714&gt;$H$6/10*8,"2",IF(D714&gt;$H$6/10*7,"3",IF(D714&gt;$H$6/10*6,"4",IF(D714&gt;$H$6/10*5,"5",IF(D714&gt;$H$6/10*4,"6",IF(D714&gt;$H$6/10*3,"7",IF(D714&gt;$H$6/10*2,"8",IF(D714&gt;$H$6/10,"9","10")))))))))</f>
        <v>9</v>
      </c>
    </row>
    <row r="715" spans="1:5" x14ac:dyDescent="0.55000000000000004">
      <c r="A715">
        <v>2093</v>
      </c>
      <c r="B715">
        <f>estuary_data!Y706*weights!$C$9</f>
        <v>2.7551181046976122E-2</v>
      </c>
      <c r="C715">
        <f>estuary_data!X706*weights!$C$10</f>
        <v>9.7207726429511462E-2</v>
      </c>
      <c r="D715">
        <f>SUM(B715:C715)</f>
        <v>0.12475890747648759</v>
      </c>
      <c r="E715" s="2" t="str">
        <f>IF(D715&gt;$H$6/10*9,"1",IF(D715&gt;$H$6/10*8,"2",IF(D715&gt;$H$6/10*7,"3",IF(D715&gt;$H$6/10*6,"4",IF(D715&gt;$H$6/10*5,"5",IF(D715&gt;$H$6/10*4,"6",IF(D715&gt;$H$6/10*3,"7",IF(D715&gt;$H$6/10*2,"8",IF(D715&gt;$H$6/10,"9","10")))))))))</f>
        <v>9</v>
      </c>
    </row>
    <row r="716" spans="1:5" x14ac:dyDescent="0.55000000000000004">
      <c r="A716">
        <v>2094</v>
      </c>
      <c r="B716">
        <f>estuary_data!Y707*weights!$C$9</f>
        <v>3.7208199317001978E-2</v>
      </c>
      <c r="C716">
        <f>estuary_data!X707*weights!$C$10</f>
        <v>0.13622034125906557</v>
      </c>
      <c r="D716">
        <f>SUM(B716:C716)</f>
        <v>0.17342854057606755</v>
      </c>
      <c r="E716" s="2" t="str">
        <f>IF(D716&gt;$H$6/10*9,"1",IF(D716&gt;$H$6/10*8,"2",IF(D716&gt;$H$6/10*7,"3",IF(D716&gt;$H$6/10*6,"4",IF(D716&gt;$H$6/10*5,"5",IF(D716&gt;$H$6/10*4,"6",IF(D716&gt;$H$6/10*3,"7",IF(D716&gt;$H$6/10*2,"8",IF(D716&gt;$H$6/10,"9","10")))))))))</f>
        <v>9</v>
      </c>
    </row>
    <row r="717" spans="1:5" x14ac:dyDescent="0.55000000000000004">
      <c r="A717">
        <v>2095</v>
      </c>
      <c r="B717">
        <f>estuary_data!Y708*weights!$C$9</f>
        <v>2.422890562787126E-2</v>
      </c>
      <c r="C717">
        <f>estuary_data!X708*weights!$C$10</f>
        <v>7.5793474609179776E-2</v>
      </c>
      <c r="D717">
        <f>SUM(B717:C717)</f>
        <v>0.10002238023705104</v>
      </c>
      <c r="E717" s="2" t="str">
        <f>IF(D717&gt;$H$6/10*9,"1",IF(D717&gt;$H$6/10*8,"2",IF(D717&gt;$H$6/10*7,"3",IF(D717&gt;$H$6/10*6,"4",IF(D717&gt;$H$6/10*5,"5",IF(D717&gt;$H$6/10*4,"6",IF(D717&gt;$H$6/10*3,"7",IF(D717&gt;$H$6/10*2,"8",IF(D717&gt;$H$6/10,"9","10")))))))))</f>
        <v>9</v>
      </c>
    </row>
    <row r="718" spans="1:5" x14ac:dyDescent="0.55000000000000004">
      <c r="A718">
        <v>2096</v>
      </c>
      <c r="B718">
        <f>estuary_data!Y709*weights!$C$9</f>
        <v>3.0485394477648711E-2</v>
      </c>
      <c r="C718">
        <f>estuary_data!X709*weights!$C$10</f>
        <v>9.7072511545250595E-2</v>
      </c>
      <c r="D718">
        <f>SUM(B718:C718)</f>
        <v>0.12755790602289929</v>
      </c>
      <c r="E718" s="2" t="str">
        <f>IF(D718&gt;$H$6/10*9,"1",IF(D718&gt;$H$6/10*8,"2",IF(D718&gt;$H$6/10*7,"3",IF(D718&gt;$H$6/10*6,"4",IF(D718&gt;$H$6/10*5,"5",IF(D718&gt;$H$6/10*4,"6",IF(D718&gt;$H$6/10*3,"7",IF(D718&gt;$H$6/10*2,"8",IF(D718&gt;$H$6/10,"9","10")))))))))</f>
        <v>9</v>
      </c>
    </row>
    <row r="719" spans="1:5" x14ac:dyDescent="0.55000000000000004">
      <c r="A719">
        <v>2097</v>
      </c>
      <c r="B719">
        <f>estuary_data!Y710*weights!$C$9</f>
        <v>2.8725473475837062E-2</v>
      </c>
      <c r="C719">
        <f>estuary_data!X710*weights!$C$10</f>
        <v>9.7178123727508156E-2</v>
      </c>
      <c r="D719">
        <f>SUM(B719:C719)</f>
        <v>0.12590359720334521</v>
      </c>
      <c r="E719" s="2" t="str">
        <f>IF(D719&gt;$H$6/10*9,"1",IF(D719&gt;$H$6/10*8,"2",IF(D719&gt;$H$6/10*7,"3",IF(D719&gt;$H$6/10*6,"4",IF(D719&gt;$H$6/10*5,"5",IF(D719&gt;$H$6/10*4,"6",IF(D719&gt;$H$6/10*3,"7",IF(D719&gt;$H$6/10*2,"8",IF(D719&gt;$H$6/10,"9","10")))))))))</f>
        <v>9</v>
      </c>
    </row>
    <row r="720" spans="1:5" x14ac:dyDescent="0.55000000000000004">
      <c r="A720">
        <v>2098</v>
      </c>
      <c r="B720">
        <f>estuary_data!Y711*weights!$C$9</f>
        <v>2.8725473475837062E-2</v>
      </c>
      <c r="C720">
        <f>estuary_data!X711*weights!$C$10</f>
        <v>9.7178123727508156E-2</v>
      </c>
      <c r="D720">
        <f>SUM(B720:C720)</f>
        <v>0.12590359720334521</v>
      </c>
      <c r="E720" s="2" t="str">
        <f>IF(D720&gt;$H$6/10*9,"1",IF(D720&gt;$H$6/10*8,"2",IF(D720&gt;$H$6/10*7,"3",IF(D720&gt;$H$6/10*6,"4",IF(D720&gt;$H$6/10*5,"5",IF(D720&gt;$H$6/10*4,"6",IF(D720&gt;$H$6/10*3,"7",IF(D720&gt;$H$6/10*2,"8",IF(D720&gt;$H$6/10,"9","10")))))))))</f>
        <v>9</v>
      </c>
    </row>
    <row r="721" spans="1:5" x14ac:dyDescent="0.55000000000000004">
      <c r="A721">
        <v>2099</v>
      </c>
      <c r="B721">
        <f>estuary_data!Y712*weights!$C$9</f>
        <v>2.8465437403661802E-2</v>
      </c>
      <c r="C721">
        <f>estuary_data!X712*weights!$C$10</f>
        <v>0.11136127571669401</v>
      </c>
      <c r="D721">
        <f>SUM(B721:C721)</f>
        <v>0.1398267131203558</v>
      </c>
      <c r="E721" s="2" t="str">
        <f>IF(D721&gt;$H$6/10*9,"1",IF(D721&gt;$H$6/10*8,"2",IF(D721&gt;$H$6/10*7,"3",IF(D721&gt;$H$6/10*6,"4",IF(D721&gt;$H$6/10*5,"5",IF(D721&gt;$H$6/10*4,"6",IF(D721&gt;$H$6/10*3,"7",IF(D721&gt;$H$6/10*2,"8",IF(D721&gt;$H$6/10,"9","10")))))))))</f>
        <v>9</v>
      </c>
    </row>
    <row r="722" spans="1:5" x14ac:dyDescent="0.55000000000000004">
      <c r="A722">
        <v>2100</v>
      </c>
      <c r="B722">
        <f>estuary_data!Y713*weights!$C$9</f>
        <v>2.8235954077007859E-2</v>
      </c>
      <c r="C722">
        <f>estuary_data!X713*weights!$C$10</f>
        <v>0.11157140463947279</v>
      </c>
      <c r="D722">
        <f>SUM(B722:C722)</f>
        <v>0.13980735871648065</v>
      </c>
      <c r="E722" s="2" t="str">
        <f>IF(D722&gt;$H$6/10*9,"1",IF(D722&gt;$H$6/10*8,"2",IF(D722&gt;$H$6/10*7,"3",IF(D722&gt;$H$6/10*6,"4",IF(D722&gt;$H$6/10*5,"5",IF(D722&gt;$H$6/10*4,"6",IF(D722&gt;$H$6/10*3,"7",IF(D722&gt;$H$6/10*2,"8",IF(D722&gt;$H$6/10,"9","10")))))))))</f>
        <v>9</v>
      </c>
    </row>
    <row r="723" spans="1:5" x14ac:dyDescent="0.55000000000000004">
      <c r="A723">
        <v>2103</v>
      </c>
      <c r="B723">
        <f>estuary_data!Y716*weights!$C$9</f>
        <v>2.99655982542123E-2</v>
      </c>
      <c r="C723">
        <f>estuary_data!X716*weights!$C$10</f>
        <v>0.11221078047382853</v>
      </c>
      <c r="D723">
        <f>SUM(B723:C723)</f>
        <v>0.14217637872804084</v>
      </c>
      <c r="E723" s="2" t="str">
        <f>IF(D723&gt;$H$6/10*9,"1",IF(D723&gt;$H$6/10*8,"2",IF(D723&gt;$H$6/10*7,"3",IF(D723&gt;$H$6/10*6,"4",IF(D723&gt;$H$6/10*5,"5",IF(D723&gt;$H$6/10*4,"6",IF(D723&gt;$H$6/10*3,"7",IF(D723&gt;$H$6/10*2,"8",IF(D723&gt;$H$6/10,"9","10")))))))))</f>
        <v>9</v>
      </c>
    </row>
    <row r="724" spans="1:5" x14ac:dyDescent="0.55000000000000004">
      <c r="A724">
        <v>2104</v>
      </c>
      <c r="B724">
        <f>estuary_data!Y717*weights!$C$9</f>
        <v>3.3768208618917717E-2</v>
      </c>
      <c r="C724">
        <f>estuary_data!X717*weights!$C$10</f>
        <v>0.13693822289208205</v>
      </c>
      <c r="D724">
        <f>SUM(B724:C724)</f>
        <v>0.17070643151099976</v>
      </c>
      <c r="E724" s="2" t="str">
        <f>IF(D724&gt;$H$6/10*9,"1",IF(D724&gt;$H$6/10*8,"2",IF(D724&gt;$H$6/10*7,"3",IF(D724&gt;$H$6/10*6,"4",IF(D724&gt;$H$6/10*5,"5",IF(D724&gt;$H$6/10*4,"6",IF(D724&gt;$H$6/10*3,"7",IF(D724&gt;$H$6/10*2,"8",IF(D724&gt;$H$6/10,"9","10")))))))))</f>
        <v>9</v>
      </c>
    </row>
    <row r="725" spans="1:5" x14ac:dyDescent="0.55000000000000004">
      <c r="A725">
        <v>2108</v>
      </c>
      <c r="B725">
        <f>estuary_data!Y721*weights!$C$9</f>
        <v>3.0335239748773973E-2</v>
      </c>
      <c r="C725">
        <f>estuary_data!X721*weights!$C$10</f>
        <v>0.13251350947228918</v>
      </c>
      <c r="D725">
        <f>SUM(B725:C725)</f>
        <v>0.16284874922106315</v>
      </c>
      <c r="E725" s="2" t="str">
        <f>IF(D725&gt;$H$6/10*9,"1",IF(D725&gt;$H$6/10*8,"2",IF(D725&gt;$H$6/10*7,"3",IF(D725&gt;$H$6/10*6,"4",IF(D725&gt;$H$6/10*5,"5",IF(D725&gt;$H$6/10*4,"6",IF(D725&gt;$H$6/10*3,"7",IF(D725&gt;$H$6/10*2,"8",IF(D725&gt;$H$6/10,"9","10")))))))))</f>
        <v>9</v>
      </c>
    </row>
    <row r="726" spans="1:5" x14ac:dyDescent="0.55000000000000004">
      <c r="A726">
        <v>2109</v>
      </c>
      <c r="B726">
        <f>estuary_data!Y722*weights!$C$9</f>
        <v>3.0014652273894969E-2</v>
      </c>
      <c r="C726">
        <f>estuary_data!X722*weights!$C$10</f>
        <v>0.12090910208018883</v>
      </c>
      <c r="D726">
        <f>SUM(B726:C726)</f>
        <v>0.15092375435408381</v>
      </c>
      <c r="E726" s="2" t="str">
        <f>IF(D726&gt;$H$6/10*9,"1",IF(D726&gt;$H$6/10*8,"2",IF(D726&gt;$H$6/10*7,"3",IF(D726&gt;$H$6/10*6,"4",IF(D726&gt;$H$6/10*5,"5",IF(D726&gt;$H$6/10*4,"6",IF(D726&gt;$H$6/10*3,"7",IF(D726&gt;$H$6/10*2,"8",IF(D726&gt;$H$6/10,"9","10")))))))))</f>
        <v>9</v>
      </c>
    </row>
    <row r="727" spans="1:5" x14ac:dyDescent="0.55000000000000004">
      <c r="A727">
        <v>3000</v>
      </c>
      <c r="B727">
        <f>estuary_data!Y723*weights!$C$9</f>
        <v>3.9851206974624825E-2</v>
      </c>
      <c r="C727">
        <f>estuary_data!X723*weights!$C$10</f>
        <v>0.14320352973754075</v>
      </c>
      <c r="D727">
        <f>SUM(B727:C727)</f>
        <v>0.18305473671216557</v>
      </c>
      <c r="E727" s="2" t="str">
        <f>IF(D727&gt;$H$6/10*9,"1",IF(D727&gt;$H$6/10*8,"2",IF(D727&gt;$H$6/10*7,"3",IF(D727&gt;$H$6/10*6,"4",IF(D727&gt;$H$6/10*5,"5",IF(D727&gt;$H$6/10*4,"6",IF(D727&gt;$H$6/10*3,"7",IF(D727&gt;$H$6/10*2,"8",IF(D727&gt;$H$6/10,"9","10")))))))))</f>
        <v>9</v>
      </c>
    </row>
    <row r="728" spans="1:5" x14ac:dyDescent="0.55000000000000004">
      <c r="A728">
        <v>3001</v>
      </c>
      <c r="B728">
        <f>estuary_data!Y724*weights!$C$9</f>
        <v>3.1902282857380608E-2</v>
      </c>
      <c r="C728">
        <f>estuary_data!X724*weights!$C$10</f>
        <v>0.11848183903278478</v>
      </c>
      <c r="D728">
        <f>SUM(B728:C728)</f>
        <v>0.1503841218901654</v>
      </c>
      <c r="E728" s="2" t="str">
        <f>IF(D728&gt;$H$6/10*9,"1",IF(D728&gt;$H$6/10*8,"2",IF(D728&gt;$H$6/10*7,"3",IF(D728&gt;$H$6/10*6,"4",IF(D728&gt;$H$6/10*5,"5",IF(D728&gt;$H$6/10*4,"6",IF(D728&gt;$H$6/10*3,"7",IF(D728&gt;$H$6/10*2,"8",IF(D728&gt;$H$6/10,"9","10")))))))))</f>
        <v>9</v>
      </c>
    </row>
    <row r="729" spans="1:5" x14ac:dyDescent="0.55000000000000004">
      <c r="A729">
        <v>3002</v>
      </c>
      <c r="B729">
        <f>estuary_data!Y725*weights!$C$9</f>
        <v>2.6335260221969657E-2</v>
      </c>
      <c r="C729">
        <f>estuary_data!X725*weights!$C$10</f>
        <v>0.11321751849414115</v>
      </c>
      <c r="D729">
        <f>SUM(B729:C729)</f>
        <v>0.1395527787161108</v>
      </c>
      <c r="E729" s="2" t="str">
        <f>IF(D729&gt;$H$6/10*9,"1",IF(D729&gt;$H$6/10*8,"2",IF(D729&gt;$H$6/10*7,"3",IF(D729&gt;$H$6/10*6,"4",IF(D729&gt;$H$6/10*5,"5",IF(D729&gt;$H$6/10*4,"6",IF(D729&gt;$H$6/10*3,"7",IF(D729&gt;$H$6/10*2,"8",IF(D729&gt;$H$6/10,"9","10")))))))))</f>
        <v>9</v>
      </c>
    </row>
    <row r="730" spans="1:5" x14ac:dyDescent="0.55000000000000004">
      <c r="A730">
        <v>3003</v>
      </c>
      <c r="B730">
        <f>estuary_data!Y726*weights!$C$9</f>
        <v>2.0746454242592204E-2</v>
      </c>
      <c r="C730">
        <f>estuary_data!X726*weights!$C$10</f>
        <v>9.1485508667222076E-2</v>
      </c>
      <c r="D730">
        <f>SUM(B730:C730)</f>
        <v>0.11223196290981428</v>
      </c>
      <c r="E730" s="2" t="str">
        <f>IF(D730&gt;$H$6/10*9,"1",IF(D730&gt;$H$6/10*8,"2",IF(D730&gt;$H$6/10*7,"3",IF(D730&gt;$H$6/10*6,"4",IF(D730&gt;$H$6/10*5,"5",IF(D730&gt;$H$6/10*4,"6",IF(D730&gt;$H$6/10*3,"7",IF(D730&gt;$H$6/10*2,"8",IF(D730&gt;$H$6/10,"9","10")))))))))</f>
        <v>9</v>
      </c>
    </row>
    <row r="731" spans="1:5" x14ac:dyDescent="0.55000000000000004">
      <c r="A731">
        <v>3004</v>
      </c>
      <c r="B731">
        <f>estuary_data!Y727*weights!$C$9</f>
        <v>3.5976343674004693E-2</v>
      </c>
      <c r="C731">
        <f>estuary_data!X727*weights!$C$10</f>
        <v>0.12659576566995492</v>
      </c>
      <c r="D731">
        <f>SUM(B731:C731)</f>
        <v>0.1625721093439596</v>
      </c>
      <c r="E731" s="2" t="str">
        <f>IF(D731&gt;$H$6/10*9,"1",IF(D731&gt;$H$6/10*8,"2",IF(D731&gt;$H$6/10*7,"3",IF(D731&gt;$H$6/10*6,"4",IF(D731&gt;$H$6/10*5,"5",IF(D731&gt;$H$6/10*4,"6",IF(D731&gt;$H$6/10*3,"7",IF(D731&gt;$H$6/10*2,"8",IF(D731&gt;$H$6/10,"9","10")))))))))</f>
        <v>9</v>
      </c>
    </row>
    <row r="732" spans="1:5" x14ac:dyDescent="0.55000000000000004">
      <c r="A732">
        <v>3005</v>
      </c>
      <c r="B732">
        <f>estuary_data!Y728*weights!$C$9</f>
        <v>2.7206546639240898E-2</v>
      </c>
      <c r="C732">
        <f>estuary_data!X728*weights!$C$10</f>
        <v>8.7514564588858895E-2</v>
      </c>
      <c r="D732">
        <f>SUM(B732:C732)</f>
        <v>0.11472111122809979</v>
      </c>
      <c r="E732" s="2" t="str">
        <f>IF(D732&gt;$H$6/10*9,"1",IF(D732&gt;$H$6/10*8,"2",IF(D732&gt;$H$6/10*7,"3",IF(D732&gt;$H$6/10*6,"4",IF(D732&gt;$H$6/10*5,"5",IF(D732&gt;$H$6/10*4,"6",IF(D732&gt;$H$6/10*3,"7",IF(D732&gt;$H$6/10*2,"8",IF(D732&gt;$H$6/10,"9","10")))))))))</f>
        <v>9</v>
      </c>
    </row>
    <row r="733" spans="1:5" x14ac:dyDescent="0.55000000000000004">
      <c r="A733">
        <v>3006</v>
      </c>
      <c r="B733">
        <f>estuary_data!Y729*weights!$C$9</f>
        <v>2.6024097235871447E-2</v>
      </c>
      <c r="C733">
        <f>estuary_data!X729*weights!$C$10</f>
        <v>8.7436058790198445E-2</v>
      </c>
      <c r="D733">
        <f>SUM(B733:C733)</f>
        <v>0.11346015602606989</v>
      </c>
      <c r="E733" s="2" t="str">
        <f>IF(D733&gt;$H$6/10*9,"1",IF(D733&gt;$H$6/10*8,"2",IF(D733&gt;$H$6/10*7,"3",IF(D733&gt;$H$6/10*6,"4",IF(D733&gt;$H$6/10*5,"5",IF(D733&gt;$H$6/10*4,"6",IF(D733&gt;$H$6/10*3,"7",IF(D733&gt;$H$6/10*2,"8",IF(D733&gt;$H$6/10,"9","10")))))))))</f>
        <v>9</v>
      </c>
    </row>
    <row r="734" spans="1:5" x14ac:dyDescent="0.55000000000000004">
      <c r="A734">
        <v>3008</v>
      </c>
      <c r="B734">
        <f>estuary_data!Y731*weights!$C$9</f>
        <v>2.3232579248161491E-2</v>
      </c>
      <c r="C734">
        <f>estuary_data!X731*weights!$C$10</f>
        <v>7.8299646835554584E-2</v>
      </c>
      <c r="D734">
        <f>SUM(B734:C734)</f>
        <v>0.10153222608371608</v>
      </c>
      <c r="E734" s="2" t="str">
        <f>IF(D734&gt;$H$6/10*9,"1",IF(D734&gt;$H$6/10*8,"2",IF(D734&gt;$H$6/10*7,"3",IF(D734&gt;$H$6/10*6,"4",IF(D734&gt;$H$6/10*5,"5",IF(D734&gt;$H$6/10*4,"6",IF(D734&gt;$H$6/10*3,"7",IF(D734&gt;$H$6/10*2,"8",IF(D734&gt;$H$6/10,"9","10")))))))))</f>
        <v>9</v>
      </c>
    </row>
    <row r="735" spans="1:5" x14ac:dyDescent="0.55000000000000004">
      <c r="A735">
        <v>3009</v>
      </c>
      <c r="B735">
        <f>estuary_data!Y732*weights!$C$9</f>
        <v>3.5522240716370272E-2</v>
      </c>
      <c r="C735">
        <f>estuary_data!X732*weights!$C$10</f>
        <v>0.10323060299724977</v>
      </c>
      <c r="D735">
        <f>SUM(B735:C735)</f>
        <v>0.13875284371362004</v>
      </c>
      <c r="E735" s="2" t="str">
        <f>IF(D735&gt;$H$6/10*9,"1",IF(D735&gt;$H$6/10*8,"2",IF(D735&gt;$H$6/10*7,"3",IF(D735&gt;$H$6/10*6,"4",IF(D735&gt;$H$6/10*5,"5",IF(D735&gt;$H$6/10*4,"6",IF(D735&gt;$H$6/10*3,"7",IF(D735&gt;$H$6/10*2,"8",IF(D735&gt;$H$6/10,"9","10")))))))))</f>
        <v>9</v>
      </c>
    </row>
    <row r="736" spans="1:5" x14ac:dyDescent="0.55000000000000004">
      <c r="A736">
        <v>3010</v>
      </c>
      <c r="B736">
        <f>estuary_data!Y733*weights!$C$9</f>
        <v>5.0357353691712216E-2</v>
      </c>
      <c r="C736">
        <f>estuary_data!X733*weights!$C$10</f>
        <v>0.13981244936584092</v>
      </c>
      <c r="D736">
        <f>SUM(B736:C736)</f>
        <v>0.19016980305755313</v>
      </c>
      <c r="E736" s="2" t="str">
        <f>IF(D736&gt;$H$6/10*9,"1",IF(D736&gt;$H$6/10*8,"2",IF(D736&gt;$H$6/10*7,"3",IF(D736&gt;$H$6/10*6,"4",IF(D736&gt;$H$6/10*5,"5",IF(D736&gt;$H$6/10*4,"6",IF(D736&gt;$H$6/10*3,"7",IF(D736&gt;$H$6/10*2,"8",IF(D736&gt;$H$6/10,"9","10")))))))))</f>
        <v>9</v>
      </c>
    </row>
    <row r="737" spans="1:5" x14ac:dyDescent="0.55000000000000004">
      <c r="A737">
        <v>3013</v>
      </c>
      <c r="B737">
        <f>estuary_data!Y736*weights!$C$9</f>
        <v>4.9095162908924073E-2</v>
      </c>
      <c r="C737">
        <f>estuary_data!X736*weights!$C$10</f>
        <v>0.14739964895313076</v>
      </c>
      <c r="D737">
        <f>SUM(B737:C737)</f>
        <v>0.19649481186205484</v>
      </c>
      <c r="E737" s="2" t="str">
        <f>IF(D737&gt;$H$6/10*9,"1",IF(D737&gt;$H$6/10*8,"2",IF(D737&gt;$H$6/10*7,"3",IF(D737&gt;$H$6/10*6,"4",IF(D737&gt;$H$6/10*5,"5",IF(D737&gt;$H$6/10*4,"6",IF(D737&gt;$H$6/10*3,"7",IF(D737&gt;$H$6/10*2,"8",IF(D737&gt;$H$6/10,"9","10")))))))))</f>
        <v>9</v>
      </c>
    </row>
    <row r="738" spans="1:5" x14ac:dyDescent="0.55000000000000004">
      <c r="A738">
        <v>3014</v>
      </c>
      <c r="B738">
        <f>estuary_data!Y737*weights!$C$9</f>
        <v>4.4447168324789975E-2</v>
      </c>
      <c r="C738">
        <f>estuary_data!X737*weights!$C$10</f>
        <v>0.12797063397419631</v>
      </c>
      <c r="D738">
        <f>SUM(B738:C738)</f>
        <v>0.17241780229898629</v>
      </c>
      <c r="E738" s="2" t="str">
        <f>IF(D738&gt;$H$6/10*9,"1",IF(D738&gt;$H$6/10*8,"2",IF(D738&gt;$H$6/10*7,"3",IF(D738&gt;$H$6/10*6,"4",IF(D738&gt;$H$6/10*5,"5",IF(D738&gt;$H$6/10*4,"6",IF(D738&gt;$H$6/10*3,"7",IF(D738&gt;$H$6/10*2,"8",IF(D738&gt;$H$6/10,"9","10")))))))))</f>
        <v>9</v>
      </c>
    </row>
    <row r="739" spans="1:5" x14ac:dyDescent="0.55000000000000004">
      <c r="A739">
        <v>3015</v>
      </c>
      <c r="B739">
        <f>estuary_data!Y738*weights!$C$9</f>
        <v>2.9011277155163748E-2</v>
      </c>
      <c r="C739">
        <f>estuary_data!X738*weights!$C$10</f>
        <v>9.047220186275072E-2</v>
      </c>
      <c r="D739">
        <f>SUM(B739:C739)</f>
        <v>0.11948347901791447</v>
      </c>
      <c r="E739" s="2" t="str">
        <f>IF(D739&gt;$H$6/10*9,"1",IF(D739&gt;$H$6/10*8,"2",IF(D739&gt;$H$6/10*7,"3",IF(D739&gt;$H$6/10*6,"4",IF(D739&gt;$H$6/10*5,"5",IF(D739&gt;$H$6/10*4,"6",IF(D739&gt;$H$6/10*3,"7",IF(D739&gt;$H$6/10*2,"8",IF(D739&gt;$H$6/10,"9","10")))))))))</f>
        <v>9</v>
      </c>
    </row>
    <row r="740" spans="1:5" x14ac:dyDescent="0.55000000000000004">
      <c r="A740">
        <v>3016</v>
      </c>
      <c r="B740">
        <f>estuary_data!Y739*weights!$C$9</f>
        <v>3.3040539678468345E-2</v>
      </c>
      <c r="C740">
        <f>estuary_data!X739*weights!$C$10</f>
        <v>0.1012026851682626</v>
      </c>
      <c r="D740">
        <f>SUM(B740:C740)</f>
        <v>0.13424322484673096</v>
      </c>
      <c r="E740" s="2" t="str">
        <f>IF(D740&gt;$H$6/10*9,"1",IF(D740&gt;$H$6/10*8,"2",IF(D740&gt;$H$6/10*7,"3",IF(D740&gt;$H$6/10*6,"4",IF(D740&gt;$H$6/10*5,"5",IF(D740&gt;$H$6/10*4,"6",IF(D740&gt;$H$6/10*3,"7",IF(D740&gt;$H$6/10*2,"8",IF(D740&gt;$H$6/10,"9","10")))))))))</f>
        <v>9</v>
      </c>
    </row>
    <row r="741" spans="1:5" x14ac:dyDescent="0.55000000000000004">
      <c r="A741">
        <v>3017</v>
      </c>
      <c r="B741">
        <f>estuary_data!Y740*weights!$C$9</f>
        <v>4.0360228179968829E-2</v>
      </c>
      <c r="C741">
        <f>estuary_data!X740*weights!$C$10</f>
        <v>0.11281819260704909</v>
      </c>
      <c r="D741">
        <f>SUM(B741:C741)</f>
        <v>0.15317842078701793</v>
      </c>
      <c r="E741" s="2" t="str">
        <f>IF(D741&gt;$H$6/10*9,"1",IF(D741&gt;$H$6/10*8,"2",IF(D741&gt;$H$6/10*7,"3",IF(D741&gt;$H$6/10*6,"4",IF(D741&gt;$H$6/10*5,"5",IF(D741&gt;$H$6/10*4,"6",IF(D741&gt;$H$6/10*3,"7",IF(D741&gt;$H$6/10*2,"8",IF(D741&gt;$H$6/10,"9","10")))))))))</f>
        <v>9</v>
      </c>
    </row>
    <row r="742" spans="1:5" x14ac:dyDescent="0.55000000000000004">
      <c r="A742">
        <v>3018</v>
      </c>
      <c r="B742">
        <f>estuary_data!Y741*weights!$C$9</f>
        <v>3.3283638153788569E-2</v>
      </c>
      <c r="C742">
        <f>estuary_data!X741*weights!$C$10</f>
        <v>0.10364793408023626</v>
      </c>
      <c r="D742">
        <f>SUM(B742:C742)</f>
        <v>0.13693157223402483</v>
      </c>
      <c r="E742" s="2" t="str">
        <f>IF(D742&gt;$H$6/10*9,"1",IF(D742&gt;$H$6/10*8,"2",IF(D742&gt;$H$6/10*7,"3",IF(D742&gt;$H$6/10*6,"4",IF(D742&gt;$H$6/10*5,"5",IF(D742&gt;$H$6/10*4,"6",IF(D742&gt;$H$6/10*3,"7",IF(D742&gt;$H$6/10*2,"8",IF(D742&gt;$H$6/10,"9","10")))))))))</f>
        <v>9</v>
      </c>
    </row>
    <row r="743" spans="1:5" x14ac:dyDescent="0.55000000000000004">
      <c r="A743">
        <v>3019</v>
      </c>
      <c r="B743">
        <f>estuary_data!Y742*weights!$C$9</f>
        <v>3.0650965798013855E-2</v>
      </c>
      <c r="C743">
        <f>estuary_data!X742*weights!$C$10</f>
        <v>0.10112614858721969</v>
      </c>
      <c r="D743">
        <f>SUM(B743:C743)</f>
        <v>0.13177711438523354</v>
      </c>
      <c r="E743" s="2" t="str">
        <f>IF(D743&gt;$H$6/10*9,"1",IF(D743&gt;$H$6/10*8,"2",IF(D743&gt;$H$6/10*7,"3",IF(D743&gt;$H$6/10*6,"4",IF(D743&gt;$H$6/10*5,"5",IF(D743&gt;$H$6/10*4,"6",IF(D743&gt;$H$6/10*3,"7",IF(D743&gt;$H$6/10*2,"8",IF(D743&gt;$H$6/10,"9","10")))))))))</f>
        <v>9</v>
      </c>
    </row>
    <row r="744" spans="1:5" x14ac:dyDescent="0.55000000000000004">
      <c r="A744">
        <v>3020</v>
      </c>
      <c r="B744">
        <f>estuary_data!Y743*weights!$C$9</f>
        <v>2.6635410389172338E-2</v>
      </c>
      <c r="C744">
        <f>estuary_data!X743*weights!$C$10</f>
        <v>0.11685301769250309</v>
      </c>
      <c r="D744">
        <f>SUM(B744:C744)</f>
        <v>0.14348842808167542</v>
      </c>
      <c r="E744" s="2" t="str">
        <f>IF(D744&gt;$H$6/10*9,"1",IF(D744&gt;$H$6/10*8,"2",IF(D744&gt;$H$6/10*7,"3",IF(D744&gt;$H$6/10*6,"4",IF(D744&gt;$H$6/10*5,"5",IF(D744&gt;$H$6/10*4,"6",IF(D744&gt;$H$6/10*3,"7",IF(D744&gt;$H$6/10*2,"8",IF(D744&gt;$H$6/10,"9","10")))))))))</f>
        <v>9</v>
      </c>
    </row>
    <row r="745" spans="1:5" x14ac:dyDescent="0.55000000000000004">
      <c r="A745">
        <v>3021</v>
      </c>
      <c r="B745">
        <f>estuary_data!Y744*weights!$C$9</f>
        <v>3.2157468724708455E-2</v>
      </c>
      <c r="C745">
        <f>estuary_data!X744*weights!$C$10</f>
        <v>9.7323305842822977E-2</v>
      </c>
      <c r="D745">
        <f>SUM(B745:C745)</f>
        <v>0.12948077456753143</v>
      </c>
      <c r="E745" s="2" t="str">
        <f>IF(D745&gt;$H$6/10*9,"1",IF(D745&gt;$H$6/10*8,"2",IF(D745&gt;$H$6/10*7,"3",IF(D745&gt;$H$6/10*6,"4",IF(D745&gt;$H$6/10*5,"5",IF(D745&gt;$H$6/10*4,"6",IF(D745&gt;$H$6/10*3,"7",IF(D745&gt;$H$6/10*2,"8",IF(D745&gt;$H$6/10,"9","10")))))))))</f>
        <v>9</v>
      </c>
    </row>
    <row r="746" spans="1:5" x14ac:dyDescent="0.55000000000000004">
      <c r="A746">
        <v>3022</v>
      </c>
      <c r="B746">
        <f>estuary_data!Y745*weights!$C$9</f>
        <v>2.9550691839005848E-2</v>
      </c>
      <c r="C746">
        <f>estuary_data!X745*weights!$C$10</f>
        <v>0.10254436932039716</v>
      </c>
      <c r="D746">
        <f>SUM(B746:C746)</f>
        <v>0.132095061159403</v>
      </c>
      <c r="E746" s="2" t="str">
        <f>IF(D746&gt;$H$6/10*9,"1",IF(D746&gt;$H$6/10*8,"2",IF(D746&gt;$H$6/10*7,"3",IF(D746&gt;$H$6/10*6,"4",IF(D746&gt;$H$6/10*5,"5",IF(D746&gt;$H$6/10*4,"6",IF(D746&gt;$H$6/10*3,"7",IF(D746&gt;$H$6/10*2,"8",IF(D746&gt;$H$6/10,"9","10")))))))))</f>
        <v>9</v>
      </c>
    </row>
    <row r="747" spans="1:5" x14ac:dyDescent="0.55000000000000004">
      <c r="A747">
        <v>3023</v>
      </c>
      <c r="B747">
        <f>estuary_data!Y746*weights!$C$9</f>
        <v>3.1354258039006919E-2</v>
      </c>
      <c r="C747">
        <f>estuary_data!X746*weights!$C$10</f>
        <v>9.6898476783333354E-2</v>
      </c>
      <c r="D747">
        <f>SUM(B747:C747)</f>
        <v>0.12825273482234029</v>
      </c>
      <c r="E747" s="2" t="str">
        <f>IF(D747&gt;$H$6/10*9,"1",IF(D747&gt;$H$6/10*8,"2",IF(D747&gt;$H$6/10*7,"3",IF(D747&gt;$H$6/10*6,"4",IF(D747&gt;$H$6/10*5,"5",IF(D747&gt;$H$6/10*4,"6",IF(D747&gt;$H$6/10*3,"7",IF(D747&gt;$H$6/10*2,"8",IF(D747&gt;$H$6/10,"9","10")))))))))</f>
        <v>9</v>
      </c>
    </row>
    <row r="748" spans="1:5" x14ac:dyDescent="0.55000000000000004">
      <c r="A748">
        <v>3024</v>
      </c>
      <c r="B748">
        <f>estuary_data!Y747*weights!$C$9</f>
        <v>3.2059587277116455E-2</v>
      </c>
      <c r="C748">
        <f>estuary_data!X747*weights!$C$10</f>
        <v>9.2342282002471368E-2</v>
      </c>
      <c r="D748">
        <f>SUM(B748:C748)</f>
        <v>0.12440186927958782</v>
      </c>
      <c r="E748" s="2" t="str">
        <f>IF(D748&gt;$H$6/10*9,"1",IF(D748&gt;$H$6/10*8,"2",IF(D748&gt;$H$6/10*7,"3",IF(D748&gt;$H$6/10*6,"4",IF(D748&gt;$H$6/10*5,"5",IF(D748&gt;$H$6/10*4,"6",IF(D748&gt;$H$6/10*3,"7",IF(D748&gt;$H$6/10*2,"8",IF(D748&gt;$H$6/10,"9","10")))))))))</f>
        <v>9</v>
      </c>
    </row>
    <row r="749" spans="1:5" x14ac:dyDescent="0.55000000000000004">
      <c r="A749">
        <v>3025</v>
      </c>
      <c r="B749">
        <f>estuary_data!Y748*weights!$C$9</f>
        <v>3.3317486448179362E-2</v>
      </c>
      <c r="C749">
        <f>estuary_data!X748*weights!$C$10</f>
        <v>9.2127965914746493E-2</v>
      </c>
      <c r="D749">
        <f>SUM(B749:C749)</f>
        <v>0.12544545236292587</v>
      </c>
      <c r="E749" s="2" t="str">
        <f>IF(D749&gt;$H$6/10*9,"1",IF(D749&gt;$H$6/10*8,"2",IF(D749&gt;$H$6/10*7,"3",IF(D749&gt;$H$6/10*6,"4",IF(D749&gt;$H$6/10*5,"5",IF(D749&gt;$H$6/10*4,"6",IF(D749&gt;$H$6/10*3,"7",IF(D749&gt;$H$6/10*2,"8",IF(D749&gt;$H$6/10,"9","10")))))))))</f>
        <v>9</v>
      </c>
    </row>
    <row r="750" spans="1:5" x14ac:dyDescent="0.55000000000000004">
      <c r="A750">
        <v>3026</v>
      </c>
      <c r="B750">
        <f>estuary_data!Y749*weights!$C$9</f>
        <v>4.1639024558263078E-2</v>
      </c>
      <c r="C750">
        <f>estuary_data!X749*weights!$C$10</f>
        <v>0.12498343137219575</v>
      </c>
      <c r="D750">
        <f>SUM(B750:C750)</f>
        <v>0.16662245593045882</v>
      </c>
      <c r="E750" s="2" t="str">
        <f>IF(D750&gt;$H$6/10*9,"1",IF(D750&gt;$H$6/10*8,"2",IF(D750&gt;$H$6/10*7,"3",IF(D750&gt;$H$6/10*6,"4",IF(D750&gt;$H$6/10*5,"5",IF(D750&gt;$H$6/10*4,"6",IF(D750&gt;$H$6/10*3,"7",IF(D750&gt;$H$6/10*2,"8",IF(D750&gt;$H$6/10,"9","10")))))))))</f>
        <v>9</v>
      </c>
    </row>
    <row r="751" spans="1:5" x14ac:dyDescent="0.55000000000000004">
      <c r="A751">
        <v>3027</v>
      </c>
      <c r="B751">
        <f>estuary_data!Y750*weights!$C$9</f>
        <v>4.5570367502102929E-2</v>
      </c>
      <c r="C751">
        <f>estuary_data!X750*weights!$C$10</f>
        <v>0.15195092713372618</v>
      </c>
      <c r="D751">
        <f>SUM(B751:C751)</f>
        <v>0.19752129463582913</v>
      </c>
      <c r="E751" s="2" t="str">
        <f>IF(D751&gt;$H$6/10*9,"1",IF(D751&gt;$H$6/10*8,"2",IF(D751&gt;$H$6/10*7,"3",IF(D751&gt;$H$6/10*6,"4",IF(D751&gt;$H$6/10*5,"5",IF(D751&gt;$H$6/10*4,"6",IF(D751&gt;$H$6/10*3,"7",IF(D751&gt;$H$6/10*2,"8",IF(D751&gt;$H$6/10,"9","10")))))))))</f>
        <v>9</v>
      </c>
    </row>
    <row r="752" spans="1:5" x14ac:dyDescent="0.55000000000000004">
      <c r="A752">
        <v>3030</v>
      </c>
      <c r="B752">
        <f>estuary_data!Y753*weights!$C$9</f>
        <v>2.233764971715441E-2</v>
      </c>
      <c r="C752">
        <f>estuary_data!X753*weights!$C$10</f>
        <v>7.8723392052101243E-2</v>
      </c>
      <c r="D752">
        <f>SUM(B752:C752)</f>
        <v>0.10106104176925565</v>
      </c>
      <c r="E752" s="2" t="str">
        <f>IF(D752&gt;$H$6/10*9,"1",IF(D752&gt;$H$6/10*8,"2",IF(D752&gt;$H$6/10*7,"3",IF(D752&gt;$H$6/10*6,"4",IF(D752&gt;$H$6/10*5,"5",IF(D752&gt;$H$6/10*4,"6",IF(D752&gt;$H$6/10*3,"7",IF(D752&gt;$H$6/10*2,"8",IF(D752&gt;$H$6/10,"9","10")))))))))</f>
        <v>9</v>
      </c>
    </row>
    <row r="753" spans="1:5" x14ac:dyDescent="0.55000000000000004">
      <c r="A753">
        <v>151</v>
      </c>
      <c r="B753">
        <f>estuary_data!Y152*weights!$C$9</f>
        <v>4.4696409195561997E-2</v>
      </c>
      <c r="C753" t="e">
        <f>estuary_data!X152*weights!$C$10</f>
        <v>#VALUE!</v>
      </c>
      <c r="D753" t="e">
        <f>SUM(B753:C753)</f>
        <v>#VALUE!</v>
      </c>
      <c r="E753" s="2" t="e">
        <f>IF(D753&gt;$H$6/10*9,"1",IF(D753&gt;$H$6/10*8,"2",IF(D753&gt;$H$6/10*7,"3",IF(D753&gt;$H$6/10*6,"4",IF(D753&gt;$H$6/10*5,"5",IF(D753&gt;$H$6/10*4,"6",IF(D753&gt;$H$6/10*3,"7",IF(D753&gt;$H$6/10*2,"8",IF(D753&gt;$H$6/10,"9","10")))))))))</f>
        <v>#VALUE!</v>
      </c>
    </row>
  </sheetData>
  <sortState xmlns:xlrd2="http://schemas.microsoft.com/office/spreadsheetml/2017/richdata2" ref="A2:E753">
    <sortCondition ref="E1:E75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5887E-291D-4B1B-8544-6FAF32B1BEAC}">
  <dimension ref="A1:A753"/>
  <sheetViews>
    <sheetView workbookViewId="0">
      <selection activeCell="K21" sqref="K21"/>
    </sheetView>
  </sheetViews>
  <sheetFormatPr defaultRowHeight="14.4" x14ac:dyDescent="0.55000000000000004"/>
  <sheetData>
    <row r="1" spans="1:1" x14ac:dyDescent="0.55000000000000004">
      <c r="A1" t="s">
        <v>0</v>
      </c>
    </row>
    <row r="2" spans="1:1" x14ac:dyDescent="0.55000000000000004">
      <c r="A2">
        <v>1</v>
      </c>
    </row>
    <row r="3" spans="1:1" x14ac:dyDescent="0.55000000000000004">
      <c r="A3">
        <v>2</v>
      </c>
    </row>
    <row r="4" spans="1:1" x14ac:dyDescent="0.55000000000000004">
      <c r="A4">
        <v>3</v>
      </c>
    </row>
    <row r="5" spans="1:1" x14ac:dyDescent="0.55000000000000004">
      <c r="A5">
        <v>4</v>
      </c>
    </row>
    <row r="6" spans="1:1" x14ac:dyDescent="0.55000000000000004">
      <c r="A6">
        <v>5</v>
      </c>
    </row>
    <row r="7" spans="1:1" x14ac:dyDescent="0.55000000000000004">
      <c r="A7">
        <v>6</v>
      </c>
    </row>
    <row r="8" spans="1:1" x14ac:dyDescent="0.55000000000000004">
      <c r="A8">
        <v>7</v>
      </c>
    </row>
    <row r="9" spans="1:1" x14ac:dyDescent="0.55000000000000004">
      <c r="A9">
        <v>8</v>
      </c>
    </row>
    <row r="10" spans="1:1" x14ac:dyDescent="0.55000000000000004">
      <c r="A10">
        <v>9</v>
      </c>
    </row>
    <row r="11" spans="1:1" x14ac:dyDescent="0.55000000000000004">
      <c r="A11">
        <v>10</v>
      </c>
    </row>
    <row r="12" spans="1:1" x14ac:dyDescent="0.55000000000000004">
      <c r="A12">
        <v>11</v>
      </c>
    </row>
    <row r="13" spans="1:1" x14ac:dyDescent="0.55000000000000004">
      <c r="A13">
        <v>12</v>
      </c>
    </row>
    <row r="14" spans="1:1" x14ac:dyDescent="0.55000000000000004">
      <c r="A14">
        <v>13</v>
      </c>
    </row>
    <row r="15" spans="1:1" x14ac:dyDescent="0.55000000000000004">
      <c r="A15">
        <v>14</v>
      </c>
    </row>
    <row r="16" spans="1:1" x14ac:dyDescent="0.55000000000000004">
      <c r="A16">
        <v>15</v>
      </c>
    </row>
    <row r="17" spans="1:1" x14ac:dyDescent="0.55000000000000004">
      <c r="A17">
        <v>16</v>
      </c>
    </row>
    <row r="18" spans="1:1" x14ac:dyDescent="0.55000000000000004">
      <c r="A18">
        <v>17</v>
      </c>
    </row>
    <row r="19" spans="1:1" x14ac:dyDescent="0.55000000000000004">
      <c r="A19">
        <v>18</v>
      </c>
    </row>
    <row r="20" spans="1:1" x14ac:dyDescent="0.55000000000000004">
      <c r="A20">
        <v>19</v>
      </c>
    </row>
    <row r="21" spans="1:1" x14ac:dyDescent="0.55000000000000004">
      <c r="A21">
        <v>20</v>
      </c>
    </row>
    <row r="22" spans="1:1" x14ac:dyDescent="0.55000000000000004">
      <c r="A22">
        <v>21</v>
      </c>
    </row>
    <row r="23" spans="1:1" x14ac:dyDescent="0.55000000000000004">
      <c r="A23">
        <v>22</v>
      </c>
    </row>
    <row r="24" spans="1:1" x14ac:dyDescent="0.55000000000000004">
      <c r="A24">
        <v>23</v>
      </c>
    </row>
    <row r="25" spans="1:1" x14ac:dyDescent="0.55000000000000004">
      <c r="A25">
        <v>24</v>
      </c>
    </row>
    <row r="26" spans="1:1" x14ac:dyDescent="0.55000000000000004">
      <c r="A26">
        <v>25</v>
      </c>
    </row>
    <row r="27" spans="1:1" x14ac:dyDescent="0.55000000000000004">
      <c r="A27">
        <v>26</v>
      </c>
    </row>
    <row r="28" spans="1:1" x14ac:dyDescent="0.55000000000000004">
      <c r="A28">
        <v>27</v>
      </c>
    </row>
    <row r="29" spans="1:1" x14ac:dyDescent="0.55000000000000004">
      <c r="A29">
        <v>28</v>
      </c>
    </row>
    <row r="30" spans="1:1" x14ac:dyDescent="0.55000000000000004">
      <c r="A30">
        <v>29</v>
      </c>
    </row>
    <row r="31" spans="1:1" x14ac:dyDescent="0.55000000000000004">
      <c r="A31">
        <v>30</v>
      </c>
    </row>
    <row r="32" spans="1:1" x14ac:dyDescent="0.55000000000000004">
      <c r="A32">
        <v>31</v>
      </c>
    </row>
    <row r="33" spans="1:1" x14ac:dyDescent="0.55000000000000004">
      <c r="A33">
        <v>32</v>
      </c>
    </row>
    <row r="34" spans="1:1" x14ac:dyDescent="0.55000000000000004">
      <c r="A34">
        <v>33</v>
      </c>
    </row>
    <row r="35" spans="1:1" x14ac:dyDescent="0.55000000000000004">
      <c r="A35">
        <v>34</v>
      </c>
    </row>
    <row r="36" spans="1:1" x14ac:dyDescent="0.55000000000000004">
      <c r="A36">
        <v>35</v>
      </c>
    </row>
    <row r="37" spans="1:1" x14ac:dyDescent="0.55000000000000004">
      <c r="A37">
        <v>36</v>
      </c>
    </row>
    <row r="38" spans="1:1" x14ac:dyDescent="0.55000000000000004">
      <c r="A38">
        <v>37</v>
      </c>
    </row>
    <row r="39" spans="1:1" x14ac:dyDescent="0.55000000000000004">
      <c r="A39">
        <v>38</v>
      </c>
    </row>
    <row r="40" spans="1:1" x14ac:dyDescent="0.55000000000000004">
      <c r="A40">
        <v>39</v>
      </c>
    </row>
    <row r="41" spans="1:1" x14ac:dyDescent="0.55000000000000004">
      <c r="A41">
        <v>40</v>
      </c>
    </row>
    <row r="42" spans="1:1" x14ac:dyDescent="0.55000000000000004">
      <c r="A42">
        <v>41</v>
      </c>
    </row>
    <row r="43" spans="1:1" x14ac:dyDescent="0.55000000000000004">
      <c r="A43">
        <v>42</v>
      </c>
    </row>
    <row r="44" spans="1:1" x14ac:dyDescent="0.55000000000000004">
      <c r="A44">
        <v>43</v>
      </c>
    </row>
    <row r="45" spans="1:1" x14ac:dyDescent="0.55000000000000004">
      <c r="A45">
        <v>44</v>
      </c>
    </row>
    <row r="46" spans="1:1" x14ac:dyDescent="0.55000000000000004">
      <c r="A46">
        <v>45</v>
      </c>
    </row>
    <row r="47" spans="1:1" x14ac:dyDescent="0.55000000000000004">
      <c r="A47">
        <v>46</v>
      </c>
    </row>
    <row r="48" spans="1:1" x14ac:dyDescent="0.55000000000000004">
      <c r="A48">
        <v>47</v>
      </c>
    </row>
    <row r="49" spans="1:1" x14ac:dyDescent="0.55000000000000004">
      <c r="A49">
        <v>48</v>
      </c>
    </row>
    <row r="50" spans="1:1" x14ac:dyDescent="0.55000000000000004">
      <c r="A50">
        <v>49</v>
      </c>
    </row>
    <row r="51" spans="1:1" x14ac:dyDescent="0.55000000000000004">
      <c r="A51">
        <v>50</v>
      </c>
    </row>
    <row r="52" spans="1:1" x14ac:dyDescent="0.55000000000000004">
      <c r="A52">
        <v>51</v>
      </c>
    </row>
    <row r="53" spans="1:1" x14ac:dyDescent="0.55000000000000004">
      <c r="A53">
        <v>52</v>
      </c>
    </row>
    <row r="54" spans="1:1" x14ac:dyDescent="0.55000000000000004">
      <c r="A54">
        <v>53</v>
      </c>
    </row>
    <row r="55" spans="1:1" x14ac:dyDescent="0.55000000000000004">
      <c r="A55">
        <v>54</v>
      </c>
    </row>
    <row r="56" spans="1:1" x14ac:dyDescent="0.55000000000000004">
      <c r="A56">
        <v>55</v>
      </c>
    </row>
    <row r="57" spans="1:1" x14ac:dyDescent="0.55000000000000004">
      <c r="A57">
        <v>56</v>
      </c>
    </row>
    <row r="58" spans="1:1" x14ac:dyDescent="0.55000000000000004">
      <c r="A58">
        <v>57</v>
      </c>
    </row>
    <row r="59" spans="1:1" x14ac:dyDescent="0.55000000000000004">
      <c r="A59">
        <v>58</v>
      </c>
    </row>
    <row r="60" spans="1:1" x14ac:dyDescent="0.55000000000000004">
      <c r="A60">
        <v>59</v>
      </c>
    </row>
    <row r="61" spans="1:1" x14ac:dyDescent="0.55000000000000004">
      <c r="A61">
        <v>60</v>
      </c>
    </row>
    <row r="62" spans="1:1" x14ac:dyDescent="0.55000000000000004">
      <c r="A62">
        <v>61</v>
      </c>
    </row>
    <row r="63" spans="1:1" x14ac:dyDescent="0.55000000000000004">
      <c r="A63">
        <v>62</v>
      </c>
    </row>
    <row r="64" spans="1:1" x14ac:dyDescent="0.55000000000000004">
      <c r="A64">
        <v>63</v>
      </c>
    </row>
    <row r="65" spans="1:1" x14ac:dyDescent="0.55000000000000004">
      <c r="A65">
        <v>64</v>
      </c>
    </row>
    <row r="66" spans="1:1" x14ac:dyDescent="0.55000000000000004">
      <c r="A66">
        <v>65</v>
      </c>
    </row>
    <row r="67" spans="1:1" x14ac:dyDescent="0.55000000000000004">
      <c r="A67">
        <v>66</v>
      </c>
    </row>
    <row r="68" spans="1:1" x14ac:dyDescent="0.55000000000000004">
      <c r="A68">
        <v>67</v>
      </c>
    </row>
    <row r="69" spans="1:1" x14ac:dyDescent="0.55000000000000004">
      <c r="A69">
        <v>68</v>
      </c>
    </row>
    <row r="70" spans="1:1" x14ac:dyDescent="0.55000000000000004">
      <c r="A70">
        <v>69</v>
      </c>
    </row>
    <row r="71" spans="1:1" x14ac:dyDescent="0.55000000000000004">
      <c r="A71">
        <v>70</v>
      </c>
    </row>
    <row r="72" spans="1:1" x14ac:dyDescent="0.55000000000000004">
      <c r="A72">
        <v>71</v>
      </c>
    </row>
    <row r="73" spans="1:1" x14ac:dyDescent="0.55000000000000004">
      <c r="A73">
        <v>72</v>
      </c>
    </row>
    <row r="74" spans="1:1" x14ac:dyDescent="0.55000000000000004">
      <c r="A74">
        <v>73</v>
      </c>
    </row>
    <row r="75" spans="1:1" x14ac:dyDescent="0.55000000000000004">
      <c r="A75">
        <v>74</v>
      </c>
    </row>
    <row r="76" spans="1:1" x14ac:dyDescent="0.55000000000000004">
      <c r="A76">
        <v>75</v>
      </c>
    </row>
    <row r="77" spans="1:1" x14ac:dyDescent="0.55000000000000004">
      <c r="A77">
        <v>76</v>
      </c>
    </row>
    <row r="78" spans="1:1" x14ac:dyDescent="0.55000000000000004">
      <c r="A78">
        <v>77</v>
      </c>
    </row>
    <row r="79" spans="1:1" x14ac:dyDescent="0.55000000000000004">
      <c r="A79">
        <v>78</v>
      </c>
    </row>
    <row r="80" spans="1:1" x14ac:dyDescent="0.55000000000000004">
      <c r="A80">
        <v>79</v>
      </c>
    </row>
    <row r="81" spans="1:1" x14ac:dyDescent="0.55000000000000004">
      <c r="A81">
        <v>80</v>
      </c>
    </row>
    <row r="82" spans="1:1" x14ac:dyDescent="0.55000000000000004">
      <c r="A82">
        <v>81</v>
      </c>
    </row>
    <row r="83" spans="1:1" x14ac:dyDescent="0.55000000000000004">
      <c r="A83">
        <v>82</v>
      </c>
    </row>
    <row r="84" spans="1:1" x14ac:dyDescent="0.55000000000000004">
      <c r="A84">
        <v>83</v>
      </c>
    </row>
    <row r="85" spans="1:1" x14ac:dyDescent="0.55000000000000004">
      <c r="A85">
        <v>84</v>
      </c>
    </row>
    <row r="86" spans="1:1" x14ac:dyDescent="0.55000000000000004">
      <c r="A86">
        <v>85</v>
      </c>
    </row>
    <row r="87" spans="1:1" x14ac:dyDescent="0.55000000000000004">
      <c r="A87">
        <v>86</v>
      </c>
    </row>
    <row r="88" spans="1:1" x14ac:dyDescent="0.55000000000000004">
      <c r="A88">
        <v>87</v>
      </c>
    </row>
    <row r="89" spans="1:1" x14ac:dyDescent="0.55000000000000004">
      <c r="A89">
        <v>88</v>
      </c>
    </row>
    <row r="90" spans="1:1" x14ac:dyDescent="0.55000000000000004">
      <c r="A90">
        <v>89</v>
      </c>
    </row>
    <row r="91" spans="1:1" x14ac:dyDescent="0.55000000000000004">
      <c r="A91">
        <v>90</v>
      </c>
    </row>
    <row r="92" spans="1:1" x14ac:dyDescent="0.55000000000000004">
      <c r="A92">
        <v>91</v>
      </c>
    </row>
    <row r="93" spans="1:1" x14ac:dyDescent="0.55000000000000004">
      <c r="A93">
        <v>92</v>
      </c>
    </row>
    <row r="94" spans="1:1" x14ac:dyDescent="0.55000000000000004">
      <c r="A94">
        <v>93</v>
      </c>
    </row>
    <row r="95" spans="1:1" x14ac:dyDescent="0.55000000000000004">
      <c r="A95">
        <v>94</v>
      </c>
    </row>
    <row r="96" spans="1:1" x14ac:dyDescent="0.55000000000000004">
      <c r="A96">
        <v>95</v>
      </c>
    </row>
    <row r="97" spans="1:1" x14ac:dyDescent="0.55000000000000004">
      <c r="A97">
        <v>96</v>
      </c>
    </row>
    <row r="98" spans="1:1" x14ac:dyDescent="0.55000000000000004">
      <c r="A98">
        <v>97</v>
      </c>
    </row>
    <row r="99" spans="1:1" x14ac:dyDescent="0.55000000000000004">
      <c r="A99">
        <v>98</v>
      </c>
    </row>
    <row r="100" spans="1:1" x14ac:dyDescent="0.55000000000000004">
      <c r="A100">
        <v>99</v>
      </c>
    </row>
    <row r="101" spans="1:1" x14ac:dyDescent="0.55000000000000004">
      <c r="A101">
        <v>100</v>
      </c>
    </row>
    <row r="102" spans="1:1" x14ac:dyDescent="0.55000000000000004">
      <c r="A102">
        <v>101</v>
      </c>
    </row>
    <row r="103" spans="1:1" x14ac:dyDescent="0.55000000000000004">
      <c r="A103">
        <v>102</v>
      </c>
    </row>
    <row r="104" spans="1:1" x14ac:dyDescent="0.55000000000000004">
      <c r="A104">
        <v>103</v>
      </c>
    </row>
    <row r="105" spans="1:1" x14ac:dyDescent="0.55000000000000004">
      <c r="A105">
        <v>104</v>
      </c>
    </row>
    <row r="106" spans="1:1" x14ac:dyDescent="0.55000000000000004">
      <c r="A106">
        <v>105</v>
      </c>
    </row>
    <row r="107" spans="1:1" x14ac:dyDescent="0.55000000000000004">
      <c r="A107">
        <v>106</v>
      </c>
    </row>
    <row r="108" spans="1:1" x14ac:dyDescent="0.55000000000000004">
      <c r="A108">
        <v>107</v>
      </c>
    </row>
    <row r="109" spans="1:1" x14ac:dyDescent="0.55000000000000004">
      <c r="A109">
        <v>108</v>
      </c>
    </row>
    <row r="110" spans="1:1" x14ac:dyDescent="0.55000000000000004">
      <c r="A110">
        <v>109</v>
      </c>
    </row>
    <row r="111" spans="1:1" x14ac:dyDescent="0.55000000000000004">
      <c r="A111">
        <v>110</v>
      </c>
    </row>
    <row r="112" spans="1:1" x14ac:dyDescent="0.55000000000000004">
      <c r="A112">
        <v>111</v>
      </c>
    </row>
    <row r="113" spans="1:1" x14ac:dyDescent="0.55000000000000004">
      <c r="A113">
        <v>112</v>
      </c>
    </row>
    <row r="114" spans="1:1" x14ac:dyDescent="0.55000000000000004">
      <c r="A114">
        <v>113</v>
      </c>
    </row>
    <row r="115" spans="1:1" x14ac:dyDescent="0.55000000000000004">
      <c r="A115">
        <v>114</v>
      </c>
    </row>
    <row r="116" spans="1:1" x14ac:dyDescent="0.55000000000000004">
      <c r="A116">
        <v>115</v>
      </c>
    </row>
    <row r="117" spans="1:1" x14ac:dyDescent="0.55000000000000004">
      <c r="A117">
        <v>116</v>
      </c>
    </row>
    <row r="118" spans="1:1" x14ac:dyDescent="0.55000000000000004">
      <c r="A118">
        <v>117</v>
      </c>
    </row>
    <row r="119" spans="1:1" x14ac:dyDescent="0.55000000000000004">
      <c r="A119">
        <v>118</v>
      </c>
    </row>
    <row r="120" spans="1:1" x14ac:dyDescent="0.55000000000000004">
      <c r="A120">
        <v>119</v>
      </c>
    </row>
    <row r="121" spans="1:1" x14ac:dyDescent="0.55000000000000004">
      <c r="A121">
        <v>120</v>
      </c>
    </row>
    <row r="122" spans="1:1" x14ac:dyDescent="0.55000000000000004">
      <c r="A122">
        <v>121</v>
      </c>
    </row>
    <row r="123" spans="1:1" x14ac:dyDescent="0.55000000000000004">
      <c r="A123">
        <v>122</v>
      </c>
    </row>
    <row r="124" spans="1:1" x14ac:dyDescent="0.55000000000000004">
      <c r="A124">
        <v>123</v>
      </c>
    </row>
    <row r="125" spans="1:1" x14ac:dyDescent="0.55000000000000004">
      <c r="A125">
        <v>124</v>
      </c>
    </row>
    <row r="126" spans="1:1" x14ac:dyDescent="0.55000000000000004">
      <c r="A126">
        <v>125</v>
      </c>
    </row>
    <row r="127" spans="1:1" x14ac:dyDescent="0.55000000000000004">
      <c r="A127">
        <v>126</v>
      </c>
    </row>
    <row r="128" spans="1:1" x14ac:dyDescent="0.55000000000000004">
      <c r="A128">
        <v>127</v>
      </c>
    </row>
    <row r="129" spans="1:1" x14ac:dyDescent="0.55000000000000004">
      <c r="A129">
        <v>128</v>
      </c>
    </row>
    <row r="130" spans="1:1" x14ac:dyDescent="0.55000000000000004">
      <c r="A130">
        <v>129</v>
      </c>
    </row>
    <row r="131" spans="1:1" x14ac:dyDescent="0.55000000000000004">
      <c r="A131">
        <v>130</v>
      </c>
    </row>
    <row r="132" spans="1:1" x14ac:dyDescent="0.55000000000000004">
      <c r="A132">
        <v>131</v>
      </c>
    </row>
    <row r="133" spans="1:1" x14ac:dyDescent="0.55000000000000004">
      <c r="A133">
        <v>132</v>
      </c>
    </row>
    <row r="134" spans="1:1" x14ac:dyDescent="0.55000000000000004">
      <c r="A134">
        <v>133</v>
      </c>
    </row>
    <row r="135" spans="1:1" x14ac:dyDescent="0.55000000000000004">
      <c r="A135">
        <v>134</v>
      </c>
    </row>
    <row r="136" spans="1:1" x14ac:dyDescent="0.55000000000000004">
      <c r="A136">
        <v>135</v>
      </c>
    </row>
    <row r="137" spans="1:1" x14ac:dyDescent="0.55000000000000004">
      <c r="A137">
        <v>136</v>
      </c>
    </row>
    <row r="138" spans="1:1" x14ac:dyDescent="0.55000000000000004">
      <c r="A138">
        <v>137</v>
      </c>
    </row>
    <row r="139" spans="1:1" x14ac:dyDescent="0.55000000000000004">
      <c r="A139">
        <v>138</v>
      </c>
    </row>
    <row r="140" spans="1:1" x14ac:dyDescent="0.55000000000000004">
      <c r="A140">
        <v>139</v>
      </c>
    </row>
    <row r="141" spans="1:1" x14ac:dyDescent="0.55000000000000004">
      <c r="A141">
        <v>140</v>
      </c>
    </row>
    <row r="142" spans="1:1" x14ac:dyDescent="0.55000000000000004">
      <c r="A142">
        <v>141</v>
      </c>
    </row>
    <row r="143" spans="1:1" x14ac:dyDescent="0.55000000000000004">
      <c r="A143">
        <v>142</v>
      </c>
    </row>
    <row r="144" spans="1:1" x14ac:dyDescent="0.55000000000000004">
      <c r="A144">
        <v>143</v>
      </c>
    </row>
    <row r="145" spans="1:1" x14ac:dyDescent="0.55000000000000004">
      <c r="A145">
        <v>144</v>
      </c>
    </row>
    <row r="146" spans="1:1" x14ac:dyDescent="0.55000000000000004">
      <c r="A146">
        <v>145</v>
      </c>
    </row>
    <row r="147" spans="1:1" x14ac:dyDescent="0.55000000000000004">
      <c r="A147">
        <v>146</v>
      </c>
    </row>
    <row r="148" spans="1:1" x14ac:dyDescent="0.55000000000000004">
      <c r="A148">
        <v>147</v>
      </c>
    </row>
    <row r="149" spans="1:1" x14ac:dyDescent="0.55000000000000004">
      <c r="A149">
        <v>148</v>
      </c>
    </row>
    <row r="150" spans="1:1" x14ac:dyDescent="0.55000000000000004">
      <c r="A150">
        <v>149</v>
      </c>
    </row>
    <row r="151" spans="1:1" x14ac:dyDescent="0.55000000000000004">
      <c r="A151">
        <v>150</v>
      </c>
    </row>
    <row r="152" spans="1:1" x14ac:dyDescent="0.55000000000000004">
      <c r="A152">
        <v>151</v>
      </c>
    </row>
    <row r="153" spans="1:1" x14ac:dyDescent="0.55000000000000004">
      <c r="A153">
        <v>152</v>
      </c>
    </row>
    <row r="154" spans="1:1" x14ac:dyDescent="0.55000000000000004">
      <c r="A154">
        <v>153</v>
      </c>
    </row>
    <row r="155" spans="1:1" x14ac:dyDescent="0.55000000000000004">
      <c r="A155">
        <v>154</v>
      </c>
    </row>
    <row r="156" spans="1:1" x14ac:dyDescent="0.55000000000000004">
      <c r="A156">
        <v>155</v>
      </c>
    </row>
    <row r="157" spans="1:1" x14ac:dyDescent="0.55000000000000004">
      <c r="A157">
        <v>156</v>
      </c>
    </row>
    <row r="158" spans="1:1" x14ac:dyDescent="0.55000000000000004">
      <c r="A158">
        <v>157</v>
      </c>
    </row>
    <row r="159" spans="1:1" x14ac:dyDescent="0.55000000000000004">
      <c r="A159">
        <v>158</v>
      </c>
    </row>
    <row r="160" spans="1:1" x14ac:dyDescent="0.55000000000000004">
      <c r="A160">
        <v>159</v>
      </c>
    </row>
    <row r="161" spans="1:1" x14ac:dyDescent="0.55000000000000004">
      <c r="A161">
        <v>160</v>
      </c>
    </row>
    <row r="162" spans="1:1" x14ac:dyDescent="0.55000000000000004">
      <c r="A162">
        <v>161</v>
      </c>
    </row>
    <row r="163" spans="1:1" x14ac:dyDescent="0.55000000000000004">
      <c r="A163">
        <v>162</v>
      </c>
    </row>
    <row r="164" spans="1:1" x14ac:dyDescent="0.55000000000000004">
      <c r="A164">
        <v>163</v>
      </c>
    </row>
    <row r="165" spans="1:1" x14ac:dyDescent="0.55000000000000004">
      <c r="A165">
        <v>164</v>
      </c>
    </row>
    <row r="166" spans="1:1" x14ac:dyDescent="0.55000000000000004">
      <c r="A166">
        <v>165</v>
      </c>
    </row>
    <row r="167" spans="1:1" x14ac:dyDescent="0.55000000000000004">
      <c r="A167">
        <v>166</v>
      </c>
    </row>
    <row r="168" spans="1:1" x14ac:dyDescent="0.55000000000000004">
      <c r="A168">
        <v>167</v>
      </c>
    </row>
    <row r="169" spans="1:1" x14ac:dyDescent="0.55000000000000004">
      <c r="A169">
        <v>168</v>
      </c>
    </row>
    <row r="170" spans="1:1" x14ac:dyDescent="0.55000000000000004">
      <c r="A170">
        <v>169</v>
      </c>
    </row>
    <row r="171" spans="1:1" x14ac:dyDescent="0.55000000000000004">
      <c r="A171">
        <v>170</v>
      </c>
    </row>
    <row r="172" spans="1:1" x14ac:dyDescent="0.55000000000000004">
      <c r="A172">
        <v>171</v>
      </c>
    </row>
    <row r="173" spans="1:1" x14ac:dyDescent="0.55000000000000004">
      <c r="A173">
        <v>172</v>
      </c>
    </row>
    <row r="174" spans="1:1" x14ac:dyDescent="0.55000000000000004">
      <c r="A174">
        <v>173</v>
      </c>
    </row>
    <row r="175" spans="1:1" x14ac:dyDescent="0.55000000000000004">
      <c r="A175">
        <v>174</v>
      </c>
    </row>
    <row r="176" spans="1:1" x14ac:dyDescent="0.55000000000000004">
      <c r="A176">
        <v>175</v>
      </c>
    </row>
    <row r="177" spans="1:1" x14ac:dyDescent="0.55000000000000004">
      <c r="A177">
        <v>176</v>
      </c>
    </row>
    <row r="178" spans="1:1" x14ac:dyDescent="0.55000000000000004">
      <c r="A178">
        <v>177</v>
      </c>
    </row>
    <row r="179" spans="1:1" x14ac:dyDescent="0.55000000000000004">
      <c r="A179">
        <v>178</v>
      </c>
    </row>
    <row r="180" spans="1:1" x14ac:dyDescent="0.55000000000000004">
      <c r="A180">
        <v>179</v>
      </c>
    </row>
    <row r="181" spans="1:1" x14ac:dyDescent="0.55000000000000004">
      <c r="A181">
        <v>180</v>
      </c>
    </row>
    <row r="182" spans="1:1" x14ac:dyDescent="0.55000000000000004">
      <c r="A182">
        <v>181</v>
      </c>
    </row>
    <row r="183" spans="1:1" x14ac:dyDescent="0.55000000000000004">
      <c r="A183">
        <v>182</v>
      </c>
    </row>
    <row r="184" spans="1:1" x14ac:dyDescent="0.55000000000000004">
      <c r="A184">
        <v>183</v>
      </c>
    </row>
    <row r="185" spans="1:1" x14ac:dyDescent="0.55000000000000004">
      <c r="A185">
        <v>184</v>
      </c>
    </row>
    <row r="186" spans="1:1" x14ac:dyDescent="0.55000000000000004">
      <c r="A186">
        <v>185</v>
      </c>
    </row>
    <row r="187" spans="1:1" x14ac:dyDescent="0.55000000000000004">
      <c r="A187">
        <v>186</v>
      </c>
    </row>
    <row r="188" spans="1:1" x14ac:dyDescent="0.55000000000000004">
      <c r="A188">
        <v>187</v>
      </c>
    </row>
    <row r="189" spans="1:1" x14ac:dyDescent="0.55000000000000004">
      <c r="A189">
        <v>188</v>
      </c>
    </row>
    <row r="190" spans="1:1" x14ac:dyDescent="0.55000000000000004">
      <c r="A190">
        <v>189</v>
      </c>
    </row>
    <row r="191" spans="1:1" x14ac:dyDescent="0.55000000000000004">
      <c r="A191">
        <v>190</v>
      </c>
    </row>
    <row r="192" spans="1:1" x14ac:dyDescent="0.55000000000000004">
      <c r="A192">
        <v>191</v>
      </c>
    </row>
    <row r="193" spans="1:1" x14ac:dyDescent="0.55000000000000004">
      <c r="A193">
        <v>192</v>
      </c>
    </row>
    <row r="194" spans="1:1" x14ac:dyDescent="0.55000000000000004">
      <c r="A194">
        <v>193</v>
      </c>
    </row>
    <row r="195" spans="1:1" x14ac:dyDescent="0.55000000000000004">
      <c r="A195">
        <v>194</v>
      </c>
    </row>
    <row r="196" spans="1:1" x14ac:dyDescent="0.55000000000000004">
      <c r="A196">
        <v>195</v>
      </c>
    </row>
    <row r="197" spans="1:1" x14ac:dyDescent="0.55000000000000004">
      <c r="A197">
        <v>196</v>
      </c>
    </row>
    <row r="198" spans="1:1" x14ac:dyDescent="0.55000000000000004">
      <c r="A198">
        <v>197</v>
      </c>
    </row>
    <row r="199" spans="1:1" x14ac:dyDescent="0.55000000000000004">
      <c r="A199">
        <v>198</v>
      </c>
    </row>
    <row r="200" spans="1:1" x14ac:dyDescent="0.55000000000000004">
      <c r="A200">
        <v>199</v>
      </c>
    </row>
    <row r="201" spans="1:1" x14ac:dyDescent="0.55000000000000004">
      <c r="A201">
        <v>200</v>
      </c>
    </row>
    <row r="202" spans="1:1" x14ac:dyDescent="0.55000000000000004">
      <c r="A202">
        <v>201</v>
      </c>
    </row>
    <row r="203" spans="1:1" x14ac:dyDescent="0.55000000000000004">
      <c r="A203">
        <v>202</v>
      </c>
    </row>
    <row r="204" spans="1:1" x14ac:dyDescent="0.55000000000000004">
      <c r="A204">
        <v>203</v>
      </c>
    </row>
    <row r="205" spans="1:1" x14ac:dyDescent="0.55000000000000004">
      <c r="A205">
        <v>204</v>
      </c>
    </row>
    <row r="206" spans="1:1" x14ac:dyDescent="0.55000000000000004">
      <c r="A206">
        <v>205</v>
      </c>
    </row>
    <row r="207" spans="1:1" x14ac:dyDescent="0.55000000000000004">
      <c r="A207">
        <v>206</v>
      </c>
    </row>
    <row r="208" spans="1:1" x14ac:dyDescent="0.55000000000000004">
      <c r="A208">
        <v>207</v>
      </c>
    </row>
    <row r="209" spans="1:1" x14ac:dyDescent="0.55000000000000004">
      <c r="A209">
        <v>208</v>
      </c>
    </row>
    <row r="210" spans="1:1" x14ac:dyDescent="0.55000000000000004">
      <c r="A210">
        <v>209</v>
      </c>
    </row>
    <row r="211" spans="1:1" x14ac:dyDescent="0.55000000000000004">
      <c r="A211">
        <v>210</v>
      </c>
    </row>
    <row r="212" spans="1:1" x14ac:dyDescent="0.55000000000000004">
      <c r="A212">
        <v>211</v>
      </c>
    </row>
    <row r="213" spans="1:1" x14ac:dyDescent="0.55000000000000004">
      <c r="A213">
        <v>212</v>
      </c>
    </row>
    <row r="214" spans="1:1" x14ac:dyDescent="0.55000000000000004">
      <c r="A214">
        <v>213</v>
      </c>
    </row>
    <row r="215" spans="1:1" x14ac:dyDescent="0.55000000000000004">
      <c r="A215">
        <v>214</v>
      </c>
    </row>
    <row r="216" spans="1:1" x14ac:dyDescent="0.55000000000000004">
      <c r="A216">
        <v>215</v>
      </c>
    </row>
    <row r="217" spans="1:1" x14ac:dyDescent="0.55000000000000004">
      <c r="A217">
        <v>216</v>
      </c>
    </row>
    <row r="218" spans="1:1" x14ac:dyDescent="0.55000000000000004">
      <c r="A218">
        <v>217</v>
      </c>
    </row>
    <row r="219" spans="1:1" x14ac:dyDescent="0.55000000000000004">
      <c r="A219">
        <v>218</v>
      </c>
    </row>
    <row r="220" spans="1:1" x14ac:dyDescent="0.55000000000000004">
      <c r="A220">
        <v>219</v>
      </c>
    </row>
    <row r="221" spans="1:1" x14ac:dyDescent="0.55000000000000004">
      <c r="A221">
        <v>220</v>
      </c>
    </row>
    <row r="222" spans="1:1" x14ac:dyDescent="0.55000000000000004">
      <c r="A222">
        <v>221</v>
      </c>
    </row>
    <row r="223" spans="1:1" x14ac:dyDescent="0.55000000000000004">
      <c r="A223">
        <v>222</v>
      </c>
    </row>
    <row r="224" spans="1:1" x14ac:dyDescent="0.55000000000000004">
      <c r="A224">
        <v>223</v>
      </c>
    </row>
    <row r="225" spans="1:1" x14ac:dyDescent="0.55000000000000004">
      <c r="A225">
        <v>224</v>
      </c>
    </row>
    <row r="226" spans="1:1" x14ac:dyDescent="0.55000000000000004">
      <c r="A226">
        <v>225</v>
      </c>
    </row>
    <row r="227" spans="1:1" x14ac:dyDescent="0.55000000000000004">
      <c r="A227">
        <v>226</v>
      </c>
    </row>
    <row r="228" spans="1:1" x14ac:dyDescent="0.55000000000000004">
      <c r="A228">
        <v>227</v>
      </c>
    </row>
    <row r="229" spans="1:1" x14ac:dyDescent="0.55000000000000004">
      <c r="A229">
        <v>228</v>
      </c>
    </row>
    <row r="230" spans="1:1" x14ac:dyDescent="0.55000000000000004">
      <c r="A230">
        <v>229</v>
      </c>
    </row>
    <row r="231" spans="1:1" x14ac:dyDescent="0.55000000000000004">
      <c r="A231">
        <v>230</v>
      </c>
    </row>
    <row r="232" spans="1:1" x14ac:dyDescent="0.55000000000000004">
      <c r="A232">
        <v>231</v>
      </c>
    </row>
    <row r="233" spans="1:1" x14ac:dyDescent="0.55000000000000004">
      <c r="A233">
        <v>232</v>
      </c>
    </row>
    <row r="234" spans="1:1" x14ac:dyDescent="0.55000000000000004">
      <c r="A234">
        <v>233</v>
      </c>
    </row>
    <row r="235" spans="1:1" x14ac:dyDescent="0.55000000000000004">
      <c r="A235">
        <v>234</v>
      </c>
    </row>
    <row r="236" spans="1:1" x14ac:dyDescent="0.55000000000000004">
      <c r="A236">
        <v>235</v>
      </c>
    </row>
    <row r="237" spans="1:1" x14ac:dyDescent="0.55000000000000004">
      <c r="A237">
        <v>236</v>
      </c>
    </row>
    <row r="238" spans="1:1" x14ac:dyDescent="0.55000000000000004">
      <c r="A238">
        <v>237</v>
      </c>
    </row>
    <row r="239" spans="1:1" x14ac:dyDescent="0.55000000000000004">
      <c r="A239">
        <v>238</v>
      </c>
    </row>
    <row r="240" spans="1:1" x14ac:dyDescent="0.55000000000000004">
      <c r="A240">
        <v>239</v>
      </c>
    </row>
    <row r="241" spans="1:1" x14ac:dyDescent="0.55000000000000004">
      <c r="A241">
        <v>240</v>
      </c>
    </row>
    <row r="242" spans="1:1" x14ac:dyDescent="0.55000000000000004">
      <c r="A242">
        <v>241</v>
      </c>
    </row>
    <row r="243" spans="1:1" x14ac:dyDescent="0.55000000000000004">
      <c r="A243">
        <v>242</v>
      </c>
    </row>
    <row r="244" spans="1:1" x14ac:dyDescent="0.55000000000000004">
      <c r="A244">
        <v>243</v>
      </c>
    </row>
    <row r="245" spans="1:1" x14ac:dyDescent="0.55000000000000004">
      <c r="A245">
        <v>244</v>
      </c>
    </row>
    <row r="246" spans="1:1" x14ac:dyDescent="0.55000000000000004">
      <c r="A246">
        <v>245</v>
      </c>
    </row>
    <row r="247" spans="1:1" x14ac:dyDescent="0.55000000000000004">
      <c r="A247">
        <v>246</v>
      </c>
    </row>
    <row r="248" spans="1:1" x14ac:dyDescent="0.55000000000000004">
      <c r="A248">
        <v>247</v>
      </c>
    </row>
    <row r="249" spans="1:1" x14ac:dyDescent="0.55000000000000004">
      <c r="A249">
        <v>248</v>
      </c>
    </row>
    <row r="250" spans="1:1" x14ac:dyDescent="0.55000000000000004">
      <c r="A250">
        <v>249</v>
      </c>
    </row>
    <row r="251" spans="1:1" x14ac:dyDescent="0.55000000000000004">
      <c r="A251">
        <v>250</v>
      </c>
    </row>
    <row r="252" spans="1:1" x14ac:dyDescent="0.55000000000000004">
      <c r="A252">
        <v>251</v>
      </c>
    </row>
    <row r="253" spans="1:1" x14ac:dyDescent="0.55000000000000004">
      <c r="A253">
        <v>252</v>
      </c>
    </row>
    <row r="254" spans="1:1" x14ac:dyDescent="0.55000000000000004">
      <c r="A254">
        <v>253</v>
      </c>
    </row>
    <row r="255" spans="1:1" x14ac:dyDescent="0.55000000000000004">
      <c r="A255">
        <v>254</v>
      </c>
    </row>
    <row r="256" spans="1:1" x14ac:dyDescent="0.55000000000000004">
      <c r="A256">
        <v>255</v>
      </c>
    </row>
    <row r="257" spans="1:1" x14ac:dyDescent="0.55000000000000004">
      <c r="A257">
        <v>256</v>
      </c>
    </row>
    <row r="258" spans="1:1" x14ac:dyDescent="0.55000000000000004">
      <c r="A258">
        <v>257</v>
      </c>
    </row>
    <row r="259" spans="1:1" x14ac:dyDescent="0.55000000000000004">
      <c r="A259">
        <v>258</v>
      </c>
    </row>
    <row r="260" spans="1:1" x14ac:dyDescent="0.55000000000000004">
      <c r="A260">
        <v>259</v>
      </c>
    </row>
    <row r="261" spans="1:1" x14ac:dyDescent="0.55000000000000004">
      <c r="A261">
        <v>260</v>
      </c>
    </row>
    <row r="262" spans="1:1" x14ac:dyDescent="0.55000000000000004">
      <c r="A262">
        <v>261</v>
      </c>
    </row>
    <row r="263" spans="1:1" x14ac:dyDescent="0.55000000000000004">
      <c r="A263">
        <v>262</v>
      </c>
    </row>
    <row r="264" spans="1:1" x14ac:dyDescent="0.55000000000000004">
      <c r="A264">
        <v>263</v>
      </c>
    </row>
    <row r="265" spans="1:1" x14ac:dyDescent="0.55000000000000004">
      <c r="A265">
        <v>264</v>
      </c>
    </row>
    <row r="266" spans="1:1" x14ac:dyDescent="0.55000000000000004">
      <c r="A266">
        <v>265</v>
      </c>
    </row>
    <row r="267" spans="1:1" x14ac:dyDescent="0.55000000000000004">
      <c r="A267">
        <v>266</v>
      </c>
    </row>
    <row r="268" spans="1:1" x14ac:dyDescent="0.55000000000000004">
      <c r="A268">
        <v>267</v>
      </c>
    </row>
    <row r="269" spans="1:1" x14ac:dyDescent="0.55000000000000004">
      <c r="A269">
        <v>268</v>
      </c>
    </row>
    <row r="270" spans="1:1" x14ac:dyDescent="0.55000000000000004">
      <c r="A270">
        <v>269</v>
      </c>
    </row>
    <row r="271" spans="1:1" x14ac:dyDescent="0.55000000000000004">
      <c r="A271">
        <v>270</v>
      </c>
    </row>
    <row r="272" spans="1:1" x14ac:dyDescent="0.55000000000000004">
      <c r="A272">
        <v>271</v>
      </c>
    </row>
    <row r="273" spans="1:1" x14ac:dyDescent="0.55000000000000004">
      <c r="A273">
        <v>272</v>
      </c>
    </row>
    <row r="274" spans="1:1" x14ac:dyDescent="0.55000000000000004">
      <c r="A274">
        <v>273</v>
      </c>
    </row>
    <row r="275" spans="1:1" x14ac:dyDescent="0.55000000000000004">
      <c r="A275">
        <v>274</v>
      </c>
    </row>
    <row r="276" spans="1:1" x14ac:dyDescent="0.55000000000000004">
      <c r="A276">
        <v>275</v>
      </c>
    </row>
    <row r="277" spans="1:1" x14ac:dyDescent="0.55000000000000004">
      <c r="A277">
        <v>276</v>
      </c>
    </row>
    <row r="278" spans="1:1" x14ac:dyDescent="0.55000000000000004">
      <c r="A278">
        <v>277</v>
      </c>
    </row>
    <row r="279" spans="1:1" x14ac:dyDescent="0.55000000000000004">
      <c r="A279">
        <v>278</v>
      </c>
    </row>
    <row r="280" spans="1:1" x14ac:dyDescent="0.55000000000000004">
      <c r="A280">
        <v>279</v>
      </c>
    </row>
    <row r="281" spans="1:1" x14ac:dyDescent="0.55000000000000004">
      <c r="A281">
        <v>280</v>
      </c>
    </row>
    <row r="282" spans="1:1" x14ac:dyDescent="0.55000000000000004">
      <c r="A282">
        <v>281</v>
      </c>
    </row>
    <row r="283" spans="1:1" x14ac:dyDescent="0.55000000000000004">
      <c r="A283">
        <v>282</v>
      </c>
    </row>
    <row r="284" spans="1:1" x14ac:dyDescent="0.55000000000000004">
      <c r="A284">
        <v>283</v>
      </c>
    </row>
    <row r="285" spans="1:1" x14ac:dyDescent="0.55000000000000004">
      <c r="A285">
        <v>284</v>
      </c>
    </row>
    <row r="286" spans="1:1" x14ac:dyDescent="0.55000000000000004">
      <c r="A286">
        <v>285</v>
      </c>
    </row>
    <row r="287" spans="1:1" x14ac:dyDescent="0.55000000000000004">
      <c r="A287">
        <v>286</v>
      </c>
    </row>
    <row r="288" spans="1:1" x14ac:dyDescent="0.55000000000000004">
      <c r="A288">
        <v>287</v>
      </c>
    </row>
    <row r="289" spans="1:1" x14ac:dyDescent="0.55000000000000004">
      <c r="A289">
        <v>288</v>
      </c>
    </row>
    <row r="290" spans="1:1" x14ac:dyDescent="0.55000000000000004">
      <c r="A290">
        <v>289</v>
      </c>
    </row>
    <row r="291" spans="1:1" x14ac:dyDescent="0.55000000000000004">
      <c r="A291">
        <v>290</v>
      </c>
    </row>
    <row r="292" spans="1:1" x14ac:dyDescent="0.55000000000000004">
      <c r="A292">
        <v>291</v>
      </c>
    </row>
    <row r="293" spans="1:1" x14ac:dyDescent="0.55000000000000004">
      <c r="A293">
        <v>292</v>
      </c>
    </row>
    <row r="294" spans="1:1" x14ac:dyDescent="0.55000000000000004">
      <c r="A294">
        <v>293</v>
      </c>
    </row>
    <row r="295" spans="1:1" x14ac:dyDescent="0.55000000000000004">
      <c r="A295">
        <v>294</v>
      </c>
    </row>
    <row r="296" spans="1:1" x14ac:dyDescent="0.55000000000000004">
      <c r="A296">
        <v>295</v>
      </c>
    </row>
    <row r="297" spans="1:1" x14ac:dyDescent="0.55000000000000004">
      <c r="A297">
        <v>296</v>
      </c>
    </row>
    <row r="298" spans="1:1" x14ac:dyDescent="0.55000000000000004">
      <c r="A298">
        <v>297</v>
      </c>
    </row>
    <row r="299" spans="1:1" x14ac:dyDescent="0.55000000000000004">
      <c r="A299">
        <v>298</v>
      </c>
    </row>
    <row r="300" spans="1:1" x14ac:dyDescent="0.55000000000000004">
      <c r="A300">
        <v>299</v>
      </c>
    </row>
    <row r="301" spans="1:1" x14ac:dyDescent="0.55000000000000004">
      <c r="A301">
        <v>300</v>
      </c>
    </row>
    <row r="302" spans="1:1" x14ac:dyDescent="0.55000000000000004">
      <c r="A302">
        <v>301</v>
      </c>
    </row>
    <row r="303" spans="1:1" x14ac:dyDescent="0.55000000000000004">
      <c r="A303">
        <v>302</v>
      </c>
    </row>
    <row r="304" spans="1:1" x14ac:dyDescent="0.55000000000000004">
      <c r="A304">
        <v>303</v>
      </c>
    </row>
    <row r="305" spans="1:1" x14ac:dyDescent="0.55000000000000004">
      <c r="A305">
        <v>304</v>
      </c>
    </row>
    <row r="306" spans="1:1" x14ac:dyDescent="0.55000000000000004">
      <c r="A306">
        <v>305</v>
      </c>
    </row>
    <row r="307" spans="1:1" x14ac:dyDescent="0.55000000000000004">
      <c r="A307">
        <v>306</v>
      </c>
    </row>
    <row r="308" spans="1:1" x14ac:dyDescent="0.55000000000000004">
      <c r="A308">
        <v>307</v>
      </c>
    </row>
    <row r="309" spans="1:1" x14ac:dyDescent="0.55000000000000004">
      <c r="A309">
        <v>308</v>
      </c>
    </row>
    <row r="310" spans="1:1" x14ac:dyDescent="0.55000000000000004">
      <c r="A310">
        <v>309</v>
      </c>
    </row>
    <row r="311" spans="1:1" x14ac:dyDescent="0.55000000000000004">
      <c r="A311">
        <v>310</v>
      </c>
    </row>
    <row r="312" spans="1:1" x14ac:dyDescent="0.55000000000000004">
      <c r="A312">
        <v>311</v>
      </c>
    </row>
    <row r="313" spans="1:1" x14ac:dyDescent="0.55000000000000004">
      <c r="A313">
        <v>312</v>
      </c>
    </row>
    <row r="314" spans="1:1" x14ac:dyDescent="0.55000000000000004">
      <c r="A314">
        <v>313</v>
      </c>
    </row>
    <row r="315" spans="1:1" x14ac:dyDescent="0.55000000000000004">
      <c r="A315">
        <v>314</v>
      </c>
    </row>
    <row r="316" spans="1:1" x14ac:dyDescent="0.55000000000000004">
      <c r="A316">
        <v>315</v>
      </c>
    </row>
    <row r="317" spans="1:1" x14ac:dyDescent="0.55000000000000004">
      <c r="A317">
        <v>316</v>
      </c>
    </row>
    <row r="318" spans="1:1" x14ac:dyDescent="0.55000000000000004">
      <c r="A318">
        <v>317</v>
      </c>
    </row>
    <row r="319" spans="1:1" x14ac:dyDescent="0.55000000000000004">
      <c r="A319">
        <v>318</v>
      </c>
    </row>
    <row r="320" spans="1:1" x14ac:dyDescent="0.55000000000000004">
      <c r="A320">
        <v>319</v>
      </c>
    </row>
    <row r="321" spans="1:1" x14ac:dyDescent="0.55000000000000004">
      <c r="A321">
        <v>320</v>
      </c>
    </row>
    <row r="322" spans="1:1" x14ac:dyDescent="0.55000000000000004">
      <c r="A322">
        <v>321</v>
      </c>
    </row>
    <row r="323" spans="1:1" x14ac:dyDescent="0.55000000000000004">
      <c r="A323">
        <v>322</v>
      </c>
    </row>
    <row r="324" spans="1:1" x14ac:dyDescent="0.55000000000000004">
      <c r="A324">
        <v>323</v>
      </c>
    </row>
    <row r="325" spans="1:1" x14ac:dyDescent="0.55000000000000004">
      <c r="A325">
        <v>324</v>
      </c>
    </row>
    <row r="326" spans="1:1" x14ac:dyDescent="0.55000000000000004">
      <c r="A326">
        <v>325</v>
      </c>
    </row>
    <row r="327" spans="1:1" x14ac:dyDescent="0.55000000000000004">
      <c r="A327">
        <v>326</v>
      </c>
    </row>
    <row r="328" spans="1:1" x14ac:dyDescent="0.55000000000000004">
      <c r="A328">
        <v>327</v>
      </c>
    </row>
    <row r="329" spans="1:1" x14ac:dyDescent="0.55000000000000004">
      <c r="A329">
        <v>328</v>
      </c>
    </row>
    <row r="330" spans="1:1" x14ac:dyDescent="0.55000000000000004">
      <c r="A330">
        <v>329</v>
      </c>
    </row>
    <row r="331" spans="1:1" x14ac:dyDescent="0.55000000000000004">
      <c r="A331">
        <v>330</v>
      </c>
    </row>
    <row r="332" spans="1:1" x14ac:dyDescent="0.55000000000000004">
      <c r="A332">
        <v>331</v>
      </c>
    </row>
    <row r="333" spans="1:1" x14ac:dyDescent="0.55000000000000004">
      <c r="A333">
        <v>332</v>
      </c>
    </row>
    <row r="334" spans="1:1" x14ac:dyDescent="0.55000000000000004">
      <c r="A334">
        <v>333</v>
      </c>
    </row>
    <row r="335" spans="1:1" x14ac:dyDescent="0.55000000000000004">
      <c r="A335">
        <v>334</v>
      </c>
    </row>
    <row r="336" spans="1:1" x14ac:dyDescent="0.55000000000000004">
      <c r="A336">
        <v>335</v>
      </c>
    </row>
    <row r="337" spans="1:1" x14ac:dyDescent="0.55000000000000004">
      <c r="A337">
        <v>336</v>
      </c>
    </row>
    <row r="338" spans="1:1" x14ac:dyDescent="0.55000000000000004">
      <c r="A338">
        <v>337</v>
      </c>
    </row>
    <row r="339" spans="1:1" x14ac:dyDescent="0.55000000000000004">
      <c r="A339">
        <v>338</v>
      </c>
    </row>
    <row r="340" spans="1:1" x14ac:dyDescent="0.55000000000000004">
      <c r="A340">
        <v>339</v>
      </c>
    </row>
    <row r="341" spans="1:1" x14ac:dyDescent="0.55000000000000004">
      <c r="A341">
        <v>340</v>
      </c>
    </row>
    <row r="342" spans="1:1" x14ac:dyDescent="0.55000000000000004">
      <c r="A342">
        <v>341</v>
      </c>
    </row>
    <row r="343" spans="1:1" x14ac:dyDescent="0.55000000000000004">
      <c r="A343">
        <v>342</v>
      </c>
    </row>
    <row r="344" spans="1:1" x14ac:dyDescent="0.55000000000000004">
      <c r="A344">
        <v>343</v>
      </c>
    </row>
    <row r="345" spans="1:1" x14ac:dyDescent="0.55000000000000004">
      <c r="A345">
        <v>344</v>
      </c>
    </row>
    <row r="346" spans="1:1" x14ac:dyDescent="0.55000000000000004">
      <c r="A346">
        <v>345</v>
      </c>
    </row>
    <row r="347" spans="1:1" x14ac:dyDescent="0.55000000000000004">
      <c r="A347">
        <v>346</v>
      </c>
    </row>
    <row r="348" spans="1:1" x14ac:dyDescent="0.55000000000000004">
      <c r="A348">
        <v>347</v>
      </c>
    </row>
    <row r="349" spans="1:1" x14ac:dyDescent="0.55000000000000004">
      <c r="A349">
        <v>348</v>
      </c>
    </row>
    <row r="350" spans="1:1" x14ac:dyDescent="0.55000000000000004">
      <c r="A350">
        <v>349</v>
      </c>
    </row>
    <row r="351" spans="1:1" x14ac:dyDescent="0.55000000000000004">
      <c r="A351">
        <v>350</v>
      </c>
    </row>
    <row r="352" spans="1:1" x14ac:dyDescent="0.55000000000000004">
      <c r="A352">
        <v>351</v>
      </c>
    </row>
    <row r="353" spans="1:1" x14ac:dyDescent="0.55000000000000004">
      <c r="A353">
        <v>352</v>
      </c>
    </row>
    <row r="354" spans="1:1" x14ac:dyDescent="0.55000000000000004">
      <c r="A354">
        <v>353</v>
      </c>
    </row>
    <row r="355" spans="1:1" x14ac:dyDescent="0.55000000000000004">
      <c r="A355">
        <v>354</v>
      </c>
    </row>
    <row r="356" spans="1:1" x14ac:dyDescent="0.55000000000000004">
      <c r="A356">
        <v>355</v>
      </c>
    </row>
    <row r="357" spans="1:1" x14ac:dyDescent="0.55000000000000004">
      <c r="A357">
        <v>356</v>
      </c>
    </row>
    <row r="358" spans="1:1" x14ac:dyDescent="0.55000000000000004">
      <c r="A358">
        <v>357</v>
      </c>
    </row>
    <row r="359" spans="1:1" x14ac:dyDescent="0.55000000000000004">
      <c r="A359">
        <v>358</v>
      </c>
    </row>
    <row r="360" spans="1:1" x14ac:dyDescent="0.55000000000000004">
      <c r="A360">
        <v>359</v>
      </c>
    </row>
    <row r="361" spans="1:1" x14ac:dyDescent="0.55000000000000004">
      <c r="A361">
        <v>360</v>
      </c>
    </row>
    <row r="362" spans="1:1" x14ac:dyDescent="0.55000000000000004">
      <c r="A362">
        <v>361</v>
      </c>
    </row>
    <row r="363" spans="1:1" x14ac:dyDescent="0.55000000000000004">
      <c r="A363">
        <v>362</v>
      </c>
    </row>
    <row r="364" spans="1:1" x14ac:dyDescent="0.55000000000000004">
      <c r="A364">
        <v>363</v>
      </c>
    </row>
    <row r="365" spans="1:1" x14ac:dyDescent="0.55000000000000004">
      <c r="A365">
        <v>364</v>
      </c>
    </row>
    <row r="366" spans="1:1" x14ac:dyDescent="0.55000000000000004">
      <c r="A366">
        <v>365</v>
      </c>
    </row>
    <row r="367" spans="1:1" x14ac:dyDescent="0.55000000000000004">
      <c r="A367">
        <v>366</v>
      </c>
    </row>
    <row r="368" spans="1:1" x14ac:dyDescent="0.55000000000000004">
      <c r="A368">
        <v>367</v>
      </c>
    </row>
    <row r="369" spans="1:1" x14ac:dyDescent="0.55000000000000004">
      <c r="A369">
        <v>368</v>
      </c>
    </row>
    <row r="370" spans="1:1" x14ac:dyDescent="0.55000000000000004">
      <c r="A370">
        <v>369</v>
      </c>
    </row>
    <row r="371" spans="1:1" x14ac:dyDescent="0.55000000000000004">
      <c r="A371">
        <v>370</v>
      </c>
    </row>
    <row r="372" spans="1:1" x14ac:dyDescent="0.55000000000000004">
      <c r="A372">
        <v>371</v>
      </c>
    </row>
    <row r="373" spans="1:1" x14ac:dyDescent="0.55000000000000004">
      <c r="A373">
        <v>372</v>
      </c>
    </row>
    <row r="374" spans="1:1" x14ac:dyDescent="0.55000000000000004">
      <c r="A374">
        <v>373</v>
      </c>
    </row>
    <row r="375" spans="1:1" x14ac:dyDescent="0.55000000000000004">
      <c r="A375">
        <v>374</v>
      </c>
    </row>
    <row r="376" spans="1:1" x14ac:dyDescent="0.55000000000000004">
      <c r="A376">
        <v>375</v>
      </c>
    </row>
    <row r="377" spans="1:1" x14ac:dyDescent="0.55000000000000004">
      <c r="A377">
        <v>376</v>
      </c>
    </row>
    <row r="378" spans="1:1" x14ac:dyDescent="0.55000000000000004">
      <c r="A378">
        <v>377</v>
      </c>
    </row>
    <row r="379" spans="1:1" x14ac:dyDescent="0.55000000000000004">
      <c r="A379">
        <v>378</v>
      </c>
    </row>
    <row r="380" spans="1:1" x14ac:dyDescent="0.55000000000000004">
      <c r="A380">
        <v>379</v>
      </c>
    </row>
    <row r="381" spans="1:1" x14ac:dyDescent="0.55000000000000004">
      <c r="A381">
        <v>380</v>
      </c>
    </row>
    <row r="382" spans="1:1" x14ac:dyDescent="0.55000000000000004">
      <c r="A382">
        <v>381</v>
      </c>
    </row>
    <row r="383" spans="1:1" x14ac:dyDescent="0.55000000000000004">
      <c r="A383">
        <v>382</v>
      </c>
    </row>
    <row r="384" spans="1:1" x14ac:dyDescent="0.55000000000000004">
      <c r="A384">
        <v>383</v>
      </c>
    </row>
    <row r="385" spans="1:1" x14ac:dyDescent="0.55000000000000004">
      <c r="A385">
        <v>384</v>
      </c>
    </row>
    <row r="386" spans="1:1" x14ac:dyDescent="0.55000000000000004">
      <c r="A386">
        <v>385</v>
      </c>
    </row>
    <row r="387" spans="1:1" x14ac:dyDescent="0.55000000000000004">
      <c r="A387">
        <v>386</v>
      </c>
    </row>
    <row r="388" spans="1:1" x14ac:dyDescent="0.55000000000000004">
      <c r="A388">
        <v>387</v>
      </c>
    </row>
    <row r="389" spans="1:1" x14ac:dyDescent="0.55000000000000004">
      <c r="A389">
        <v>388</v>
      </c>
    </row>
    <row r="390" spans="1:1" x14ac:dyDescent="0.55000000000000004">
      <c r="A390">
        <v>389</v>
      </c>
    </row>
    <row r="391" spans="1:1" x14ac:dyDescent="0.55000000000000004">
      <c r="A391">
        <v>390</v>
      </c>
    </row>
    <row r="392" spans="1:1" x14ac:dyDescent="0.55000000000000004">
      <c r="A392">
        <v>391</v>
      </c>
    </row>
    <row r="393" spans="1:1" x14ac:dyDescent="0.55000000000000004">
      <c r="A393">
        <v>392</v>
      </c>
    </row>
    <row r="394" spans="1:1" x14ac:dyDescent="0.55000000000000004">
      <c r="A394">
        <v>393</v>
      </c>
    </row>
    <row r="395" spans="1:1" x14ac:dyDescent="0.55000000000000004">
      <c r="A395">
        <v>394</v>
      </c>
    </row>
    <row r="396" spans="1:1" x14ac:dyDescent="0.55000000000000004">
      <c r="A396">
        <v>395</v>
      </c>
    </row>
    <row r="397" spans="1:1" x14ac:dyDescent="0.55000000000000004">
      <c r="A397">
        <v>396</v>
      </c>
    </row>
    <row r="398" spans="1:1" x14ac:dyDescent="0.55000000000000004">
      <c r="A398">
        <v>397</v>
      </c>
    </row>
    <row r="399" spans="1:1" x14ac:dyDescent="0.55000000000000004">
      <c r="A399">
        <v>398</v>
      </c>
    </row>
    <row r="400" spans="1:1" x14ac:dyDescent="0.55000000000000004">
      <c r="A400">
        <v>399</v>
      </c>
    </row>
    <row r="401" spans="1:1" x14ac:dyDescent="0.55000000000000004">
      <c r="A401">
        <v>400</v>
      </c>
    </row>
    <row r="402" spans="1:1" x14ac:dyDescent="0.55000000000000004">
      <c r="A402">
        <v>401</v>
      </c>
    </row>
    <row r="403" spans="1:1" x14ac:dyDescent="0.55000000000000004">
      <c r="A403">
        <v>402</v>
      </c>
    </row>
    <row r="404" spans="1:1" x14ac:dyDescent="0.55000000000000004">
      <c r="A404">
        <v>403</v>
      </c>
    </row>
    <row r="405" spans="1:1" x14ac:dyDescent="0.55000000000000004">
      <c r="A405">
        <v>404</v>
      </c>
    </row>
    <row r="406" spans="1:1" x14ac:dyDescent="0.55000000000000004">
      <c r="A406">
        <v>405</v>
      </c>
    </row>
    <row r="407" spans="1:1" x14ac:dyDescent="0.55000000000000004">
      <c r="A407">
        <v>406</v>
      </c>
    </row>
    <row r="408" spans="1:1" x14ac:dyDescent="0.55000000000000004">
      <c r="A408">
        <v>407</v>
      </c>
    </row>
    <row r="409" spans="1:1" x14ac:dyDescent="0.55000000000000004">
      <c r="A409">
        <v>408</v>
      </c>
    </row>
    <row r="410" spans="1:1" x14ac:dyDescent="0.55000000000000004">
      <c r="A410">
        <v>409</v>
      </c>
    </row>
    <row r="411" spans="1:1" x14ac:dyDescent="0.55000000000000004">
      <c r="A411">
        <v>410</v>
      </c>
    </row>
    <row r="412" spans="1:1" x14ac:dyDescent="0.55000000000000004">
      <c r="A412">
        <v>411</v>
      </c>
    </row>
    <row r="413" spans="1:1" x14ac:dyDescent="0.55000000000000004">
      <c r="A413">
        <v>412</v>
      </c>
    </row>
    <row r="414" spans="1:1" x14ac:dyDescent="0.55000000000000004">
      <c r="A414">
        <v>413</v>
      </c>
    </row>
    <row r="415" spans="1:1" x14ac:dyDescent="0.55000000000000004">
      <c r="A415">
        <v>414</v>
      </c>
    </row>
    <row r="416" spans="1:1" x14ac:dyDescent="0.55000000000000004">
      <c r="A416">
        <v>415</v>
      </c>
    </row>
    <row r="417" spans="1:1" x14ac:dyDescent="0.55000000000000004">
      <c r="A417">
        <v>416</v>
      </c>
    </row>
    <row r="418" spans="1:1" x14ac:dyDescent="0.55000000000000004">
      <c r="A418">
        <v>417</v>
      </c>
    </row>
    <row r="419" spans="1:1" x14ac:dyDescent="0.55000000000000004">
      <c r="A419">
        <v>418</v>
      </c>
    </row>
    <row r="420" spans="1:1" x14ac:dyDescent="0.55000000000000004">
      <c r="A420">
        <v>419</v>
      </c>
    </row>
    <row r="421" spans="1:1" x14ac:dyDescent="0.55000000000000004">
      <c r="A421">
        <v>420</v>
      </c>
    </row>
    <row r="422" spans="1:1" x14ac:dyDescent="0.55000000000000004">
      <c r="A422">
        <v>421</v>
      </c>
    </row>
    <row r="423" spans="1:1" x14ac:dyDescent="0.55000000000000004">
      <c r="A423">
        <v>422</v>
      </c>
    </row>
    <row r="424" spans="1:1" x14ac:dyDescent="0.55000000000000004">
      <c r="A424">
        <v>423</v>
      </c>
    </row>
    <row r="425" spans="1:1" x14ac:dyDescent="0.55000000000000004">
      <c r="A425">
        <v>424</v>
      </c>
    </row>
    <row r="426" spans="1:1" x14ac:dyDescent="0.55000000000000004">
      <c r="A426">
        <v>425</v>
      </c>
    </row>
    <row r="427" spans="1:1" x14ac:dyDescent="0.55000000000000004">
      <c r="A427">
        <v>426</v>
      </c>
    </row>
    <row r="428" spans="1:1" x14ac:dyDescent="0.55000000000000004">
      <c r="A428">
        <v>427</v>
      </c>
    </row>
    <row r="429" spans="1:1" x14ac:dyDescent="0.55000000000000004">
      <c r="A429">
        <v>428</v>
      </c>
    </row>
    <row r="430" spans="1:1" x14ac:dyDescent="0.55000000000000004">
      <c r="A430">
        <v>429</v>
      </c>
    </row>
    <row r="431" spans="1:1" x14ac:dyDescent="0.55000000000000004">
      <c r="A431">
        <v>430</v>
      </c>
    </row>
    <row r="432" spans="1:1" x14ac:dyDescent="0.55000000000000004">
      <c r="A432">
        <v>431</v>
      </c>
    </row>
    <row r="433" spans="1:1" x14ac:dyDescent="0.55000000000000004">
      <c r="A433">
        <v>432</v>
      </c>
    </row>
    <row r="434" spans="1:1" x14ac:dyDescent="0.55000000000000004">
      <c r="A434">
        <v>433</v>
      </c>
    </row>
    <row r="435" spans="1:1" x14ac:dyDescent="0.55000000000000004">
      <c r="A435">
        <v>434</v>
      </c>
    </row>
    <row r="436" spans="1:1" x14ac:dyDescent="0.55000000000000004">
      <c r="A436">
        <v>435</v>
      </c>
    </row>
    <row r="437" spans="1:1" x14ac:dyDescent="0.55000000000000004">
      <c r="A437">
        <v>436</v>
      </c>
    </row>
    <row r="438" spans="1:1" x14ac:dyDescent="0.55000000000000004">
      <c r="A438">
        <v>437</v>
      </c>
    </row>
    <row r="439" spans="1:1" x14ac:dyDescent="0.55000000000000004">
      <c r="A439">
        <v>438</v>
      </c>
    </row>
    <row r="440" spans="1:1" x14ac:dyDescent="0.55000000000000004">
      <c r="A440">
        <v>439</v>
      </c>
    </row>
    <row r="441" spans="1:1" x14ac:dyDescent="0.55000000000000004">
      <c r="A441">
        <v>440</v>
      </c>
    </row>
    <row r="442" spans="1:1" x14ac:dyDescent="0.55000000000000004">
      <c r="A442">
        <v>441</v>
      </c>
    </row>
    <row r="443" spans="1:1" x14ac:dyDescent="0.55000000000000004">
      <c r="A443">
        <v>442</v>
      </c>
    </row>
    <row r="444" spans="1:1" x14ac:dyDescent="0.55000000000000004">
      <c r="A444">
        <v>443</v>
      </c>
    </row>
    <row r="445" spans="1:1" x14ac:dyDescent="0.55000000000000004">
      <c r="A445">
        <v>444</v>
      </c>
    </row>
    <row r="446" spans="1:1" x14ac:dyDescent="0.55000000000000004">
      <c r="A446">
        <v>445</v>
      </c>
    </row>
    <row r="447" spans="1:1" x14ac:dyDescent="0.55000000000000004">
      <c r="A447">
        <v>1000</v>
      </c>
    </row>
    <row r="448" spans="1:1" x14ac:dyDescent="0.55000000000000004">
      <c r="A448">
        <v>1001</v>
      </c>
    </row>
    <row r="449" spans="1:1" x14ac:dyDescent="0.55000000000000004">
      <c r="A449">
        <v>1002</v>
      </c>
    </row>
    <row r="450" spans="1:1" x14ac:dyDescent="0.55000000000000004">
      <c r="A450">
        <v>1003</v>
      </c>
    </row>
    <row r="451" spans="1:1" x14ac:dyDescent="0.55000000000000004">
      <c r="A451">
        <v>1004</v>
      </c>
    </row>
    <row r="452" spans="1:1" x14ac:dyDescent="0.55000000000000004">
      <c r="A452">
        <v>1005</v>
      </c>
    </row>
    <row r="453" spans="1:1" x14ac:dyDescent="0.55000000000000004">
      <c r="A453">
        <v>1006</v>
      </c>
    </row>
    <row r="454" spans="1:1" x14ac:dyDescent="0.55000000000000004">
      <c r="A454">
        <v>1007</v>
      </c>
    </row>
    <row r="455" spans="1:1" x14ac:dyDescent="0.55000000000000004">
      <c r="A455">
        <v>1008</v>
      </c>
    </row>
    <row r="456" spans="1:1" x14ac:dyDescent="0.55000000000000004">
      <c r="A456">
        <v>1009</v>
      </c>
    </row>
    <row r="457" spans="1:1" x14ac:dyDescent="0.55000000000000004">
      <c r="A457">
        <v>1010</v>
      </c>
    </row>
    <row r="458" spans="1:1" x14ac:dyDescent="0.55000000000000004">
      <c r="A458">
        <v>1011</v>
      </c>
    </row>
    <row r="459" spans="1:1" x14ac:dyDescent="0.55000000000000004">
      <c r="A459">
        <v>1012</v>
      </c>
    </row>
    <row r="460" spans="1:1" x14ac:dyDescent="0.55000000000000004">
      <c r="A460">
        <v>1013</v>
      </c>
    </row>
    <row r="461" spans="1:1" x14ac:dyDescent="0.55000000000000004">
      <c r="A461">
        <v>1014</v>
      </c>
    </row>
    <row r="462" spans="1:1" x14ac:dyDescent="0.55000000000000004">
      <c r="A462">
        <v>1015</v>
      </c>
    </row>
    <row r="463" spans="1:1" x14ac:dyDescent="0.55000000000000004">
      <c r="A463">
        <v>1016</v>
      </c>
    </row>
    <row r="464" spans="1:1" x14ac:dyDescent="0.55000000000000004">
      <c r="A464">
        <v>1017</v>
      </c>
    </row>
    <row r="465" spans="1:1" x14ac:dyDescent="0.55000000000000004">
      <c r="A465">
        <v>1018</v>
      </c>
    </row>
    <row r="466" spans="1:1" x14ac:dyDescent="0.55000000000000004">
      <c r="A466">
        <v>1019</v>
      </c>
    </row>
    <row r="467" spans="1:1" x14ac:dyDescent="0.55000000000000004">
      <c r="A467">
        <v>1020</v>
      </c>
    </row>
    <row r="468" spans="1:1" x14ac:dyDescent="0.55000000000000004">
      <c r="A468">
        <v>1021</v>
      </c>
    </row>
    <row r="469" spans="1:1" x14ac:dyDescent="0.55000000000000004">
      <c r="A469">
        <v>1022</v>
      </c>
    </row>
    <row r="470" spans="1:1" x14ac:dyDescent="0.55000000000000004">
      <c r="A470">
        <v>1023</v>
      </c>
    </row>
    <row r="471" spans="1:1" x14ac:dyDescent="0.55000000000000004">
      <c r="A471">
        <v>1024</v>
      </c>
    </row>
    <row r="472" spans="1:1" x14ac:dyDescent="0.55000000000000004">
      <c r="A472">
        <v>1025</v>
      </c>
    </row>
    <row r="473" spans="1:1" x14ac:dyDescent="0.55000000000000004">
      <c r="A473">
        <v>1026</v>
      </c>
    </row>
    <row r="474" spans="1:1" x14ac:dyDescent="0.55000000000000004">
      <c r="A474">
        <v>1027</v>
      </c>
    </row>
    <row r="475" spans="1:1" x14ac:dyDescent="0.55000000000000004">
      <c r="A475">
        <v>1028</v>
      </c>
    </row>
    <row r="476" spans="1:1" x14ac:dyDescent="0.55000000000000004">
      <c r="A476">
        <v>1029</v>
      </c>
    </row>
    <row r="477" spans="1:1" x14ac:dyDescent="0.55000000000000004">
      <c r="A477">
        <v>1030</v>
      </c>
    </row>
    <row r="478" spans="1:1" x14ac:dyDescent="0.55000000000000004">
      <c r="A478">
        <v>1031</v>
      </c>
    </row>
    <row r="479" spans="1:1" x14ac:dyDescent="0.55000000000000004">
      <c r="A479">
        <v>1032</v>
      </c>
    </row>
    <row r="480" spans="1:1" x14ac:dyDescent="0.55000000000000004">
      <c r="A480">
        <v>1033</v>
      </c>
    </row>
    <row r="481" spans="1:1" x14ac:dyDescent="0.55000000000000004">
      <c r="A481">
        <v>1034</v>
      </c>
    </row>
    <row r="482" spans="1:1" x14ac:dyDescent="0.55000000000000004">
      <c r="A482">
        <v>1035</v>
      </c>
    </row>
    <row r="483" spans="1:1" x14ac:dyDescent="0.55000000000000004">
      <c r="A483">
        <v>1036</v>
      </c>
    </row>
    <row r="484" spans="1:1" x14ac:dyDescent="0.55000000000000004">
      <c r="A484">
        <v>1037</v>
      </c>
    </row>
    <row r="485" spans="1:1" x14ac:dyDescent="0.55000000000000004">
      <c r="A485">
        <v>1038</v>
      </c>
    </row>
    <row r="486" spans="1:1" x14ac:dyDescent="0.55000000000000004">
      <c r="A486">
        <v>1039</v>
      </c>
    </row>
    <row r="487" spans="1:1" x14ac:dyDescent="0.55000000000000004">
      <c r="A487">
        <v>1040</v>
      </c>
    </row>
    <row r="488" spans="1:1" x14ac:dyDescent="0.55000000000000004">
      <c r="A488">
        <v>1041</v>
      </c>
    </row>
    <row r="489" spans="1:1" x14ac:dyDescent="0.55000000000000004">
      <c r="A489">
        <v>1042</v>
      </c>
    </row>
    <row r="490" spans="1:1" x14ac:dyDescent="0.55000000000000004">
      <c r="A490">
        <v>1043</v>
      </c>
    </row>
    <row r="491" spans="1:1" x14ac:dyDescent="0.55000000000000004">
      <c r="A491">
        <v>1044</v>
      </c>
    </row>
    <row r="492" spans="1:1" x14ac:dyDescent="0.55000000000000004">
      <c r="A492">
        <v>1045</v>
      </c>
    </row>
    <row r="493" spans="1:1" x14ac:dyDescent="0.55000000000000004">
      <c r="A493">
        <v>1046</v>
      </c>
    </row>
    <row r="494" spans="1:1" x14ac:dyDescent="0.55000000000000004">
      <c r="A494">
        <v>1047</v>
      </c>
    </row>
    <row r="495" spans="1:1" x14ac:dyDescent="0.55000000000000004">
      <c r="A495">
        <v>1048</v>
      </c>
    </row>
    <row r="496" spans="1:1" x14ac:dyDescent="0.55000000000000004">
      <c r="A496">
        <v>1049</v>
      </c>
    </row>
    <row r="497" spans="1:1" x14ac:dyDescent="0.55000000000000004">
      <c r="A497">
        <v>1050</v>
      </c>
    </row>
    <row r="498" spans="1:1" x14ac:dyDescent="0.55000000000000004">
      <c r="A498">
        <v>1051</v>
      </c>
    </row>
    <row r="499" spans="1:1" x14ac:dyDescent="0.55000000000000004">
      <c r="A499">
        <v>1052</v>
      </c>
    </row>
    <row r="500" spans="1:1" x14ac:dyDescent="0.55000000000000004">
      <c r="A500">
        <v>1053</v>
      </c>
    </row>
    <row r="501" spans="1:1" x14ac:dyDescent="0.55000000000000004">
      <c r="A501">
        <v>1054</v>
      </c>
    </row>
    <row r="502" spans="1:1" x14ac:dyDescent="0.55000000000000004">
      <c r="A502">
        <v>1055</v>
      </c>
    </row>
    <row r="503" spans="1:1" x14ac:dyDescent="0.55000000000000004">
      <c r="A503">
        <v>1056</v>
      </c>
    </row>
    <row r="504" spans="1:1" x14ac:dyDescent="0.55000000000000004">
      <c r="A504">
        <v>1057</v>
      </c>
    </row>
    <row r="505" spans="1:1" x14ac:dyDescent="0.55000000000000004">
      <c r="A505">
        <v>1058</v>
      </c>
    </row>
    <row r="506" spans="1:1" x14ac:dyDescent="0.55000000000000004">
      <c r="A506">
        <v>1059</v>
      </c>
    </row>
    <row r="507" spans="1:1" x14ac:dyDescent="0.55000000000000004">
      <c r="A507">
        <v>1060</v>
      </c>
    </row>
    <row r="508" spans="1:1" x14ac:dyDescent="0.55000000000000004">
      <c r="A508">
        <v>1061</v>
      </c>
    </row>
    <row r="509" spans="1:1" x14ac:dyDescent="0.55000000000000004">
      <c r="A509">
        <v>1062</v>
      </c>
    </row>
    <row r="510" spans="1:1" x14ac:dyDescent="0.55000000000000004">
      <c r="A510">
        <v>1063</v>
      </c>
    </row>
    <row r="511" spans="1:1" x14ac:dyDescent="0.55000000000000004">
      <c r="A511">
        <v>1064</v>
      </c>
    </row>
    <row r="512" spans="1:1" x14ac:dyDescent="0.55000000000000004">
      <c r="A512">
        <v>1065</v>
      </c>
    </row>
    <row r="513" spans="1:1" x14ac:dyDescent="0.55000000000000004">
      <c r="A513">
        <v>1066</v>
      </c>
    </row>
    <row r="514" spans="1:1" x14ac:dyDescent="0.55000000000000004">
      <c r="A514">
        <v>1067</v>
      </c>
    </row>
    <row r="515" spans="1:1" x14ac:dyDescent="0.55000000000000004">
      <c r="A515">
        <v>1068</v>
      </c>
    </row>
    <row r="516" spans="1:1" x14ac:dyDescent="0.55000000000000004">
      <c r="A516">
        <v>1069</v>
      </c>
    </row>
    <row r="517" spans="1:1" x14ac:dyDescent="0.55000000000000004">
      <c r="A517">
        <v>1070</v>
      </c>
    </row>
    <row r="518" spans="1:1" x14ac:dyDescent="0.55000000000000004">
      <c r="A518">
        <v>1071</v>
      </c>
    </row>
    <row r="519" spans="1:1" x14ac:dyDescent="0.55000000000000004">
      <c r="A519">
        <v>1072</v>
      </c>
    </row>
    <row r="520" spans="1:1" x14ac:dyDescent="0.55000000000000004">
      <c r="A520">
        <v>1073</v>
      </c>
    </row>
    <row r="521" spans="1:1" x14ac:dyDescent="0.55000000000000004">
      <c r="A521">
        <v>1074</v>
      </c>
    </row>
    <row r="522" spans="1:1" x14ac:dyDescent="0.55000000000000004">
      <c r="A522">
        <v>1075</v>
      </c>
    </row>
    <row r="523" spans="1:1" x14ac:dyDescent="0.55000000000000004">
      <c r="A523">
        <v>1076</v>
      </c>
    </row>
    <row r="524" spans="1:1" x14ac:dyDescent="0.55000000000000004">
      <c r="A524">
        <v>1077</v>
      </c>
    </row>
    <row r="525" spans="1:1" x14ac:dyDescent="0.55000000000000004">
      <c r="A525">
        <v>1078</v>
      </c>
    </row>
    <row r="526" spans="1:1" x14ac:dyDescent="0.55000000000000004">
      <c r="A526">
        <v>1079</v>
      </c>
    </row>
    <row r="527" spans="1:1" x14ac:dyDescent="0.55000000000000004">
      <c r="A527">
        <v>1080</v>
      </c>
    </row>
    <row r="528" spans="1:1" x14ac:dyDescent="0.55000000000000004">
      <c r="A528">
        <v>1081</v>
      </c>
    </row>
    <row r="529" spans="1:1" x14ac:dyDescent="0.55000000000000004">
      <c r="A529">
        <v>1082</v>
      </c>
    </row>
    <row r="530" spans="1:1" x14ac:dyDescent="0.55000000000000004">
      <c r="A530">
        <v>1083</v>
      </c>
    </row>
    <row r="531" spans="1:1" x14ac:dyDescent="0.55000000000000004">
      <c r="A531">
        <v>1084</v>
      </c>
    </row>
    <row r="532" spans="1:1" x14ac:dyDescent="0.55000000000000004">
      <c r="A532">
        <v>1085</v>
      </c>
    </row>
    <row r="533" spans="1:1" x14ac:dyDescent="0.55000000000000004">
      <c r="A533">
        <v>1086</v>
      </c>
    </row>
    <row r="534" spans="1:1" x14ac:dyDescent="0.55000000000000004">
      <c r="A534">
        <v>1087</v>
      </c>
    </row>
    <row r="535" spans="1:1" x14ac:dyDescent="0.55000000000000004">
      <c r="A535">
        <v>1088</v>
      </c>
    </row>
    <row r="536" spans="1:1" x14ac:dyDescent="0.55000000000000004">
      <c r="A536">
        <v>1089</v>
      </c>
    </row>
    <row r="537" spans="1:1" x14ac:dyDescent="0.55000000000000004">
      <c r="A537">
        <v>1090</v>
      </c>
    </row>
    <row r="538" spans="1:1" x14ac:dyDescent="0.55000000000000004">
      <c r="A538">
        <v>1091</v>
      </c>
    </row>
    <row r="539" spans="1:1" x14ac:dyDescent="0.55000000000000004">
      <c r="A539">
        <v>1092</v>
      </c>
    </row>
    <row r="540" spans="1:1" x14ac:dyDescent="0.55000000000000004">
      <c r="A540">
        <v>1093</v>
      </c>
    </row>
    <row r="541" spans="1:1" x14ac:dyDescent="0.55000000000000004">
      <c r="A541">
        <v>1094</v>
      </c>
    </row>
    <row r="542" spans="1:1" x14ac:dyDescent="0.55000000000000004">
      <c r="A542">
        <v>1095</v>
      </c>
    </row>
    <row r="543" spans="1:1" x14ac:dyDescent="0.55000000000000004">
      <c r="A543">
        <v>1096</v>
      </c>
    </row>
    <row r="544" spans="1:1" x14ac:dyDescent="0.55000000000000004">
      <c r="A544">
        <v>1097</v>
      </c>
    </row>
    <row r="545" spans="1:1" x14ac:dyDescent="0.55000000000000004">
      <c r="A545">
        <v>1098</v>
      </c>
    </row>
    <row r="546" spans="1:1" x14ac:dyDescent="0.55000000000000004">
      <c r="A546">
        <v>1099</v>
      </c>
    </row>
    <row r="547" spans="1:1" x14ac:dyDescent="0.55000000000000004">
      <c r="A547">
        <v>1100</v>
      </c>
    </row>
    <row r="548" spans="1:1" x14ac:dyDescent="0.55000000000000004">
      <c r="A548">
        <v>1101</v>
      </c>
    </row>
    <row r="549" spans="1:1" x14ac:dyDescent="0.55000000000000004">
      <c r="A549">
        <v>1102</v>
      </c>
    </row>
    <row r="550" spans="1:1" x14ac:dyDescent="0.55000000000000004">
      <c r="A550">
        <v>1103</v>
      </c>
    </row>
    <row r="551" spans="1:1" x14ac:dyDescent="0.55000000000000004">
      <c r="A551">
        <v>1104</v>
      </c>
    </row>
    <row r="552" spans="1:1" x14ac:dyDescent="0.55000000000000004">
      <c r="A552">
        <v>1105</v>
      </c>
    </row>
    <row r="553" spans="1:1" x14ac:dyDescent="0.55000000000000004">
      <c r="A553">
        <v>1106</v>
      </c>
    </row>
    <row r="554" spans="1:1" x14ac:dyDescent="0.55000000000000004">
      <c r="A554">
        <v>1107</v>
      </c>
    </row>
    <row r="555" spans="1:1" x14ac:dyDescent="0.55000000000000004">
      <c r="A555">
        <v>1108</v>
      </c>
    </row>
    <row r="556" spans="1:1" x14ac:dyDescent="0.55000000000000004">
      <c r="A556">
        <v>1109</v>
      </c>
    </row>
    <row r="557" spans="1:1" x14ac:dyDescent="0.55000000000000004">
      <c r="A557">
        <v>1110</v>
      </c>
    </row>
    <row r="558" spans="1:1" x14ac:dyDescent="0.55000000000000004">
      <c r="A558">
        <v>1111</v>
      </c>
    </row>
    <row r="559" spans="1:1" x14ac:dyDescent="0.55000000000000004">
      <c r="A559">
        <v>1112</v>
      </c>
    </row>
    <row r="560" spans="1:1" x14ac:dyDescent="0.55000000000000004">
      <c r="A560">
        <v>1113</v>
      </c>
    </row>
    <row r="561" spans="1:1" x14ac:dyDescent="0.55000000000000004">
      <c r="A561">
        <v>1114</v>
      </c>
    </row>
    <row r="562" spans="1:1" x14ac:dyDescent="0.55000000000000004">
      <c r="A562">
        <v>1115</v>
      </c>
    </row>
    <row r="563" spans="1:1" x14ac:dyDescent="0.55000000000000004">
      <c r="A563">
        <v>1116</v>
      </c>
    </row>
    <row r="564" spans="1:1" x14ac:dyDescent="0.55000000000000004">
      <c r="A564">
        <v>1117</v>
      </c>
    </row>
    <row r="565" spans="1:1" x14ac:dyDescent="0.55000000000000004">
      <c r="A565">
        <v>1118</v>
      </c>
    </row>
    <row r="566" spans="1:1" x14ac:dyDescent="0.55000000000000004">
      <c r="A566">
        <v>1119</v>
      </c>
    </row>
    <row r="567" spans="1:1" x14ac:dyDescent="0.55000000000000004">
      <c r="A567">
        <v>1120</v>
      </c>
    </row>
    <row r="568" spans="1:1" x14ac:dyDescent="0.55000000000000004">
      <c r="A568">
        <v>1121</v>
      </c>
    </row>
    <row r="569" spans="1:1" x14ac:dyDescent="0.55000000000000004">
      <c r="A569">
        <v>1122</v>
      </c>
    </row>
    <row r="570" spans="1:1" x14ac:dyDescent="0.55000000000000004">
      <c r="A570">
        <v>1123</v>
      </c>
    </row>
    <row r="571" spans="1:1" x14ac:dyDescent="0.55000000000000004">
      <c r="A571">
        <v>1124</v>
      </c>
    </row>
    <row r="572" spans="1:1" x14ac:dyDescent="0.55000000000000004">
      <c r="A572">
        <v>1125</v>
      </c>
    </row>
    <row r="573" spans="1:1" x14ac:dyDescent="0.55000000000000004">
      <c r="A573">
        <v>1126</v>
      </c>
    </row>
    <row r="574" spans="1:1" x14ac:dyDescent="0.55000000000000004">
      <c r="A574">
        <v>1127</v>
      </c>
    </row>
    <row r="575" spans="1:1" x14ac:dyDescent="0.55000000000000004">
      <c r="A575">
        <v>1128</v>
      </c>
    </row>
    <row r="576" spans="1:1" x14ac:dyDescent="0.55000000000000004">
      <c r="A576">
        <v>1129</v>
      </c>
    </row>
    <row r="577" spans="1:1" x14ac:dyDescent="0.55000000000000004">
      <c r="A577">
        <v>1130</v>
      </c>
    </row>
    <row r="578" spans="1:1" x14ac:dyDescent="0.55000000000000004">
      <c r="A578">
        <v>1131</v>
      </c>
    </row>
    <row r="579" spans="1:1" x14ac:dyDescent="0.55000000000000004">
      <c r="A579">
        <v>1132</v>
      </c>
    </row>
    <row r="580" spans="1:1" x14ac:dyDescent="0.55000000000000004">
      <c r="A580">
        <v>1133</v>
      </c>
    </row>
    <row r="581" spans="1:1" x14ac:dyDescent="0.55000000000000004">
      <c r="A581">
        <v>1134</v>
      </c>
    </row>
    <row r="582" spans="1:1" x14ac:dyDescent="0.55000000000000004">
      <c r="A582">
        <v>1135</v>
      </c>
    </row>
    <row r="583" spans="1:1" x14ac:dyDescent="0.55000000000000004">
      <c r="A583">
        <v>1136</v>
      </c>
    </row>
    <row r="584" spans="1:1" x14ac:dyDescent="0.55000000000000004">
      <c r="A584">
        <v>1137</v>
      </c>
    </row>
    <row r="585" spans="1:1" x14ac:dyDescent="0.55000000000000004">
      <c r="A585">
        <v>1138</v>
      </c>
    </row>
    <row r="586" spans="1:1" x14ac:dyDescent="0.55000000000000004">
      <c r="A586">
        <v>1139</v>
      </c>
    </row>
    <row r="587" spans="1:1" x14ac:dyDescent="0.55000000000000004">
      <c r="A587">
        <v>1140</v>
      </c>
    </row>
    <row r="588" spans="1:1" x14ac:dyDescent="0.55000000000000004">
      <c r="A588">
        <v>1141</v>
      </c>
    </row>
    <row r="589" spans="1:1" x14ac:dyDescent="0.55000000000000004">
      <c r="A589">
        <v>1142</v>
      </c>
    </row>
    <row r="590" spans="1:1" x14ac:dyDescent="0.55000000000000004">
      <c r="A590">
        <v>1143</v>
      </c>
    </row>
    <row r="591" spans="1:1" x14ac:dyDescent="0.55000000000000004">
      <c r="A591">
        <v>1144</v>
      </c>
    </row>
    <row r="592" spans="1:1" x14ac:dyDescent="0.55000000000000004">
      <c r="A592">
        <v>1145</v>
      </c>
    </row>
    <row r="593" spans="1:1" x14ac:dyDescent="0.55000000000000004">
      <c r="A593">
        <v>1146</v>
      </c>
    </row>
    <row r="594" spans="1:1" x14ac:dyDescent="0.55000000000000004">
      <c r="A594">
        <v>1147</v>
      </c>
    </row>
    <row r="595" spans="1:1" x14ac:dyDescent="0.55000000000000004">
      <c r="A595">
        <v>1148</v>
      </c>
    </row>
    <row r="596" spans="1:1" x14ac:dyDescent="0.55000000000000004">
      <c r="A596">
        <v>1149</v>
      </c>
    </row>
    <row r="597" spans="1:1" x14ac:dyDescent="0.55000000000000004">
      <c r="A597">
        <v>1150</v>
      </c>
    </row>
    <row r="598" spans="1:1" x14ac:dyDescent="0.55000000000000004">
      <c r="A598">
        <v>1151</v>
      </c>
    </row>
    <row r="599" spans="1:1" x14ac:dyDescent="0.55000000000000004">
      <c r="A599">
        <v>1152</v>
      </c>
    </row>
    <row r="600" spans="1:1" x14ac:dyDescent="0.55000000000000004">
      <c r="A600">
        <v>1153</v>
      </c>
    </row>
    <row r="601" spans="1:1" x14ac:dyDescent="0.55000000000000004">
      <c r="A601">
        <v>1154</v>
      </c>
    </row>
    <row r="602" spans="1:1" x14ac:dyDescent="0.55000000000000004">
      <c r="A602">
        <v>1155</v>
      </c>
    </row>
    <row r="603" spans="1:1" x14ac:dyDescent="0.55000000000000004">
      <c r="A603">
        <v>1156</v>
      </c>
    </row>
    <row r="604" spans="1:1" x14ac:dyDescent="0.55000000000000004">
      <c r="A604">
        <v>1157</v>
      </c>
    </row>
    <row r="605" spans="1:1" x14ac:dyDescent="0.55000000000000004">
      <c r="A605">
        <v>1158</v>
      </c>
    </row>
    <row r="606" spans="1:1" x14ac:dyDescent="0.55000000000000004">
      <c r="A606">
        <v>1159</v>
      </c>
    </row>
    <row r="607" spans="1:1" x14ac:dyDescent="0.55000000000000004">
      <c r="A607">
        <v>1160</v>
      </c>
    </row>
    <row r="608" spans="1:1" x14ac:dyDescent="0.55000000000000004">
      <c r="A608">
        <v>1161</v>
      </c>
    </row>
    <row r="609" spans="1:1" x14ac:dyDescent="0.55000000000000004">
      <c r="A609">
        <v>1162</v>
      </c>
    </row>
    <row r="610" spans="1:1" x14ac:dyDescent="0.55000000000000004">
      <c r="A610">
        <v>1163</v>
      </c>
    </row>
    <row r="611" spans="1:1" x14ac:dyDescent="0.55000000000000004">
      <c r="A611">
        <v>1164</v>
      </c>
    </row>
    <row r="612" spans="1:1" x14ac:dyDescent="0.55000000000000004">
      <c r="A612">
        <v>1165</v>
      </c>
    </row>
    <row r="613" spans="1:1" x14ac:dyDescent="0.55000000000000004">
      <c r="A613">
        <v>2000</v>
      </c>
    </row>
    <row r="614" spans="1:1" x14ac:dyDescent="0.55000000000000004">
      <c r="A614">
        <v>2001</v>
      </c>
    </row>
    <row r="615" spans="1:1" x14ac:dyDescent="0.55000000000000004">
      <c r="A615">
        <v>2002</v>
      </c>
    </row>
    <row r="616" spans="1:1" x14ac:dyDescent="0.55000000000000004">
      <c r="A616">
        <v>2003</v>
      </c>
    </row>
    <row r="617" spans="1:1" x14ac:dyDescent="0.55000000000000004">
      <c r="A617">
        <v>2004</v>
      </c>
    </row>
    <row r="618" spans="1:1" x14ac:dyDescent="0.55000000000000004">
      <c r="A618">
        <v>2005</v>
      </c>
    </row>
    <row r="619" spans="1:1" x14ac:dyDescent="0.55000000000000004">
      <c r="A619">
        <v>2006</v>
      </c>
    </row>
    <row r="620" spans="1:1" x14ac:dyDescent="0.55000000000000004">
      <c r="A620">
        <v>2007</v>
      </c>
    </row>
    <row r="621" spans="1:1" x14ac:dyDescent="0.55000000000000004">
      <c r="A621">
        <v>2008</v>
      </c>
    </row>
    <row r="622" spans="1:1" x14ac:dyDescent="0.55000000000000004">
      <c r="A622">
        <v>2009</v>
      </c>
    </row>
    <row r="623" spans="1:1" x14ac:dyDescent="0.55000000000000004">
      <c r="A623">
        <v>2010</v>
      </c>
    </row>
    <row r="624" spans="1:1" x14ac:dyDescent="0.55000000000000004">
      <c r="A624">
        <v>2011</v>
      </c>
    </row>
    <row r="625" spans="1:1" x14ac:dyDescent="0.55000000000000004">
      <c r="A625">
        <v>2012</v>
      </c>
    </row>
    <row r="626" spans="1:1" x14ac:dyDescent="0.55000000000000004">
      <c r="A626">
        <v>2013</v>
      </c>
    </row>
    <row r="627" spans="1:1" x14ac:dyDescent="0.55000000000000004">
      <c r="A627">
        <v>2014</v>
      </c>
    </row>
    <row r="628" spans="1:1" x14ac:dyDescent="0.55000000000000004">
      <c r="A628">
        <v>2015</v>
      </c>
    </row>
    <row r="629" spans="1:1" x14ac:dyDescent="0.55000000000000004">
      <c r="A629">
        <v>2016</v>
      </c>
    </row>
    <row r="630" spans="1:1" x14ac:dyDescent="0.55000000000000004">
      <c r="A630">
        <v>2017</v>
      </c>
    </row>
    <row r="631" spans="1:1" x14ac:dyDescent="0.55000000000000004">
      <c r="A631">
        <v>2018</v>
      </c>
    </row>
    <row r="632" spans="1:1" x14ac:dyDescent="0.55000000000000004">
      <c r="A632">
        <v>2019</v>
      </c>
    </row>
    <row r="633" spans="1:1" x14ac:dyDescent="0.55000000000000004">
      <c r="A633">
        <v>2020</v>
      </c>
    </row>
    <row r="634" spans="1:1" x14ac:dyDescent="0.55000000000000004">
      <c r="A634">
        <v>2021</v>
      </c>
    </row>
    <row r="635" spans="1:1" x14ac:dyDescent="0.55000000000000004">
      <c r="A635">
        <v>2022</v>
      </c>
    </row>
    <row r="636" spans="1:1" x14ac:dyDescent="0.55000000000000004">
      <c r="A636">
        <v>2023</v>
      </c>
    </row>
    <row r="637" spans="1:1" x14ac:dyDescent="0.55000000000000004">
      <c r="A637">
        <v>2024</v>
      </c>
    </row>
    <row r="638" spans="1:1" x14ac:dyDescent="0.55000000000000004">
      <c r="A638">
        <v>2025</v>
      </c>
    </row>
    <row r="639" spans="1:1" x14ac:dyDescent="0.55000000000000004">
      <c r="A639">
        <v>2026</v>
      </c>
    </row>
    <row r="640" spans="1:1" x14ac:dyDescent="0.55000000000000004">
      <c r="A640">
        <v>2027</v>
      </c>
    </row>
    <row r="641" spans="1:1" x14ac:dyDescent="0.55000000000000004">
      <c r="A641">
        <v>2028</v>
      </c>
    </row>
    <row r="642" spans="1:1" x14ac:dyDescent="0.55000000000000004">
      <c r="A642">
        <v>2029</v>
      </c>
    </row>
    <row r="643" spans="1:1" x14ac:dyDescent="0.55000000000000004">
      <c r="A643">
        <v>2030</v>
      </c>
    </row>
    <row r="644" spans="1:1" x14ac:dyDescent="0.55000000000000004">
      <c r="A644">
        <v>2031</v>
      </c>
    </row>
    <row r="645" spans="1:1" x14ac:dyDescent="0.55000000000000004">
      <c r="A645">
        <v>2032</v>
      </c>
    </row>
    <row r="646" spans="1:1" x14ac:dyDescent="0.55000000000000004">
      <c r="A646">
        <v>2033</v>
      </c>
    </row>
    <row r="647" spans="1:1" x14ac:dyDescent="0.55000000000000004">
      <c r="A647">
        <v>2034</v>
      </c>
    </row>
    <row r="648" spans="1:1" x14ac:dyDescent="0.55000000000000004">
      <c r="A648">
        <v>2035</v>
      </c>
    </row>
    <row r="649" spans="1:1" x14ac:dyDescent="0.55000000000000004">
      <c r="A649">
        <v>2036</v>
      </c>
    </row>
    <row r="650" spans="1:1" x14ac:dyDescent="0.55000000000000004">
      <c r="A650">
        <v>2037</v>
      </c>
    </row>
    <row r="651" spans="1:1" x14ac:dyDescent="0.55000000000000004">
      <c r="A651">
        <v>2038</v>
      </c>
    </row>
    <row r="652" spans="1:1" x14ac:dyDescent="0.55000000000000004">
      <c r="A652">
        <v>2039</v>
      </c>
    </row>
    <row r="653" spans="1:1" x14ac:dyDescent="0.55000000000000004">
      <c r="A653">
        <v>2040</v>
      </c>
    </row>
    <row r="654" spans="1:1" x14ac:dyDescent="0.55000000000000004">
      <c r="A654">
        <v>2041</v>
      </c>
    </row>
    <row r="655" spans="1:1" x14ac:dyDescent="0.55000000000000004">
      <c r="A655">
        <v>2042</v>
      </c>
    </row>
    <row r="656" spans="1:1" x14ac:dyDescent="0.55000000000000004">
      <c r="A656">
        <v>2043</v>
      </c>
    </row>
    <row r="657" spans="1:1" x14ac:dyDescent="0.55000000000000004">
      <c r="A657">
        <v>2044</v>
      </c>
    </row>
    <row r="658" spans="1:1" x14ac:dyDescent="0.55000000000000004">
      <c r="A658">
        <v>2045</v>
      </c>
    </row>
    <row r="659" spans="1:1" x14ac:dyDescent="0.55000000000000004">
      <c r="A659">
        <v>2046</v>
      </c>
    </row>
    <row r="660" spans="1:1" x14ac:dyDescent="0.55000000000000004">
      <c r="A660">
        <v>2047</v>
      </c>
    </row>
    <row r="661" spans="1:1" x14ac:dyDescent="0.55000000000000004">
      <c r="A661">
        <v>2048</v>
      </c>
    </row>
    <row r="662" spans="1:1" x14ac:dyDescent="0.55000000000000004">
      <c r="A662">
        <v>2049</v>
      </c>
    </row>
    <row r="663" spans="1:1" x14ac:dyDescent="0.55000000000000004">
      <c r="A663">
        <v>2050</v>
      </c>
    </row>
    <row r="664" spans="1:1" x14ac:dyDescent="0.55000000000000004">
      <c r="A664">
        <v>2051</v>
      </c>
    </row>
    <row r="665" spans="1:1" x14ac:dyDescent="0.55000000000000004">
      <c r="A665">
        <v>2052</v>
      </c>
    </row>
    <row r="666" spans="1:1" x14ac:dyDescent="0.55000000000000004">
      <c r="A666">
        <v>2053</v>
      </c>
    </row>
    <row r="667" spans="1:1" x14ac:dyDescent="0.55000000000000004">
      <c r="A667">
        <v>2054</v>
      </c>
    </row>
    <row r="668" spans="1:1" x14ac:dyDescent="0.55000000000000004">
      <c r="A668">
        <v>2055</v>
      </c>
    </row>
    <row r="669" spans="1:1" x14ac:dyDescent="0.55000000000000004">
      <c r="A669">
        <v>2056</v>
      </c>
    </row>
    <row r="670" spans="1:1" x14ac:dyDescent="0.55000000000000004">
      <c r="A670">
        <v>2057</v>
      </c>
    </row>
    <row r="671" spans="1:1" x14ac:dyDescent="0.55000000000000004">
      <c r="A671">
        <v>2058</v>
      </c>
    </row>
    <row r="672" spans="1:1" x14ac:dyDescent="0.55000000000000004">
      <c r="A672">
        <v>2059</v>
      </c>
    </row>
    <row r="673" spans="1:1" x14ac:dyDescent="0.55000000000000004">
      <c r="A673">
        <v>2060</v>
      </c>
    </row>
    <row r="674" spans="1:1" x14ac:dyDescent="0.55000000000000004">
      <c r="A674">
        <v>2061</v>
      </c>
    </row>
    <row r="675" spans="1:1" x14ac:dyDescent="0.55000000000000004">
      <c r="A675">
        <v>2062</v>
      </c>
    </row>
    <row r="676" spans="1:1" x14ac:dyDescent="0.55000000000000004">
      <c r="A676">
        <v>2063</v>
      </c>
    </row>
    <row r="677" spans="1:1" x14ac:dyDescent="0.55000000000000004">
      <c r="A677">
        <v>2064</v>
      </c>
    </row>
    <row r="678" spans="1:1" x14ac:dyDescent="0.55000000000000004">
      <c r="A678">
        <v>2065</v>
      </c>
    </row>
    <row r="679" spans="1:1" x14ac:dyDescent="0.55000000000000004">
      <c r="A679">
        <v>2066</v>
      </c>
    </row>
    <row r="680" spans="1:1" x14ac:dyDescent="0.55000000000000004">
      <c r="A680">
        <v>2067</v>
      </c>
    </row>
    <row r="681" spans="1:1" x14ac:dyDescent="0.55000000000000004">
      <c r="A681">
        <v>2068</v>
      </c>
    </row>
    <row r="682" spans="1:1" x14ac:dyDescent="0.55000000000000004">
      <c r="A682">
        <v>2069</v>
      </c>
    </row>
    <row r="683" spans="1:1" x14ac:dyDescent="0.55000000000000004">
      <c r="A683">
        <v>2070</v>
      </c>
    </row>
    <row r="684" spans="1:1" x14ac:dyDescent="0.55000000000000004">
      <c r="A684">
        <v>2071</v>
      </c>
    </row>
    <row r="685" spans="1:1" x14ac:dyDescent="0.55000000000000004">
      <c r="A685">
        <v>2072</v>
      </c>
    </row>
    <row r="686" spans="1:1" x14ac:dyDescent="0.55000000000000004">
      <c r="A686">
        <v>2073</v>
      </c>
    </row>
    <row r="687" spans="1:1" x14ac:dyDescent="0.55000000000000004">
      <c r="A687">
        <v>2074</v>
      </c>
    </row>
    <row r="688" spans="1:1" x14ac:dyDescent="0.55000000000000004">
      <c r="A688">
        <v>2075</v>
      </c>
    </row>
    <row r="689" spans="1:1" x14ac:dyDescent="0.55000000000000004">
      <c r="A689">
        <v>2076</v>
      </c>
    </row>
    <row r="690" spans="1:1" x14ac:dyDescent="0.55000000000000004">
      <c r="A690">
        <v>2077</v>
      </c>
    </row>
    <row r="691" spans="1:1" x14ac:dyDescent="0.55000000000000004">
      <c r="A691">
        <v>2078</v>
      </c>
    </row>
    <row r="692" spans="1:1" x14ac:dyDescent="0.55000000000000004">
      <c r="A692">
        <v>2079</v>
      </c>
    </row>
    <row r="693" spans="1:1" x14ac:dyDescent="0.55000000000000004">
      <c r="A693">
        <v>2080</v>
      </c>
    </row>
    <row r="694" spans="1:1" x14ac:dyDescent="0.55000000000000004">
      <c r="A694">
        <v>2081</v>
      </c>
    </row>
    <row r="695" spans="1:1" x14ac:dyDescent="0.55000000000000004">
      <c r="A695">
        <v>2082</v>
      </c>
    </row>
    <row r="696" spans="1:1" x14ac:dyDescent="0.55000000000000004">
      <c r="A696">
        <v>2083</v>
      </c>
    </row>
    <row r="697" spans="1:1" x14ac:dyDescent="0.55000000000000004">
      <c r="A697">
        <v>2084</v>
      </c>
    </row>
    <row r="698" spans="1:1" x14ac:dyDescent="0.55000000000000004">
      <c r="A698">
        <v>2085</v>
      </c>
    </row>
    <row r="699" spans="1:1" x14ac:dyDescent="0.55000000000000004">
      <c r="A699">
        <v>2086</v>
      </c>
    </row>
    <row r="700" spans="1:1" x14ac:dyDescent="0.55000000000000004">
      <c r="A700">
        <v>2087</v>
      </c>
    </row>
    <row r="701" spans="1:1" x14ac:dyDescent="0.55000000000000004">
      <c r="A701">
        <v>2088</v>
      </c>
    </row>
    <row r="702" spans="1:1" x14ac:dyDescent="0.55000000000000004">
      <c r="A702">
        <v>2089</v>
      </c>
    </row>
    <row r="703" spans="1:1" x14ac:dyDescent="0.55000000000000004">
      <c r="A703">
        <v>2090</v>
      </c>
    </row>
    <row r="704" spans="1:1" x14ac:dyDescent="0.55000000000000004">
      <c r="A704">
        <v>2091</v>
      </c>
    </row>
    <row r="705" spans="1:1" x14ac:dyDescent="0.55000000000000004">
      <c r="A705">
        <v>2092</v>
      </c>
    </row>
    <row r="706" spans="1:1" x14ac:dyDescent="0.55000000000000004">
      <c r="A706">
        <v>2093</v>
      </c>
    </row>
    <row r="707" spans="1:1" x14ac:dyDescent="0.55000000000000004">
      <c r="A707">
        <v>2094</v>
      </c>
    </row>
    <row r="708" spans="1:1" x14ac:dyDescent="0.55000000000000004">
      <c r="A708">
        <v>2095</v>
      </c>
    </row>
    <row r="709" spans="1:1" x14ac:dyDescent="0.55000000000000004">
      <c r="A709">
        <v>2096</v>
      </c>
    </row>
    <row r="710" spans="1:1" x14ac:dyDescent="0.55000000000000004">
      <c r="A710">
        <v>2097</v>
      </c>
    </row>
    <row r="711" spans="1:1" x14ac:dyDescent="0.55000000000000004">
      <c r="A711">
        <v>2098</v>
      </c>
    </row>
    <row r="712" spans="1:1" x14ac:dyDescent="0.55000000000000004">
      <c r="A712">
        <v>2099</v>
      </c>
    </row>
    <row r="713" spans="1:1" x14ac:dyDescent="0.55000000000000004">
      <c r="A713">
        <v>2100</v>
      </c>
    </row>
    <row r="714" spans="1:1" x14ac:dyDescent="0.55000000000000004">
      <c r="A714">
        <v>2101</v>
      </c>
    </row>
    <row r="715" spans="1:1" x14ac:dyDescent="0.55000000000000004">
      <c r="A715">
        <v>2102</v>
      </c>
    </row>
    <row r="716" spans="1:1" x14ac:dyDescent="0.55000000000000004">
      <c r="A716">
        <v>2103</v>
      </c>
    </row>
    <row r="717" spans="1:1" x14ac:dyDescent="0.55000000000000004">
      <c r="A717">
        <v>2104</v>
      </c>
    </row>
    <row r="718" spans="1:1" x14ac:dyDescent="0.55000000000000004">
      <c r="A718">
        <v>2105</v>
      </c>
    </row>
    <row r="719" spans="1:1" x14ac:dyDescent="0.55000000000000004">
      <c r="A719">
        <v>2106</v>
      </c>
    </row>
    <row r="720" spans="1:1" x14ac:dyDescent="0.55000000000000004">
      <c r="A720">
        <v>2107</v>
      </c>
    </row>
    <row r="721" spans="1:1" x14ac:dyDescent="0.55000000000000004">
      <c r="A721">
        <v>2108</v>
      </c>
    </row>
    <row r="722" spans="1:1" x14ac:dyDescent="0.55000000000000004">
      <c r="A722">
        <v>2109</v>
      </c>
    </row>
    <row r="723" spans="1:1" x14ac:dyDescent="0.55000000000000004">
      <c r="A723">
        <v>3000</v>
      </c>
    </row>
    <row r="724" spans="1:1" x14ac:dyDescent="0.55000000000000004">
      <c r="A724">
        <v>3001</v>
      </c>
    </row>
    <row r="725" spans="1:1" x14ac:dyDescent="0.55000000000000004">
      <c r="A725">
        <v>3002</v>
      </c>
    </row>
    <row r="726" spans="1:1" x14ac:dyDescent="0.55000000000000004">
      <c r="A726">
        <v>3003</v>
      </c>
    </row>
    <row r="727" spans="1:1" x14ac:dyDescent="0.55000000000000004">
      <c r="A727">
        <v>3004</v>
      </c>
    </row>
    <row r="728" spans="1:1" x14ac:dyDescent="0.55000000000000004">
      <c r="A728">
        <v>3005</v>
      </c>
    </row>
    <row r="729" spans="1:1" x14ac:dyDescent="0.55000000000000004">
      <c r="A729">
        <v>3006</v>
      </c>
    </row>
    <row r="730" spans="1:1" x14ac:dyDescent="0.55000000000000004">
      <c r="A730">
        <v>3007</v>
      </c>
    </row>
    <row r="731" spans="1:1" x14ac:dyDescent="0.55000000000000004">
      <c r="A731">
        <v>3008</v>
      </c>
    </row>
    <row r="732" spans="1:1" x14ac:dyDescent="0.55000000000000004">
      <c r="A732">
        <v>3009</v>
      </c>
    </row>
    <row r="733" spans="1:1" x14ac:dyDescent="0.55000000000000004">
      <c r="A733">
        <v>3010</v>
      </c>
    </row>
    <row r="734" spans="1:1" x14ac:dyDescent="0.55000000000000004">
      <c r="A734">
        <v>3011</v>
      </c>
    </row>
    <row r="735" spans="1:1" x14ac:dyDescent="0.55000000000000004">
      <c r="A735">
        <v>3012</v>
      </c>
    </row>
    <row r="736" spans="1:1" x14ac:dyDescent="0.55000000000000004">
      <c r="A736">
        <v>3013</v>
      </c>
    </row>
    <row r="737" spans="1:1" x14ac:dyDescent="0.55000000000000004">
      <c r="A737">
        <v>3014</v>
      </c>
    </row>
    <row r="738" spans="1:1" x14ac:dyDescent="0.55000000000000004">
      <c r="A738">
        <v>3015</v>
      </c>
    </row>
    <row r="739" spans="1:1" x14ac:dyDescent="0.55000000000000004">
      <c r="A739">
        <v>3016</v>
      </c>
    </row>
    <row r="740" spans="1:1" x14ac:dyDescent="0.55000000000000004">
      <c r="A740">
        <v>3017</v>
      </c>
    </row>
    <row r="741" spans="1:1" x14ac:dyDescent="0.55000000000000004">
      <c r="A741">
        <v>3018</v>
      </c>
    </row>
    <row r="742" spans="1:1" x14ac:dyDescent="0.55000000000000004">
      <c r="A742">
        <v>3019</v>
      </c>
    </row>
    <row r="743" spans="1:1" x14ac:dyDescent="0.55000000000000004">
      <c r="A743">
        <v>3020</v>
      </c>
    </row>
    <row r="744" spans="1:1" x14ac:dyDescent="0.55000000000000004">
      <c r="A744">
        <v>3021</v>
      </c>
    </row>
    <row r="745" spans="1:1" x14ac:dyDescent="0.55000000000000004">
      <c r="A745">
        <v>3022</v>
      </c>
    </row>
    <row r="746" spans="1:1" x14ac:dyDescent="0.55000000000000004">
      <c r="A746">
        <v>3023</v>
      </c>
    </row>
    <row r="747" spans="1:1" x14ac:dyDescent="0.55000000000000004">
      <c r="A747">
        <v>3024</v>
      </c>
    </row>
    <row r="748" spans="1:1" x14ac:dyDescent="0.55000000000000004">
      <c r="A748">
        <v>3025</v>
      </c>
    </row>
    <row r="749" spans="1:1" x14ac:dyDescent="0.55000000000000004">
      <c r="A749">
        <v>3026</v>
      </c>
    </row>
    <row r="750" spans="1:1" x14ac:dyDescent="0.55000000000000004">
      <c r="A750">
        <v>3027</v>
      </c>
    </row>
    <row r="751" spans="1:1" x14ac:dyDescent="0.55000000000000004">
      <c r="A751">
        <v>3028</v>
      </c>
    </row>
    <row r="752" spans="1:1" x14ac:dyDescent="0.55000000000000004">
      <c r="A752">
        <v>3029</v>
      </c>
    </row>
    <row r="753" spans="1:1" x14ac:dyDescent="0.55000000000000004">
      <c r="A753">
        <v>3030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EBE7-113F-40EF-B648-92C0EE3A7C57}">
  <dimension ref="A1:O753"/>
  <sheetViews>
    <sheetView tabSelected="1" workbookViewId="0">
      <selection activeCell="M16" sqref="M16"/>
    </sheetView>
  </sheetViews>
  <sheetFormatPr defaultRowHeight="14.4" x14ac:dyDescent="0.55000000000000004"/>
  <sheetData>
    <row r="1" spans="1:15" x14ac:dyDescent="0.55000000000000004">
      <c r="A1" t="s">
        <v>0</v>
      </c>
      <c r="B1" t="s">
        <v>34</v>
      </c>
      <c r="C1" t="s">
        <v>60</v>
      </c>
      <c r="D1" t="s">
        <v>35</v>
      </c>
      <c r="E1" t="s">
        <v>61</v>
      </c>
      <c r="F1" t="s">
        <v>36</v>
      </c>
      <c r="G1" t="s">
        <v>62</v>
      </c>
      <c r="H1" t="s">
        <v>37</v>
      </c>
      <c r="I1" t="s">
        <v>63</v>
      </c>
      <c r="J1" t="s">
        <v>44</v>
      </c>
      <c r="K1" t="s">
        <v>45</v>
      </c>
    </row>
    <row r="2" spans="1:15" x14ac:dyDescent="0.55000000000000004">
      <c r="A2">
        <v>391</v>
      </c>
      <c r="B2">
        <f>climate_scores!H392*weights!$C$13</f>
        <v>4.739589160486949E-2</v>
      </c>
      <c r="D2">
        <f>bird_scores!D392*weights!$C$14</f>
        <v>7.4740581174560866E-2</v>
      </c>
      <c r="F2">
        <f>size_scores!C392*weights!$C$15</f>
        <v>0.19596860999999999</v>
      </c>
      <c r="H2">
        <f>estuary_data!Z392*weights!$C$16</f>
        <v>9.696642421703885E-5</v>
      </c>
      <c r="J2">
        <f>SUM(B2:H2)</f>
        <v>0.31820204920364736</v>
      </c>
      <c r="K2" t="str">
        <f>IF(J2&gt;$N$2/5*4, "1", IF(J2&gt;$N$2/5*3, "2", IF(J2&gt;$N$2/5*2, "3", IF(J2&gt;$N$2/5, "4", "5"))))</f>
        <v>3</v>
      </c>
      <c r="M2" t="s">
        <v>40</v>
      </c>
      <c r="N2">
        <v>0.7944</v>
      </c>
      <c r="O2">
        <v>2030</v>
      </c>
    </row>
    <row r="3" spans="1:15" x14ac:dyDescent="0.55000000000000004">
      <c r="A3">
        <v>1025</v>
      </c>
      <c r="B3">
        <f>climate_scores!H472*weights!$C$13</f>
        <v>7.9003420263375507E-2</v>
      </c>
      <c r="D3">
        <f>bird_scores!D472*weights!$C$14</f>
        <v>5.7081427827293613E-2</v>
      </c>
      <c r="F3">
        <f>size_scores!C472*weights!$C$15</f>
        <v>0.19596860999999999</v>
      </c>
      <c r="H3">
        <f>estuary_data!Z472*weights!$C$16</f>
        <v>3.852251381290014E-6</v>
      </c>
      <c r="J3">
        <f>SUM(B3:H3)</f>
        <v>0.33205731034205038</v>
      </c>
      <c r="K3" t="str">
        <f>IF(J3&gt;$N$2/5*4, "1", IF(J3&gt;$N$2/5*3, "2", IF(J3&gt;$N$2/5*2, "3", IF(J3&gt;$N$2/5, "4", "5"))))</f>
        <v>3</v>
      </c>
      <c r="M3" t="s">
        <v>47</v>
      </c>
      <c r="N3">
        <f>N2/5*4</f>
        <v>0.63551999999999997</v>
      </c>
    </row>
    <row r="4" spans="1:15" x14ac:dyDescent="0.55000000000000004">
      <c r="A4">
        <v>2030</v>
      </c>
      <c r="B4">
        <f>climate_scores!H643*weights!$C$13</f>
        <v>4.5344091249886934E-2</v>
      </c>
      <c r="D4">
        <f>bird_scores!D643*weights!$C$14</f>
        <v>7.1424234929250874E-2</v>
      </c>
      <c r="F4">
        <f>size_scores!C643*weights!$C$15</f>
        <v>0.19596860999999999</v>
      </c>
      <c r="H4">
        <f>estuary_data!Z643*weights!$C$16</f>
        <v>4.546584165391684E-6</v>
      </c>
      <c r="J4">
        <f>SUM(B4:H4)</f>
        <v>0.31274148276330316</v>
      </c>
      <c r="K4" t="str">
        <f>IF(J4&gt;$N$2/5*4, "1", IF(J4&gt;$N$2/5*3, "2", IF(J4&gt;$N$2/5*2, "3", IF(J4&gt;$N$2/5, "4", "5"))))</f>
        <v>4</v>
      </c>
      <c r="M4" t="s">
        <v>48</v>
      </c>
      <c r="N4">
        <f>N2/5*3</f>
        <v>0.47663999999999995</v>
      </c>
    </row>
    <row r="5" spans="1:15" x14ac:dyDescent="0.55000000000000004">
      <c r="A5">
        <v>218</v>
      </c>
      <c r="B5">
        <f>climate_scores!H219*weights!$C$13</f>
        <v>6.0366156196615561E-2</v>
      </c>
      <c r="D5">
        <f>bird_scores!D219*weights!$C$14</f>
        <v>0.11533749559970248</v>
      </c>
      <c r="F5">
        <f>size_scores!C219*weights!$C$15</f>
        <v>0.19596860999999999</v>
      </c>
      <c r="H5">
        <f>estuary_data!Z219*weights!$C$16</f>
        <v>2.0128969767871718E-4</v>
      </c>
      <c r="J5">
        <f>SUM(B5:H5)</f>
        <v>0.37187355149399676</v>
      </c>
      <c r="K5" t="str">
        <f>IF(J5&gt;$N$2/5*4, "1", IF(J5&gt;$N$2/5*3, "2", IF(J5&gt;$N$2/5*2, "3", IF(J5&gt;$N$2/5, "4", "5"))))</f>
        <v>3</v>
      </c>
      <c r="M5" t="s">
        <v>49</v>
      </c>
      <c r="N5">
        <f>N2/5*2</f>
        <v>0.31775999999999999</v>
      </c>
    </row>
    <row r="6" spans="1:15" x14ac:dyDescent="0.55000000000000004">
      <c r="A6">
        <v>1017</v>
      </c>
      <c r="B6">
        <f>climate_scores!H464*weights!$C$13</f>
        <v>9.2724622578699525E-2</v>
      </c>
      <c r="D6">
        <f>bird_scores!D464*weights!$C$14</f>
        <v>6.1585297195093473E-2</v>
      </c>
      <c r="F6">
        <f>size_scores!C464*weights!$C$15</f>
        <v>0.19596860999999999</v>
      </c>
      <c r="H6">
        <f>estuary_data!Z464*weights!$C$16</f>
        <v>9.5261100048954532E-6</v>
      </c>
      <c r="J6">
        <f>SUM(B6:H6)</f>
        <v>0.35028805588379786</v>
      </c>
      <c r="K6" t="str">
        <f>IF(J6&gt;$N$2/5*4, "1", IF(J6&gt;$N$2/5*3, "2", IF(J6&gt;$N$2/5*2, "3", IF(J6&gt;$N$2/5, "4", "5"))))</f>
        <v>3</v>
      </c>
      <c r="M6" t="s">
        <v>50</v>
      </c>
      <c r="N6">
        <f>N2/5</f>
        <v>0.15887999999999999</v>
      </c>
    </row>
    <row r="7" spans="1:15" x14ac:dyDescent="0.55000000000000004">
      <c r="A7">
        <v>1018</v>
      </c>
      <c r="B7">
        <f>climate_scores!H465*weights!$C$13</f>
        <v>9.2639673862197403E-2</v>
      </c>
      <c r="D7">
        <f>bird_scores!D465*weights!$C$14</f>
        <v>5.6010044714904977E-2</v>
      </c>
      <c r="F7">
        <f>size_scores!C465*weights!$C$15</f>
        <v>0.19596860999999999</v>
      </c>
      <c r="H7">
        <f>estuary_data!Z465*weights!$C$16</f>
        <v>8.4169054152843325E-6</v>
      </c>
      <c r="J7">
        <f>SUM(B7:H7)</f>
        <v>0.3446267454825177</v>
      </c>
      <c r="K7" t="str">
        <f>IF(J7&gt;$N$2/5*4, "1", IF(J7&gt;$N$2/5*3, "2", IF(J7&gt;$N$2/5*2, "3", IF(J7&gt;$N$2/5, "4", "5"))))</f>
        <v>3</v>
      </c>
      <c r="M7" t="s">
        <v>51</v>
      </c>
      <c r="N7">
        <v>9.6032999999999993E-2</v>
      </c>
    </row>
    <row r="8" spans="1:15" x14ac:dyDescent="0.55000000000000004">
      <c r="A8">
        <v>1034</v>
      </c>
      <c r="B8">
        <f>climate_scores!H481*weights!$C$13</f>
        <v>7.4048110748220222E-2</v>
      </c>
      <c r="D8">
        <f>bird_scores!D481*weights!$C$14</f>
        <v>6.3301286903875098E-2</v>
      </c>
      <c r="F8">
        <f>size_scores!C481*weights!$C$15</f>
        <v>0.19596860999999999</v>
      </c>
      <c r="H8">
        <f>estuary_data!Z481*weights!$C$16</f>
        <v>1.055312264780708E-5</v>
      </c>
      <c r="J8">
        <f>SUM(B8:H8)</f>
        <v>0.3333285607747431</v>
      </c>
      <c r="K8" t="str">
        <f>IF(J8&gt;$N$2/5*4, "1", IF(J8&gt;$N$2/5*3, "2", IF(J8&gt;$N$2/5*2, "3", IF(J8&gt;$N$2/5, "4", "5"))))</f>
        <v>3</v>
      </c>
    </row>
    <row r="9" spans="1:15" x14ac:dyDescent="0.55000000000000004">
      <c r="A9">
        <v>1043</v>
      </c>
      <c r="B9">
        <f>climate_scores!H490*weights!$C$13</f>
        <v>6.0446239611117954E-2</v>
      </c>
      <c r="D9">
        <f>bird_scores!D490*weights!$C$14</f>
        <v>5.6308920498098235E-2</v>
      </c>
      <c r="F9">
        <f>size_scores!C490*weights!$C$15</f>
        <v>0.19596860999999999</v>
      </c>
      <c r="H9">
        <f>estuary_data!Z490*weights!$C$16</f>
        <v>7.3059162735622967E-6</v>
      </c>
      <c r="J9">
        <f>SUM(B9:H9)</f>
        <v>0.31273107602548972</v>
      </c>
      <c r="K9" t="str">
        <f>IF(J9&gt;$N$2/5*4, "1", IF(J9&gt;$N$2/5*3, "2", IF(J9&gt;$N$2/5*2, "3", IF(J9&gt;$N$2/5, "4", "5"))))</f>
        <v>4</v>
      </c>
      <c r="M9" t="s">
        <v>52</v>
      </c>
    </row>
    <row r="10" spans="1:15" x14ac:dyDescent="0.55000000000000004">
      <c r="A10">
        <v>1153</v>
      </c>
      <c r="B10">
        <f>climate_scores!H600*weights!$C$13</f>
        <v>7.0739084554044734E-2</v>
      </c>
      <c r="D10">
        <f>bird_scores!D600*weights!$C$14</f>
        <v>9.8682456432657287E-2</v>
      </c>
      <c r="F10">
        <f>size_scores!C600*weights!$C$15</f>
        <v>0.19596860999999999</v>
      </c>
      <c r="H10">
        <f>estuary_data!Z600*weights!$C$16</f>
        <v>4.7237065683312313E-5</v>
      </c>
      <c r="J10">
        <f>SUM(B10:H10)</f>
        <v>0.36543738805238535</v>
      </c>
      <c r="K10" t="str">
        <f>IF(J10&gt;$N$2/5*4, "1", IF(J10&gt;$N$2/5*3, "2", IF(J10&gt;$N$2/5*2, "3", IF(J10&gt;$N$2/5, "4", "5"))))</f>
        <v>3</v>
      </c>
      <c r="M10">
        <v>1</v>
      </c>
      <c r="N10">
        <f>COUNTIF($K$2:$K$753, "=1")</f>
        <v>1</v>
      </c>
    </row>
    <row r="11" spans="1:15" x14ac:dyDescent="0.55000000000000004">
      <c r="A11">
        <v>2022</v>
      </c>
      <c r="B11">
        <f>climate_scores!H635*weights!$C$13</f>
        <v>3.0601711299770781E-2</v>
      </c>
      <c r="D11">
        <f>bird_scores!D635*weights!$C$14</f>
        <v>9.6869845579252878E-2</v>
      </c>
      <c r="F11">
        <f>size_scores!C635*weights!$C$15</f>
        <v>0.19596860999999999</v>
      </c>
      <c r="H11">
        <f>estuary_data!Z635*weights!$C$16</f>
        <v>7.1936118124804626E-6</v>
      </c>
      <c r="J11">
        <f>SUM(B11:H11)</f>
        <v>0.32344736049083617</v>
      </c>
      <c r="K11" t="str">
        <f>IF(J11&gt;$N$2/5*4, "1", IF(J11&gt;$N$2/5*3, "2", IF(J11&gt;$N$2/5*2, "3", IF(J11&gt;$N$2/5, "4", "5"))))</f>
        <v>3</v>
      </c>
      <c r="M11">
        <v>2</v>
      </c>
      <c r="N11">
        <f>COUNTIF($K$2:$K$753, "=2")</f>
        <v>13</v>
      </c>
    </row>
    <row r="12" spans="1:15" x14ac:dyDescent="0.55000000000000004">
      <c r="A12">
        <v>2025</v>
      </c>
      <c r="B12">
        <f>climate_scores!H638*weights!$C$13</f>
        <v>3.0224951164568005E-2</v>
      </c>
      <c r="D12">
        <f>bird_scores!D638*weights!$C$14</f>
        <v>8.6355427946659041E-2</v>
      </c>
      <c r="F12">
        <f>size_scores!C638*weights!$C$15</f>
        <v>0.19596860999999999</v>
      </c>
      <c r="H12">
        <f>estuary_data!Z638*weights!$C$16</f>
        <v>1.2732138130829823E-5</v>
      </c>
      <c r="J12">
        <f>SUM(B12:H12)</f>
        <v>0.31256172124935788</v>
      </c>
      <c r="K12" t="str">
        <f>IF(J12&gt;$N$2/5*4, "1", IF(J12&gt;$N$2/5*3, "2", IF(J12&gt;$N$2/5*2, "3", IF(J12&gt;$N$2/5, "4", "5"))))</f>
        <v>4</v>
      </c>
      <c r="M12">
        <v>3</v>
      </c>
      <c r="N12">
        <f>COUNTIF($K$2:$K$753, "=3")</f>
        <v>129</v>
      </c>
    </row>
    <row r="13" spans="1:15" x14ac:dyDescent="0.55000000000000004">
      <c r="A13">
        <v>2026</v>
      </c>
      <c r="B13">
        <f>climate_scores!H639*weights!$C$13</f>
        <v>2.9965354944567663E-2</v>
      </c>
      <c r="D13">
        <f>bird_scores!D639*weights!$C$14</f>
        <v>8.0650531782132065E-2</v>
      </c>
      <c r="F13">
        <f>size_scores!C639*weights!$C$15</f>
        <v>0.19596860999999999</v>
      </c>
      <c r="H13">
        <f>estuary_data!Z639*weights!$C$16</f>
        <v>9.1882493419769387E-6</v>
      </c>
      <c r="J13">
        <f>SUM(B13:H13)</f>
        <v>0.30659368497604172</v>
      </c>
      <c r="K13" t="str">
        <f>IF(J13&gt;$N$2/5*4, "1", IF(J13&gt;$N$2/5*3, "2", IF(J13&gt;$N$2/5*2, "3", IF(J13&gt;$N$2/5, "4", "5"))))</f>
        <v>4</v>
      </c>
      <c r="M13">
        <v>4</v>
      </c>
      <c r="N13">
        <f>COUNTIF($K$2:$K$753, "=4")</f>
        <v>560</v>
      </c>
    </row>
    <row r="14" spans="1:15" x14ac:dyDescent="0.55000000000000004">
      <c r="A14">
        <v>2027</v>
      </c>
      <c r="B14">
        <f>climate_scores!H640*weights!$C$13</f>
        <v>2.9456158761010747E-2</v>
      </c>
      <c r="D14">
        <f>bird_scores!D640*weights!$C$14</f>
        <v>6.4980372510377707E-2</v>
      </c>
      <c r="F14">
        <f>size_scores!C640*weights!$C$15</f>
        <v>0.19596860999999999</v>
      </c>
      <c r="H14">
        <f>estuary_data!Z640*weights!$C$16</f>
        <v>6.4768928419462539E-6</v>
      </c>
      <c r="J14">
        <f>SUM(B14:H14)</f>
        <v>0.29041161816423039</v>
      </c>
      <c r="K14" t="str">
        <f>IF(J14&gt;$N$2/5*4, "1", IF(J14&gt;$N$2/5*3, "2", IF(J14&gt;$N$2/5*2, "3", IF(J14&gt;$N$2/5, "4", "5"))))</f>
        <v>4</v>
      </c>
      <c r="M14">
        <v>5</v>
      </c>
      <c r="N14">
        <f>COUNTIF($K$2:$K$753, "=5")</f>
        <v>42</v>
      </c>
    </row>
    <row r="15" spans="1:15" x14ac:dyDescent="0.55000000000000004">
      <c r="A15">
        <v>2029</v>
      </c>
      <c r="B15">
        <f>climate_scores!H642*weights!$C$13</f>
        <v>4.2748845041788809E-2</v>
      </c>
      <c r="D15">
        <f>bird_scores!D642*weights!$C$14</f>
        <v>0.10794332937197798</v>
      </c>
      <c r="F15">
        <f>size_scores!C642*weights!$C$15</f>
        <v>0.19596860999999999</v>
      </c>
      <c r="H15">
        <f>estuary_data!Z642*weights!$C$16</f>
        <v>1.3166841369482883E-5</v>
      </c>
      <c r="J15">
        <f>SUM(B15:H15)</f>
        <v>0.34667395125513628</v>
      </c>
      <c r="K15" t="str">
        <f>IF(J15&gt;$N$2/5*4, "1", IF(J15&gt;$N$2/5*3, "2", IF(J15&gt;$N$2/5*2, "3", IF(J15&gt;$N$2/5, "4", "5"))))</f>
        <v>3</v>
      </c>
    </row>
    <row r="16" spans="1:15" x14ac:dyDescent="0.55000000000000004">
      <c r="A16">
        <v>2031</v>
      </c>
      <c r="B16">
        <f>climate_scores!H644*weights!$C$13</f>
        <v>4.7804623346125334E-2</v>
      </c>
      <c r="D16">
        <f>bird_scores!D644*weights!$C$14</f>
        <v>8.4420893051359164E-2</v>
      </c>
      <c r="F16">
        <f>size_scores!C644*weights!$C$15</f>
        <v>0.19596860999999999</v>
      </c>
      <c r="H16">
        <f>estuary_data!Z644*weights!$C$16</f>
        <v>7.9430272455405828E-6</v>
      </c>
      <c r="J16">
        <f>SUM(B16:H16)</f>
        <v>0.32820206942473001</v>
      </c>
      <c r="K16" t="str">
        <f>IF(J16&gt;$N$2/5*4, "1", IF(J16&gt;$N$2/5*3, "2", IF(J16&gt;$N$2/5*2, "3", IF(J16&gt;$N$2/5, "4", "5"))))</f>
        <v>3</v>
      </c>
    </row>
    <row r="17" spans="1:11" x14ac:dyDescent="0.55000000000000004">
      <c r="A17">
        <v>2087</v>
      </c>
      <c r="B17">
        <f>climate_scores!H700*weights!$C$13</f>
        <v>5.2228971881996947E-2</v>
      </c>
      <c r="D17">
        <f>bird_scores!D700*weights!$C$14</f>
        <v>0.10350922871570069</v>
      </c>
      <c r="F17">
        <f>size_scores!C700*weights!$C$15</f>
        <v>0.19596860999999999</v>
      </c>
      <c r="H17">
        <f>estuary_data!Z700*weights!$C$16</f>
        <v>1.9339033135534761E-4</v>
      </c>
      <c r="J17">
        <f>SUM(B17:H17)</f>
        <v>0.35190020092905294</v>
      </c>
      <c r="K17" t="str">
        <f>IF(J17&gt;$N$2/5*4, "1", IF(J17&gt;$N$2/5*3, "2", IF(J17&gt;$N$2/5*2, "3", IF(J17&gt;$N$2/5, "4", "5"))))</f>
        <v>3</v>
      </c>
    </row>
    <row r="18" spans="1:11" x14ac:dyDescent="0.55000000000000004">
      <c r="A18">
        <v>2088</v>
      </c>
      <c r="B18">
        <f>climate_scores!H701*weights!$C$13</f>
        <v>5.0967478702919615E-2</v>
      </c>
      <c r="D18">
        <f>bird_scores!D701*weights!$C$14</f>
        <v>8.9820948104523277E-2</v>
      </c>
      <c r="F18">
        <f>size_scores!C701*weights!$C$15</f>
        <v>0.19596860999999999</v>
      </c>
      <c r="H18">
        <f>estuary_data!Z701*weights!$C$16</f>
        <v>1.5157620565689427E-4</v>
      </c>
      <c r="J18">
        <f>SUM(B18:H18)</f>
        <v>0.33690861301309971</v>
      </c>
      <c r="K18" t="str">
        <f>IF(J18&gt;$N$2/5*4, "1", IF(J18&gt;$N$2/5*3, "2", IF(J18&gt;$N$2/5*2, "3", IF(J18&gt;$N$2/5, "4", "5"))))</f>
        <v>3</v>
      </c>
    </row>
    <row r="19" spans="1:11" x14ac:dyDescent="0.55000000000000004">
      <c r="A19">
        <v>2106</v>
      </c>
      <c r="B19">
        <f>climate_scores!H719*weights!$C$13</f>
        <v>4.8301595794686208E-2</v>
      </c>
      <c r="D19">
        <f>bird_scores!D719*weights!$C$14</f>
        <v>7.0147126230045181E-2</v>
      </c>
      <c r="F19">
        <f>size_scores!C719*weights!$C$15</f>
        <v>0.19596860999999999</v>
      </c>
      <c r="H19">
        <f>estuary_data!Z719*weights!$C$16</f>
        <v>2.0065891149561403E-5</v>
      </c>
      <c r="J19">
        <f>SUM(B19:H19)</f>
        <v>0.31443739791588093</v>
      </c>
      <c r="K19" t="str">
        <f>IF(J19&gt;$N$2/5*4, "1", IF(J19&gt;$N$2/5*3, "2", IF(J19&gt;$N$2/5*2, "3", IF(J19&gt;$N$2/5, "4", "5"))))</f>
        <v>4</v>
      </c>
    </row>
    <row r="20" spans="1:11" x14ac:dyDescent="0.55000000000000004">
      <c r="A20">
        <v>2107</v>
      </c>
      <c r="B20">
        <f>climate_scores!H720*weights!$C$13</f>
        <v>4.7918480061833031E-2</v>
      </c>
      <c r="D20">
        <f>bird_scores!D720*weights!$C$14</f>
        <v>7.0147126230045181E-2</v>
      </c>
      <c r="F20">
        <f>size_scores!C720*weights!$C$15</f>
        <v>0.19596860999999999</v>
      </c>
      <c r="H20">
        <f>estuary_data!Z720*weights!$C$16</f>
        <v>3.3262378121795499E-5</v>
      </c>
      <c r="J20">
        <f>SUM(B20:H20)</f>
        <v>0.31406747867000001</v>
      </c>
      <c r="K20" t="str">
        <f>IF(J20&gt;$N$2/5*4, "1", IF(J20&gt;$N$2/5*3, "2", IF(J20&gt;$N$2/5*2, "3", IF(J20&gt;$N$2/5, "4", "5"))))</f>
        <v>4</v>
      </c>
    </row>
    <row r="21" spans="1:11" x14ac:dyDescent="0.55000000000000004">
      <c r="A21">
        <v>1</v>
      </c>
      <c r="B21">
        <f>climate_scores!H2*weights!$C$13</f>
        <v>4.194559871315532E-2</v>
      </c>
      <c r="D21">
        <f>bird_scores!D2*weights!$C$14</f>
        <v>0.55311468716260537</v>
      </c>
      <c r="F21">
        <f>size_scores!C2*weights!$C$15</f>
        <v>0.156774888</v>
      </c>
      <c r="H21">
        <f>estuary_data!Z2*weights!$C$16</f>
        <v>0</v>
      </c>
      <c r="J21">
        <f>SUM(B21:H21)</f>
        <v>0.75183517387576071</v>
      </c>
      <c r="K21" t="str">
        <f>IF(J21&gt;$N$2/5*4, "1", IF(J21&gt;$N$2/5*3, "2", IF(J21&gt;$N$2/5*2, "3", IF(J21&gt;$N$2/5, "4", "5"))))</f>
        <v>1</v>
      </c>
    </row>
    <row r="22" spans="1:11" x14ac:dyDescent="0.55000000000000004">
      <c r="A22">
        <v>2</v>
      </c>
      <c r="B22">
        <f>climate_scores!H3*weights!$C$13</f>
        <v>4.215013180887512E-2</v>
      </c>
      <c r="D22">
        <f>bird_scores!D3*weights!$C$14</f>
        <v>5.464270759056384E-2</v>
      </c>
      <c r="F22">
        <f>size_scores!C3*weights!$C$15</f>
        <v>0.17637174899999999</v>
      </c>
      <c r="H22">
        <f>estuary_data!Z3*weights!$C$16</f>
        <v>0</v>
      </c>
      <c r="J22">
        <f>SUM(B22:H22)</f>
        <v>0.27316458839943897</v>
      </c>
      <c r="K22" t="str">
        <f>IF(J22&gt;$N$2/5*4, "1", IF(J22&gt;$N$2/5*3, "2", IF(J22&gt;$N$2/5*2, "3", IF(J22&gt;$N$2/5, "4", "5"))))</f>
        <v>4</v>
      </c>
    </row>
    <row r="23" spans="1:11" x14ac:dyDescent="0.55000000000000004">
      <c r="A23">
        <v>3</v>
      </c>
      <c r="B23">
        <f>climate_scores!H4*weights!$C$13</f>
        <v>6.8202724325734487E-2</v>
      </c>
      <c r="D23">
        <f>bird_scores!D4*weights!$C$14</f>
        <v>5.0303985313789788E-2</v>
      </c>
      <c r="F23">
        <f>size_scores!C4*weights!$C$15</f>
        <v>0.156774888</v>
      </c>
      <c r="H23">
        <f>estuary_data!Z4*weights!$C$16</f>
        <v>7.7120904851745832E-3</v>
      </c>
      <c r="J23">
        <f>SUM(B23:H23)</f>
        <v>0.28299368812469888</v>
      </c>
      <c r="K23" t="str">
        <f>IF(J23&gt;$N$2/5*4, "1", IF(J23&gt;$N$2/5*3, "2", IF(J23&gt;$N$2/5*2, "3", IF(J23&gt;$N$2/5, "4", "5"))))</f>
        <v>4</v>
      </c>
    </row>
    <row r="24" spans="1:11" x14ac:dyDescent="0.55000000000000004">
      <c r="A24">
        <v>4</v>
      </c>
      <c r="B24">
        <f>climate_scores!H5*weights!$C$13</f>
        <v>6.7644595070977878E-2</v>
      </c>
      <c r="D24">
        <f>bird_scores!D5*weights!$C$14</f>
        <v>5.5154573359693426E-2</v>
      </c>
      <c r="F24">
        <f>size_scores!C5*weights!$C$15</f>
        <v>0.17637174899999999</v>
      </c>
      <c r="H24">
        <f>estuary_data!Z5*weights!$C$16</f>
        <v>1.3705140720522478E-3</v>
      </c>
      <c r="J24">
        <f>SUM(B24:H24)</f>
        <v>0.30054143150272356</v>
      </c>
      <c r="K24" t="str">
        <f>IF(J24&gt;$N$2/5*4, "1", IF(J24&gt;$N$2/5*3, "2", IF(J24&gt;$N$2/5*2, "3", IF(J24&gt;$N$2/5, "4", "5"))))</f>
        <v>4</v>
      </c>
    </row>
    <row r="25" spans="1:11" x14ac:dyDescent="0.55000000000000004">
      <c r="A25">
        <v>5</v>
      </c>
      <c r="B25">
        <f>climate_scores!H6*weights!$C$13</f>
        <v>4.1108425730472922E-2</v>
      </c>
      <c r="D25">
        <f>bird_scores!D6*weights!$C$14</f>
        <v>5.1960154007854059E-2</v>
      </c>
      <c r="F25">
        <f>size_scores!C6*weights!$C$15</f>
        <v>0.17637174899999999</v>
      </c>
      <c r="H25">
        <f>estuary_data!Z6*weights!$C$16</f>
        <v>0</v>
      </c>
      <c r="J25">
        <f>SUM(B25:H25)</f>
        <v>0.26944032873832696</v>
      </c>
      <c r="K25" t="str">
        <f>IF(J25&gt;$N$2/5*4, "1", IF(J25&gt;$N$2/5*3, "2", IF(J25&gt;$N$2/5*2, "3", IF(J25&gt;$N$2/5, "4", "5"))))</f>
        <v>4</v>
      </c>
    </row>
    <row r="26" spans="1:11" x14ac:dyDescent="0.55000000000000004">
      <c r="A26">
        <v>6</v>
      </c>
      <c r="B26">
        <f>climate_scores!H7*weights!$C$13</f>
        <v>4.1932103147223905E-2</v>
      </c>
      <c r="D26">
        <f>bird_scores!D7*weights!$C$14</f>
        <v>5.5303849919789538E-2</v>
      </c>
      <c r="F26">
        <f>size_scores!C7*weights!$C$15</f>
        <v>0.17637174899999999</v>
      </c>
      <c r="H26">
        <f>estuary_data!Z7*weights!$C$16</f>
        <v>0</v>
      </c>
      <c r="J26">
        <f>SUM(B26:H26)</f>
        <v>0.27360770206701346</v>
      </c>
      <c r="K26" t="str">
        <f>IF(J26&gt;$N$2/5*4, "1", IF(J26&gt;$N$2/5*3, "2", IF(J26&gt;$N$2/5*2, "3", IF(J26&gt;$N$2/5, "4", "5"))))</f>
        <v>4</v>
      </c>
    </row>
    <row r="27" spans="1:11" x14ac:dyDescent="0.55000000000000004">
      <c r="A27">
        <v>9</v>
      </c>
      <c r="B27">
        <f>climate_scores!H10*weights!$C$13</f>
        <v>4.9685373282092667E-2</v>
      </c>
      <c r="D27">
        <f>bird_scores!D10*weights!$C$14</f>
        <v>4.4314600956605034E-2</v>
      </c>
      <c r="F27">
        <f>size_scores!C10*weights!$C$15</f>
        <v>0.17637174899999999</v>
      </c>
      <c r="H27">
        <f>estuary_data!Z10*weights!$C$16</f>
        <v>0</v>
      </c>
      <c r="J27">
        <f>SUM(B27:H27)</f>
        <v>0.27037172323869768</v>
      </c>
      <c r="K27" t="str">
        <f>IF(J27&gt;$N$2/5*4, "1", IF(J27&gt;$N$2/5*3, "2", IF(J27&gt;$N$2/5*2, "3", IF(J27&gt;$N$2/5, "4", "5"))))</f>
        <v>4</v>
      </c>
    </row>
    <row r="28" spans="1:11" x14ac:dyDescent="0.55000000000000004">
      <c r="A28">
        <v>10</v>
      </c>
      <c r="B28">
        <f>climate_scores!H11*weights!$C$13</f>
        <v>4.1320065274310362E-2</v>
      </c>
      <c r="D28">
        <f>bird_scores!D11*weights!$C$14</f>
        <v>4.0686278768377437E-2</v>
      </c>
      <c r="F28">
        <f>size_scores!C11*weights!$C$15</f>
        <v>0.17637174899999999</v>
      </c>
      <c r="H28">
        <f>estuary_data!Z11*weights!$C$16</f>
        <v>9.3085257278145193E-5</v>
      </c>
      <c r="J28">
        <f>SUM(B28:H28)</f>
        <v>0.25847117829996591</v>
      </c>
      <c r="K28" t="str">
        <f>IF(J28&gt;$N$2/5*4, "1", IF(J28&gt;$N$2/5*3, "2", IF(J28&gt;$N$2/5*2, "3", IF(J28&gt;$N$2/5, "4", "5"))))</f>
        <v>4</v>
      </c>
    </row>
    <row r="29" spans="1:11" x14ac:dyDescent="0.55000000000000004">
      <c r="A29">
        <v>11</v>
      </c>
      <c r="B29">
        <f>climate_scores!H12*weights!$C$13</f>
        <v>4.1987841326615698E-2</v>
      </c>
      <c r="D29">
        <f>bird_scores!D12*weights!$C$14</f>
        <v>4.2093234271296708E-2</v>
      </c>
      <c r="F29">
        <f>size_scores!C12*weights!$C$15</f>
        <v>0.17637174899999999</v>
      </c>
      <c r="H29">
        <f>estuary_data!Z12*weights!$C$16</f>
        <v>0</v>
      </c>
      <c r="J29">
        <f>SUM(B29:H29)</f>
        <v>0.26045282459791241</v>
      </c>
      <c r="K29" t="str">
        <f>IF(J29&gt;$N$2/5*4, "1", IF(J29&gt;$N$2/5*3, "2", IF(J29&gt;$N$2/5*2, "3", IF(J29&gt;$N$2/5, "4", "5"))))</f>
        <v>4</v>
      </c>
    </row>
    <row r="30" spans="1:11" x14ac:dyDescent="0.55000000000000004">
      <c r="A30">
        <v>12</v>
      </c>
      <c r="B30">
        <f>climate_scores!H13*weights!$C$13</f>
        <v>7.0623522114153223E-2</v>
      </c>
      <c r="D30">
        <f>bird_scores!D13*weights!$C$14</f>
        <v>5.4104633388779633E-2</v>
      </c>
      <c r="F30">
        <f>size_scores!C13*weights!$C$15</f>
        <v>7.8387444000000001E-2</v>
      </c>
      <c r="H30">
        <f>estuary_data!Z13*weights!$C$16</f>
        <v>4.434130683116861E-2</v>
      </c>
      <c r="J30">
        <f>SUM(B30:H30)</f>
        <v>0.24745690633410145</v>
      </c>
      <c r="K30" t="str">
        <f>IF(J30&gt;$N$2/5*4, "1", IF(J30&gt;$N$2/5*3, "2", IF(J30&gt;$N$2/5*2, "3", IF(J30&gt;$N$2/5, "4", "5"))))</f>
        <v>4</v>
      </c>
    </row>
    <row r="31" spans="1:11" x14ac:dyDescent="0.55000000000000004">
      <c r="A31">
        <v>13</v>
      </c>
      <c r="B31">
        <f>climate_scores!H14*weights!$C$13</f>
        <v>4.7948456273508314E-2</v>
      </c>
      <c r="D31">
        <f>bird_scores!D14*weights!$C$14</f>
        <v>4.5992952080469572E-2</v>
      </c>
      <c r="F31">
        <f>size_scores!C14*weights!$C$15</f>
        <v>0.19596860999999999</v>
      </c>
      <c r="H31">
        <f>estuary_data!Z14*weights!$C$16</f>
        <v>2.3609433109555524E-3</v>
      </c>
      <c r="J31">
        <f>SUM(B31:H31)</f>
        <v>0.29227096166493344</v>
      </c>
      <c r="K31" t="str">
        <f>IF(J31&gt;$N$2/5*4, "1", IF(J31&gt;$N$2/5*3, "2", IF(J31&gt;$N$2/5*2, "3", IF(J31&gt;$N$2/5, "4", "5"))))</f>
        <v>4</v>
      </c>
    </row>
    <row r="32" spans="1:11" x14ac:dyDescent="0.55000000000000004">
      <c r="A32">
        <v>14</v>
      </c>
      <c r="B32">
        <f>climate_scores!H15*weights!$C$13</f>
        <v>4.7569528330452596E-2</v>
      </c>
      <c r="D32">
        <f>bird_scores!D15*weights!$C$14</f>
        <v>5.1413797320308395E-2</v>
      </c>
      <c r="F32">
        <f>size_scores!C15*weights!$C$15</f>
        <v>0.19596860999999999</v>
      </c>
      <c r="H32">
        <f>estuary_data!Z15*weights!$C$16</f>
        <v>5.3921026181744797E-3</v>
      </c>
      <c r="J32">
        <f>SUM(B32:H32)</f>
        <v>0.30034403826893541</v>
      </c>
      <c r="K32" t="str">
        <f>IF(J32&gt;$N$2/5*4, "1", IF(J32&gt;$N$2/5*3, "2", IF(J32&gt;$N$2/5*2, "3", IF(J32&gt;$N$2/5, "4", "5"))))</f>
        <v>4</v>
      </c>
    </row>
    <row r="33" spans="1:11" x14ac:dyDescent="0.55000000000000004">
      <c r="A33">
        <v>15</v>
      </c>
      <c r="B33">
        <f>climate_scores!H16*weights!$C$13</f>
        <v>4.9487782546273729E-2</v>
      </c>
      <c r="D33">
        <f>bird_scores!D16*weights!$C$14</f>
        <v>5.3085802115769146E-2</v>
      </c>
      <c r="F33">
        <f>size_scores!C16*weights!$C$15</f>
        <v>0.19596860999999999</v>
      </c>
      <c r="H33">
        <f>estuary_data!Z16*weights!$C$16</f>
        <v>1.7872369397403916E-3</v>
      </c>
      <c r="J33">
        <f>SUM(B33:H33)</f>
        <v>0.30032943160178321</v>
      </c>
      <c r="K33" t="str">
        <f>IF(J33&gt;$N$2/5*4, "1", IF(J33&gt;$N$2/5*3, "2", IF(J33&gt;$N$2/5*2, "3", IF(J33&gt;$N$2/5, "4", "5"))))</f>
        <v>4</v>
      </c>
    </row>
    <row r="34" spans="1:11" x14ac:dyDescent="0.55000000000000004">
      <c r="A34">
        <v>16</v>
      </c>
      <c r="B34">
        <f>climate_scores!H17*weights!$C$13</f>
        <v>4.1556336116367734E-2</v>
      </c>
      <c r="D34">
        <f>bird_scores!D17*weights!$C$14</f>
        <v>4.6820767804444108E-2</v>
      </c>
      <c r="F34">
        <f>size_scores!C17*weights!$C$15</f>
        <v>0.19596860999999999</v>
      </c>
      <c r="H34">
        <f>estuary_data!Z17*weights!$C$16</f>
        <v>0</v>
      </c>
      <c r="J34">
        <f>SUM(B34:H34)</f>
        <v>0.28434571392081182</v>
      </c>
      <c r="K34" t="str">
        <f>IF(J34&gt;$N$2/5*4, "1", IF(J34&gt;$N$2/5*3, "2", IF(J34&gt;$N$2/5*2, "3", IF(J34&gt;$N$2/5, "4", "5"))))</f>
        <v>4</v>
      </c>
    </row>
    <row r="35" spans="1:11" x14ac:dyDescent="0.55000000000000004">
      <c r="A35">
        <v>17</v>
      </c>
      <c r="B35">
        <f>climate_scores!H18*weights!$C$13</f>
        <v>6.6537453125905005E-2</v>
      </c>
      <c r="D35">
        <f>bird_scores!D18*weights!$C$14</f>
        <v>5.1653529830555323E-2</v>
      </c>
      <c r="F35">
        <f>size_scores!C18*weights!$C$15</f>
        <v>0.156774888</v>
      </c>
      <c r="H35">
        <f>estuary_data!Z18*weights!$C$16</f>
        <v>1.5617750928219459E-2</v>
      </c>
      <c r="J35">
        <f>SUM(B35:H35)</f>
        <v>0.29058362188467979</v>
      </c>
      <c r="K35" t="str">
        <f>IF(J35&gt;$N$2/5*4, "1", IF(J35&gt;$N$2/5*3, "2", IF(J35&gt;$N$2/5*2, "3", IF(J35&gt;$N$2/5, "4", "5"))))</f>
        <v>4</v>
      </c>
    </row>
    <row r="36" spans="1:11" x14ac:dyDescent="0.55000000000000004">
      <c r="A36">
        <v>18</v>
      </c>
      <c r="B36">
        <f>climate_scores!H19*weights!$C$13</f>
        <v>5.3493292789571885E-2</v>
      </c>
      <c r="D36">
        <f>bird_scores!D19*weights!$C$14</f>
        <v>5.3022525653273235E-2</v>
      </c>
      <c r="F36">
        <f>size_scores!C19*weights!$C$15</f>
        <v>0.156774888</v>
      </c>
      <c r="H36">
        <f>estuary_data!Z19*weights!$C$16</f>
        <v>6.9351395349464395E-3</v>
      </c>
      <c r="J36">
        <f>SUM(B36:H36)</f>
        <v>0.27022584597779159</v>
      </c>
      <c r="K36" t="str">
        <f>IF(J36&gt;$N$2/5*4, "1", IF(J36&gt;$N$2/5*3, "2", IF(J36&gt;$N$2/5*2, "3", IF(J36&gt;$N$2/5, "4", "5"))))</f>
        <v>4</v>
      </c>
    </row>
    <row r="37" spans="1:11" x14ac:dyDescent="0.55000000000000004">
      <c r="A37">
        <v>22</v>
      </c>
      <c r="B37">
        <f>climate_scores!H23*weights!$C$13</f>
        <v>4.1011438921917096E-2</v>
      </c>
      <c r="D37">
        <f>bird_scores!D23*weights!$C$14</f>
        <v>5.2282563987640307E-2</v>
      </c>
      <c r="F37">
        <f>size_scores!C23*weights!$C$15</f>
        <v>0.17637174899999999</v>
      </c>
      <c r="H37">
        <f>estuary_data!Z23*weights!$C$16</f>
        <v>4.1366450935838997E-3</v>
      </c>
      <c r="J37">
        <f>SUM(B37:H37)</f>
        <v>0.2738023970031413</v>
      </c>
      <c r="K37" t="str">
        <f>IF(J37&gt;$N$2/5*4, "1", IF(J37&gt;$N$2/5*3, "2", IF(J37&gt;$N$2/5*2, "3", IF(J37&gt;$N$2/5, "4", "5"))))</f>
        <v>4</v>
      </c>
    </row>
    <row r="38" spans="1:11" x14ac:dyDescent="0.55000000000000004">
      <c r="A38">
        <v>24</v>
      </c>
      <c r="B38">
        <f>climate_scores!H25*weights!$C$13</f>
        <v>4.5026472091548753E-2</v>
      </c>
      <c r="D38">
        <f>bird_scores!D25*weights!$C$14</f>
        <v>4.9205387117182267E-2</v>
      </c>
      <c r="F38">
        <f>size_scores!C25*weights!$C$15</f>
        <v>0.17637174899999999</v>
      </c>
      <c r="H38">
        <f>estuary_data!Z25*weights!$C$16</f>
        <v>2.8958080756875783E-3</v>
      </c>
      <c r="J38">
        <f>SUM(B38:H38)</f>
        <v>0.27349941628441859</v>
      </c>
      <c r="K38" t="str">
        <f>IF(J38&gt;$N$2/5*4, "1", IF(J38&gt;$N$2/5*3, "2", IF(J38&gt;$N$2/5*2, "3", IF(J38&gt;$N$2/5, "4", "5"))))</f>
        <v>4</v>
      </c>
    </row>
    <row r="39" spans="1:11" x14ac:dyDescent="0.55000000000000004">
      <c r="A39">
        <v>25</v>
      </c>
      <c r="B39">
        <f>climate_scores!H26*weights!$C$13</f>
        <v>5.8313201364166803E-2</v>
      </c>
      <c r="D39">
        <f>bird_scores!D26*weights!$C$14</f>
        <v>4.0156828257154324E-2</v>
      </c>
      <c r="F39">
        <f>size_scores!C26*weights!$C$15</f>
        <v>0.19596860999999999</v>
      </c>
      <c r="H39">
        <f>estuary_data!Z26*weights!$C$16</f>
        <v>1.2871519894039141E-3</v>
      </c>
      <c r="J39">
        <f>SUM(B39:H39)</f>
        <v>0.29572579161072504</v>
      </c>
      <c r="K39" t="str">
        <f>IF(J39&gt;$N$2/5*4, "1", IF(J39&gt;$N$2/5*3, "2", IF(J39&gt;$N$2/5*2, "3", IF(J39&gt;$N$2/5, "4", "5"))))</f>
        <v>4</v>
      </c>
    </row>
    <row r="40" spans="1:11" x14ac:dyDescent="0.55000000000000004">
      <c r="A40">
        <v>29</v>
      </c>
      <c r="B40">
        <f>climate_scores!H30*weights!$C$13</f>
        <v>5.3193529002852687E-2</v>
      </c>
      <c r="D40">
        <f>bird_scores!D30*weights!$C$14</f>
        <v>4.9853511522138433E-2</v>
      </c>
      <c r="F40">
        <f>size_scores!C30*weights!$C$15</f>
        <v>0.13717802699999998</v>
      </c>
      <c r="H40">
        <f>estuary_data!Z30*weights!$C$16</f>
        <v>2.368698666229194E-2</v>
      </c>
      <c r="J40">
        <f>SUM(B40:H40)</f>
        <v>0.26391205418728303</v>
      </c>
      <c r="K40" t="str">
        <f>IF(J40&gt;$N$2/5*4, "1", IF(J40&gt;$N$2/5*3, "2", IF(J40&gt;$N$2/5*2, "3", IF(J40&gt;$N$2/5, "4", "5"))))</f>
        <v>4</v>
      </c>
    </row>
    <row r="41" spans="1:11" x14ac:dyDescent="0.55000000000000004">
      <c r="A41">
        <v>31</v>
      </c>
      <c r="B41">
        <f>climate_scores!H32*weights!$C$13</f>
        <v>6.8981792468610123E-2</v>
      </c>
      <c r="D41">
        <f>bird_scores!D32*weights!$C$14</f>
        <v>5.0459684177152825E-2</v>
      </c>
      <c r="F41">
        <f>size_scores!C32*weights!$C$15</f>
        <v>0.156774888</v>
      </c>
      <c r="H41">
        <f>estuary_data!Z32*weights!$C$16</f>
        <v>6.169672388139669E-3</v>
      </c>
      <c r="J41">
        <f>SUM(B41:H41)</f>
        <v>0.28238603703390258</v>
      </c>
      <c r="K41" t="str">
        <f>IF(J41&gt;$N$2/5*4, "1", IF(J41&gt;$N$2/5*3, "2", IF(J41&gt;$N$2/5*2, "3", IF(J41&gt;$N$2/5, "4", "5"))))</f>
        <v>4</v>
      </c>
    </row>
    <row r="42" spans="1:11" x14ac:dyDescent="0.55000000000000004">
      <c r="A42">
        <v>33</v>
      </c>
      <c r="B42">
        <f>climate_scores!H34*weights!$C$13</f>
        <v>6.9302626697968453E-2</v>
      </c>
      <c r="D42">
        <f>bird_scores!D34*weights!$C$14</f>
        <v>2.8599753009066729E-2</v>
      </c>
      <c r="F42">
        <f>size_scores!C34*weights!$C$15</f>
        <v>0.17637174899999999</v>
      </c>
      <c r="H42">
        <f>estuary_data!Z34*weights!$C$16</f>
        <v>0</v>
      </c>
      <c r="J42">
        <f>SUM(B42:H42)</f>
        <v>0.27427412870703516</v>
      </c>
      <c r="K42" t="str">
        <f>IF(J42&gt;$N$2/5*4, "1", IF(J42&gt;$N$2/5*3, "2", IF(J42&gt;$N$2/5*2, "3", IF(J42&gt;$N$2/5, "4", "5"))))</f>
        <v>4</v>
      </c>
    </row>
    <row r="43" spans="1:11" x14ac:dyDescent="0.55000000000000004">
      <c r="A43">
        <v>34</v>
      </c>
      <c r="B43">
        <f>climate_scores!H35*weights!$C$13</f>
        <v>4.0707685344160485E-2</v>
      </c>
      <c r="D43">
        <f>bird_scores!D35*weights!$C$14</f>
        <v>3.3612577741440434E-2</v>
      </c>
      <c r="F43">
        <f>size_scores!C35*weights!$C$15</f>
        <v>0.156774888</v>
      </c>
      <c r="H43">
        <f>estuary_data!Z35*weights!$C$16</f>
        <v>0</v>
      </c>
      <c r="J43">
        <f>SUM(B43:H43)</f>
        <v>0.23109515108560091</v>
      </c>
      <c r="K43" t="str">
        <f>IF(J43&gt;$N$2/5*4, "1", IF(J43&gt;$N$2/5*3, "2", IF(J43&gt;$N$2/5*2, "3", IF(J43&gt;$N$2/5, "4", "5"))))</f>
        <v>4</v>
      </c>
    </row>
    <row r="44" spans="1:11" x14ac:dyDescent="0.55000000000000004">
      <c r="A44">
        <v>35</v>
      </c>
      <c r="B44">
        <f>climate_scores!H36*weights!$C$13</f>
        <v>5.6524538255848258E-2</v>
      </c>
      <c r="D44">
        <f>bird_scores!D36*weights!$C$14</f>
        <v>4.372280859084747E-2</v>
      </c>
      <c r="F44">
        <f>size_scores!C36*weights!$C$15</f>
        <v>0.19596860999999999</v>
      </c>
      <c r="H44">
        <f>estuary_data!Z36*weights!$C$16</f>
        <v>1.1724552774768303E-4</v>
      </c>
      <c r="J44">
        <f>SUM(B44:H44)</f>
        <v>0.29633320237444338</v>
      </c>
      <c r="K44" t="str">
        <f>IF(J44&gt;$N$2/5*4, "1", IF(J44&gt;$N$2/5*3, "2", IF(J44&gt;$N$2/5*2, "3", IF(J44&gt;$N$2/5, "4", "5"))))</f>
        <v>4</v>
      </c>
    </row>
    <row r="45" spans="1:11" x14ac:dyDescent="0.55000000000000004">
      <c r="A45">
        <v>36</v>
      </c>
      <c r="B45">
        <f>climate_scores!H37*weights!$C$13</f>
        <v>4.225921794750348E-2</v>
      </c>
      <c r="D45">
        <f>bird_scores!D37*weights!$C$14</f>
        <v>4.3272502429033334E-2</v>
      </c>
      <c r="F45">
        <f>size_scores!C37*weights!$C$15</f>
        <v>0.17637174899999999</v>
      </c>
      <c r="H45">
        <f>estuary_data!Z37*weights!$C$16</f>
        <v>0</v>
      </c>
      <c r="J45">
        <f>SUM(B45:H45)</f>
        <v>0.2619034693765368</v>
      </c>
      <c r="K45" t="str">
        <f>IF(J45&gt;$N$2/5*4, "1", IF(J45&gt;$N$2/5*3, "2", IF(J45&gt;$N$2/5*2, "3", IF(J45&gt;$N$2/5, "4", "5"))))</f>
        <v>4</v>
      </c>
    </row>
    <row r="46" spans="1:11" x14ac:dyDescent="0.55000000000000004">
      <c r="A46">
        <v>45</v>
      </c>
      <c r="B46">
        <f>climate_scores!H46*weights!$C$13</f>
        <v>4.3123146062796283E-2</v>
      </c>
      <c r="D46">
        <f>bird_scores!D46*weights!$C$14</f>
        <v>5.2669853921494744E-2</v>
      </c>
      <c r="F46">
        <f>size_scores!C46*weights!$C$15</f>
        <v>0.17637174899999999</v>
      </c>
      <c r="H46">
        <f>estuary_data!Z46*weights!$C$16</f>
        <v>3.278261878937044E-3</v>
      </c>
      <c r="J46">
        <f>SUM(B46:H46)</f>
        <v>0.27544301086322803</v>
      </c>
      <c r="K46" t="str">
        <f>IF(J46&gt;$N$2/5*4, "1", IF(J46&gt;$N$2/5*3, "2", IF(J46&gt;$N$2/5*2, "3", IF(J46&gt;$N$2/5, "4", "5"))))</f>
        <v>4</v>
      </c>
    </row>
    <row r="47" spans="1:11" x14ac:dyDescent="0.55000000000000004">
      <c r="A47">
        <v>60</v>
      </c>
      <c r="B47">
        <f>climate_scores!H61*weights!$C$13</f>
        <v>7.3081808067754356E-2</v>
      </c>
      <c r="D47">
        <f>bird_scores!D61*weights!$C$14</f>
        <v>6.7425088056266447E-3</v>
      </c>
      <c r="F47">
        <f>size_scores!C61*weights!$C$15</f>
        <v>0.17637174899999999</v>
      </c>
      <c r="H47">
        <f>estuary_data!Z61*weights!$C$16</f>
        <v>1.7228830238121565E-2</v>
      </c>
      <c r="J47">
        <f>SUM(B47:H47)</f>
        <v>0.27342489611150256</v>
      </c>
      <c r="K47" t="str">
        <f>IF(J47&gt;$N$2/5*4, "1", IF(J47&gt;$N$2/5*3, "2", IF(J47&gt;$N$2/5*2, "3", IF(J47&gt;$N$2/5, "4", "5"))))</f>
        <v>4</v>
      </c>
    </row>
    <row r="48" spans="1:11" x14ac:dyDescent="0.55000000000000004">
      <c r="A48">
        <v>71</v>
      </c>
      <c r="B48">
        <f>climate_scores!H72*weights!$C$13</f>
        <v>6.8460183205710151E-2</v>
      </c>
      <c r="D48">
        <f>bird_scores!D72*weights!$C$14</f>
        <v>5.0854155793425865E-2</v>
      </c>
      <c r="F48">
        <f>size_scores!C72*weights!$C$15</f>
        <v>0.17637174899999999</v>
      </c>
      <c r="H48">
        <f>estuary_data!Z72*weights!$C$16</f>
        <v>4.1115422161567536E-4</v>
      </c>
      <c r="J48">
        <f>SUM(B48:H48)</f>
        <v>0.29609724222075168</v>
      </c>
      <c r="K48" t="str">
        <f>IF(J48&gt;$N$2/5*4, "1", IF(J48&gt;$N$2/5*3, "2", IF(J48&gt;$N$2/5*2, "3", IF(J48&gt;$N$2/5, "4", "5"))))</f>
        <v>4</v>
      </c>
    </row>
    <row r="49" spans="1:11" x14ac:dyDescent="0.55000000000000004">
      <c r="A49">
        <v>74</v>
      </c>
      <c r="B49">
        <f>climate_scores!H75*weights!$C$13</f>
        <v>4.2685601216685604E-2</v>
      </c>
      <c r="D49">
        <f>bird_scores!D75*weights!$C$14</f>
        <v>4.0304427435579597E-2</v>
      </c>
      <c r="F49">
        <f>size_scores!C75*weights!$C$15</f>
        <v>0.156774888</v>
      </c>
      <c r="H49">
        <f>estuary_data!Z75*weights!$C$16</f>
        <v>0</v>
      </c>
      <c r="J49">
        <f>SUM(B49:H49)</f>
        <v>0.23976491665226521</v>
      </c>
      <c r="K49" t="str">
        <f>IF(J49&gt;$N$2/5*4, "1", IF(J49&gt;$N$2/5*3, "2", IF(J49&gt;$N$2/5*2, "3", IF(J49&gt;$N$2/5, "4", "5"))))</f>
        <v>4</v>
      </c>
    </row>
    <row r="50" spans="1:11" x14ac:dyDescent="0.55000000000000004">
      <c r="A50">
        <v>75</v>
      </c>
      <c r="B50">
        <f>climate_scores!H76*weights!$C$13</f>
        <v>4.0502894729554303E-2</v>
      </c>
      <c r="D50">
        <f>bird_scores!D76*weights!$C$14</f>
        <v>3.5888223327107338E-2</v>
      </c>
      <c r="F50">
        <f>size_scores!C76*weights!$C$15</f>
        <v>0.156774888</v>
      </c>
      <c r="H50">
        <f>estuary_data!Z76*weights!$C$16</f>
        <v>0</v>
      </c>
      <c r="J50">
        <f>SUM(B50:H50)</f>
        <v>0.23316600605666166</v>
      </c>
      <c r="K50" t="str">
        <f>IF(J50&gt;$N$2/5*4, "1", IF(J50&gt;$N$2/5*3, "2", IF(J50&gt;$N$2/5*2, "3", IF(J50&gt;$N$2/5, "4", "5"))))</f>
        <v>4</v>
      </c>
    </row>
    <row r="51" spans="1:11" x14ac:dyDescent="0.55000000000000004">
      <c r="A51">
        <v>81</v>
      </c>
      <c r="B51">
        <f>climate_scores!H82*weights!$C$13</f>
        <v>6.7453225367761147E-2</v>
      </c>
      <c r="D51">
        <f>bird_scores!D82*weights!$C$14</f>
        <v>4.4006797145814992E-2</v>
      </c>
      <c r="F51">
        <f>size_scores!C82*weights!$C$15</f>
        <v>0.13717802699999998</v>
      </c>
      <c r="H51">
        <f>estuary_data!Z82*weights!$C$16</f>
        <v>1.5424180970349147E-2</v>
      </c>
      <c r="J51">
        <f>SUM(B51:H51)</f>
        <v>0.2640622304839253</v>
      </c>
      <c r="K51" t="str">
        <f>IF(J51&gt;$N$2/5*4, "1", IF(J51&gt;$N$2/5*3, "2", IF(J51&gt;$N$2/5*2, "3", IF(J51&gt;$N$2/5, "4", "5"))))</f>
        <v>4</v>
      </c>
    </row>
    <row r="52" spans="1:11" x14ac:dyDescent="0.55000000000000004">
      <c r="A52">
        <v>97</v>
      </c>
      <c r="B52">
        <f>climate_scores!H98*weights!$C$13</f>
        <v>7.18896109311771E-2</v>
      </c>
      <c r="D52">
        <f>bird_scores!D98*weights!$C$14</f>
        <v>5.4486877864433528E-2</v>
      </c>
      <c r="F52">
        <f>size_scores!C98*weights!$C$15</f>
        <v>5.8790582999999993E-2</v>
      </c>
      <c r="H52">
        <f>estuary_data!Z98*weights!$C$16</f>
        <v>4.434130683116861E-2</v>
      </c>
      <c r="J52">
        <f>SUM(B52:H52)</f>
        <v>0.22950837862677925</v>
      </c>
      <c r="K52" t="str">
        <f>IF(J52&gt;$N$2/5*4, "1", IF(J52&gt;$N$2/5*3, "2", IF(J52&gt;$N$2/5*2, "3", IF(J52&gt;$N$2/5, "4", "5"))))</f>
        <v>4</v>
      </c>
    </row>
    <row r="53" spans="1:11" x14ac:dyDescent="0.55000000000000004">
      <c r="A53">
        <v>98</v>
      </c>
      <c r="B53">
        <f>climate_scores!H99*weights!$C$13</f>
        <v>6.8524828139540042E-2</v>
      </c>
      <c r="D53">
        <f>bird_scores!D99*weights!$C$14</f>
        <v>2.1376860180989388E-2</v>
      </c>
      <c r="F53">
        <f>size_scores!C99*weights!$C$15</f>
        <v>0.11758116599999999</v>
      </c>
      <c r="H53">
        <f>estuary_data!Z99*weights!$C$16</f>
        <v>2.2170653415584305E-2</v>
      </c>
      <c r="J53">
        <f>SUM(B53:H53)</f>
        <v>0.22965350773611373</v>
      </c>
      <c r="K53" t="str">
        <f>IF(J53&gt;$N$2/5*4, "1", IF(J53&gt;$N$2/5*3, "2", IF(J53&gt;$N$2/5*2, "3", IF(J53&gt;$N$2/5, "4", "5"))))</f>
        <v>4</v>
      </c>
    </row>
    <row r="54" spans="1:11" x14ac:dyDescent="0.55000000000000004">
      <c r="A54">
        <v>103</v>
      </c>
      <c r="B54">
        <f>climate_scores!H104*weights!$C$13</f>
        <v>8.8732720346257329E-2</v>
      </c>
      <c r="D54">
        <f>bird_scores!D104*weights!$C$14</f>
        <v>4.0708791892100367E-2</v>
      </c>
      <c r="F54">
        <f>size_scores!C104*weights!$C$15</f>
        <v>0.13717802699999998</v>
      </c>
      <c r="H54">
        <f>estuary_data!Z104*weights!$C$16</f>
        <v>1.7228830238121565E-2</v>
      </c>
      <c r="J54">
        <f>SUM(B54:H54)</f>
        <v>0.28384836947647923</v>
      </c>
      <c r="K54" t="str">
        <f>IF(J54&gt;$N$2/5*4, "1", IF(J54&gt;$N$2/5*3, "2", IF(J54&gt;$N$2/5*2, "3", IF(J54&gt;$N$2/5, "4", "5"))))</f>
        <v>4</v>
      </c>
    </row>
    <row r="55" spans="1:11" x14ac:dyDescent="0.55000000000000004">
      <c r="A55">
        <v>106</v>
      </c>
      <c r="B55">
        <f>climate_scores!H107*weights!$C$13</f>
        <v>6.4743071305727859E-2</v>
      </c>
      <c r="D55">
        <f>bird_scores!D107*weights!$C$14</f>
        <v>3.8158405978897601E-2</v>
      </c>
      <c r="F55">
        <f>size_scores!C107*weights!$C$15</f>
        <v>0.13717802699999998</v>
      </c>
      <c r="H55">
        <f>estuary_data!Z107*weights!$C$16</f>
        <v>1.9722741023471303E-2</v>
      </c>
      <c r="J55">
        <f>SUM(B55:H55)</f>
        <v>0.25980224530809676</v>
      </c>
      <c r="K55" t="str">
        <f>IF(J55&gt;$N$2/5*4, "1", IF(J55&gt;$N$2/5*3, "2", IF(J55&gt;$N$2/5*2, "3", IF(J55&gt;$N$2/5, "4", "5"))))</f>
        <v>4</v>
      </c>
    </row>
    <row r="56" spans="1:11" x14ac:dyDescent="0.55000000000000004">
      <c r="A56">
        <v>132</v>
      </c>
      <c r="B56">
        <f>climate_scores!H133*weights!$C$13</f>
        <v>5.8145959775921546E-2</v>
      </c>
      <c r="D56">
        <f>bird_scores!D133*weights!$C$14</f>
        <v>4.0560419141473583E-2</v>
      </c>
      <c r="F56">
        <f>size_scores!C133*weights!$C$15</f>
        <v>0.13717802699999998</v>
      </c>
      <c r="H56">
        <f>estuary_data!Z133*weights!$C$16</f>
        <v>8.9104022846837588E-3</v>
      </c>
      <c r="J56">
        <f>SUM(B56:H56)</f>
        <v>0.24479480820207888</v>
      </c>
      <c r="K56" t="str">
        <f>IF(J56&gt;$N$2/5*4, "1", IF(J56&gt;$N$2/5*3, "2", IF(J56&gt;$N$2/5*2, "3", IF(J56&gt;$N$2/5, "4", "5"))))</f>
        <v>4</v>
      </c>
    </row>
    <row r="57" spans="1:11" x14ac:dyDescent="0.55000000000000004">
      <c r="A57">
        <v>175</v>
      </c>
      <c r="B57">
        <f>climate_scores!H176*weights!$C$13</f>
        <v>5.5446387274782655E-2</v>
      </c>
      <c r="D57">
        <f>bird_scores!D176*weights!$C$14</f>
        <v>0.18684131283268071</v>
      </c>
      <c r="F57">
        <f>size_scores!C176*weights!$C$15</f>
        <v>0.11758116599999999</v>
      </c>
      <c r="H57">
        <f>estuary_data!Z176*weights!$C$16</f>
        <v>9.5786179999999999E-2</v>
      </c>
      <c r="J57">
        <f>SUM(B57:H57)</f>
        <v>0.45565504610746338</v>
      </c>
      <c r="K57" t="str">
        <f>IF(J57&gt;$N$2/5*4, "1", IF(J57&gt;$N$2/5*3, "2", IF(J57&gt;$N$2/5*2, "3", IF(J57&gt;$N$2/5, "4", "5"))))</f>
        <v>3</v>
      </c>
    </row>
    <row r="58" spans="1:11" x14ac:dyDescent="0.55000000000000004">
      <c r="A58">
        <v>181</v>
      </c>
      <c r="B58">
        <f>climate_scores!H182*weights!$C$13</f>
        <v>6.3510265929869358E-2</v>
      </c>
      <c r="D58">
        <f>bird_scores!D182*weights!$C$14</f>
        <v>0.17445843968877178</v>
      </c>
      <c r="F58">
        <f>size_scores!C182*weights!$C$15</f>
        <v>0.17637174899999999</v>
      </c>
      <c r="H58">
        <f>estuary_data!Z182*weights!$C$16</f>
        <v>3.0495582536339367E-3</v>
      </c>
      <c r="J58">
        <f>SUM(B58:H58)</f>
        <v>0.41739001287227506</v>
      </c>
      <c r="K58" t="str">
        <f>IF(J58&gt;$N$2/5*4, "1", IF(J58&gt;$N$2/5*3, "2", IF(J58&gt;$N$2/5*2, "3", IF(J58&gt;$N$2/5, "4", "5"))))</f>
        <v>3</v>
      </c>
    </row>
    <row r="59" spans="1:11" x14ac:dyDescent="0.55000000000000004">
      <c r="A59">
        <v>182</v>
      </c>
      <c r="B59">
        <f>climate_scores!H183*weights!$C$13</f>
        <v>5.6955871428878389E-2</v>
      </c>
      <c r="D59">
        <f>bird_scores!D183*weights!$C$14</f>
        <v>0.18455754179220754</v>
      </c>
      <c r="F59">
        <f>size_scores!C183*weights!$C$15</f>
        <v>0.11758116599999999</v>
      </c>
      <c r="H59">
        <f>estuary_data!Z183*weights!$C$16</f>
        <v>7.4318130687585346E-2</v>
      </c>
      <c r="J59">
        <f>SUM(B59:H59)</f>
        <v>0.43341270990867126</v>
      </c>
      <c r="K59" t="str">
        <f>IF(J59&gt;$N$2/5*4, "1", IF(J59&gt;$N$2/5*3, "2", IF(J59&gt;$N$2/5*2, "3", IF(J59&gt;$N$2/5, "4", "5"))))</f>
        <v>3</v>
      </c>
    </row>
    <row r="60" spans="1:11" x14ac:dyDescent="0.55000000000000004">
      <c r="A60">
        <v>184</v>
      </c>
      <c r="B60">
        <f>climate_scores!H185*weights!$C$13</f>
        <v>5.9542431460099937E-2</v>
      </c>
      <c r="D60">
        <f>bird_scores!D185*weights!$C$14</f>
        <v>0.20459278150557481</v>
      </c>
      <c r="F60">
        <f>size_scores!C185*weights!$C$15</f>
        <v>0.11758116599999999</v>
      </c>
      <c r="H60">
        <f>estuary_data!Z185*weights!$C$16</f>
        <v>8.8588374566474004E-2</v>
      </c>
      <c r="J60">
        <f>SUM(B60:H60)</f>
        <v>0.47030475353214879</v>
      </c>
      <c r="K60" t="str">
        <f>IF(J60&gt;$N$2/5*4, "1", IF(J60&gt;$N$2/5*3, "2", IF(J60&gt;$N$2/5*2, "3", IF(J60&gt;$N$2/5, "4", "5"))))</f>
        <v>3</v>
      </c>
    </row>
    <row r="61" spans="1:11" x14ac:dyDescent="0.55000000000000004">
      <c r="A61">
        <v>186</v>
      </c>
      <c r="B61">
        <f>climate_scores!H187*weights!$C$13</f>
        <v>8.2276968383004537E-2</v>
      </c>
      <c r="D61">
        <f>bird_scores!D187*weights!$C$14</f>
        <v>0.17820117391402479</v>
      </c>
      <c r="F61">
        <f>size_scores!C187*weights!$C$15</f>
        <v>7.8387444000000001E-2</v>
      </c>
      <c r="H61">
        <f>estuary_data!Z187*weights!$C$16</f>
        <v>8.8588374566474004E-2</v>
      </c>
      <c r="J61">
        <f>SUM(B61:H61)</f>
        <v>0.42745396086350335</v>
      </c>
      <c r="K61" t="str">
        <f>IF(J61&gt;$N$2/5*4, "1", IF(J61&gt;$N$2/5*3, "2", IF(J61&gt;$N$2/5*2, "3", IF(J61&gt;$N$2/5, "4", "5"))))</f>
        <v>3</v>
      </c>
    </row>
    <row r="62" spans="1:11" x14ac:dyDescent="0.55000000000000004">
      <c r="A62">
        <v>197</v>
      </c>
      <c r="B62">
        <f>climate_scores!H198*weights!$C$13</f>
        <v>4.1211378713923746E-2</v>
      </c>
      <c r="D62">
        <f>bird_scores!D198*weights!$C$14</f>
        <v>0.1418808378770168</v>
      </c>
      <c r="F62">
        <f>size_scores!C198*weights!$C$15</f>
        <v>0.19596860999999999</v>
      </c>
      <c r="H62">
        <f>estuary_data!Z198*weights!$C$16</f>
        <v>6.8495845629607689E-3</v>
      </c>
      <c r="J62">
        <f>SUM(B62:H62)</f>
        <v>0.38591041115390129</v>
      </c>
      <c r="K62" t="str">
        <f>IF(J62&gt;$N$2/5*4, "1", IF(J62&gt;$N$2/5*3, "2", IF(J62&gt;$N$2/5*2, "3", IF(J62&gt;$N$2/5, "4", "5"))))</f>
        <v>3</v>
      </c>
    </row>
    <row r="63" spans="1:11" x14ac:dyDescent="0.55000000000000004">
      <c r="A63">
        <v>198</v>
      </c>
      <c r="B63">
        <f>climate_scores!H199*weights!$C$13</f>
        <v>4.2988090384272308E-2</v>
      </c>
      <c r="D63">
        <f>bird_scores!D199*weights!$C$14</f>
        <v>0.12170811733619612</v>
      </c>
      <c r="F63">
        <f>size_scores!C199*weights!$C$15</f>
        <v>0.156774888</v>
      </c>
      <c r="H63">
        <f>estuary_data!Z199*weights!$C$16</f>
        <v>1.7123961407401921E-2</v>
      </c>
      <c r="J63">
        <f>SUM(B63:H63)</f>
        <v>0.3385950571278703</v>
      </c>
      <c r="K63" t="str">
        <f>IF(J63&gt;$N$2/5*4, "1", IF(J63&gt;$N$2/5*3, "2", IF(J63&gt;$N$2/5*2, "3", IF(J63&gt;$N$2/5, "4", "5"))))</f>
        <v>3</v>
      </c>
    </row>
    <row r="64" spans="1:11" x14ac:dyDescent="0.55000000000000004">
      <c r="A64">
        <v>199</v>
      </c>
      <c r="B64">
        <f>climate_scores!H200*weights!$C$13</f>
        <v>4.566405487044084E-2</v>
      </c>
      <c r="D64">
        <f>bird_scores!D200*weights!$C$14</f>
        <v>0.15775802467835393</v>
      </c>
      <c r="F64">
        <f>size_scores!C200*weights!$C$15</f>
        <v>0.17637174899999999</v>
      </c>
      <c r="H64">
        <f>estuary_data!Z200*weights!$C$16</f>
        <v>2.2389005198148425E-2</v>
      </c>
      <c r="J64">
        <f>SUM(B64:H64)</f>
        <v>0.40218283374694314</v>
      </c>
      <c r="K64" t="str">
        <f>IF(J64&gt;$N$2/5*4, "1", IF(J64&gt;$N$2/5*3, "2", IF(J64&gt;$N$2/5*2, "3", IF(J64&gt;$N$2/5, "4", "5"))))</f>
        <v>3</v>
      </c>
    </row>
    <row r="65" spans="1:11" x14ac:dyDescent="0.55000000000000004">
      <c r="A65">
        <v>234</v>
      </c>
      <c r="B65">
        <f>climate_scores!H235*weights!$C$13</f>
        <v>6.0795056671014265E-2</v>
      </c>
      <c r="D65">
        <f>bird_scores!D235*weights!$C$14</f>
        <v>0.11758606984244237</v>
      </c>
      <c r="F65">
        <f>size_scores!C235*weights!$C$15</f>
        <v>0.19596860999999999</v>
      </c>
      <c r="H65">
        <f>estuary_data!Z235*weights!$C$16</f>
        <v>3.2526126684812961E-3</v>
      </c>
      <c r="J65">
        <f>SUM(B65:H65)</f>
        <v>0.37760234918193791</v>
      </c>
      <c r="K65" t="str">
        <f>IF(J65&gt;$N$2/5*4, "1", IF(J65&gt;$N$2/5*3, "2", IF(J65&gt;$N$2/5*2, "3", IF(J65&gt;$N$2/5, "4", "5"))))</f>
        <v>3</v>
      </c>
    </row>
    <row r="66" spans="1:11" x14ac:dyDescent="0.55000000000000004">
      <c r="A66">
        <v>256</v>
      </c>
      <c r="B66">
        <f>climate_scores!H257*weights!$C$13</f>
        <v>7.003858619529546E-2</v>
      </c>
      <c r="D66">
        <f>bird_scores!D257*weights!$C$14</f>
        <v>0.15601841011202416</v>
      </c>
      <c r="F66">
        <f>size_scores!C257*weights!$C$15</f>
        <v>0.19596860999999999</v>
      </c>
      <c r="H66">
        <f>estuary_data!Z257*weights!$C$16</f>
        <v>8.2752759539040483E-4</v>
      </c>
      <c r="J66">
        <f>SUM(B66:H66)</f>
        <v>0.42285313390271001</v>
      </c>
      <c r="K66" t="str">
        <f>IF(J66&gt;$N$2/5*4, "1", IF(J66&gt;$N$2/5*3, "2", IF(J66&gt;$N$2/5*2, "3", IF(J66&gt;$N$2/5, "4", "5"))))</f>
        <v>3</v>
      </c>
    </row>
    <row r="67" spans="1:11" x14ac:dyDescent="0.55000000000000004">
      <c r="A67">
        <v>258</v>
      </c>
      <c r="B67">
        <f>climate_scores!H259*weights!$C$13</f>
        <v>6.8341965389298973E-2</v>
      </c>
      <c r="D67">
        <f>bird_scores!D259*weights!$C$14</f>
        <v>0.13880670825762198</v>
      </c>
      <c r="F67">
        <f>size_scores!C259*weights!$C$15</f>
        <v>0.17637174899999999</v>
      </c>
      <c r="H67">
        <f>estuary_data!Z259*weights!$C$16</f>
        <v>3.4388368964001241E-3</v>
      </c>
      <c r="J67">
        <f>SUM(B67:H67)</f>
        <v>0.38695925954332111</v>
      </c>
      <c r="K67" t="str">
        <f>IF(J67&gt;$N$2/5*4, "1", IF(J67&gt;$N$2/5*3, "2", IF(J67&gt;$N$2/5*2, "3", IF(J67&gt;$N$2/5, "4", "5"))))</f>
        <v>3</v>
      </c>
    </row>
    <row r="68" spans="1:11" x14ac:dyDescent="0.55000000000000004">
      <c r="A68">
        <v>273</v>
      </c>
      <c r="B68">
        <f>climate_scores!H274*weights!$C$13</f>
        <v>6.5118173615863639E-2</v>
      </c>
      <c r="D68">
        <f>bird_scores!D274*weights!$C$14</f>
        <v>0.13005982373387689</v>
      </c>
      <c r="F68">
        <f>size_scores!C274*weights!$C$15</f>
        <v>3.9193722E-2</v>
      </c>
      <c r="H68">
        <f>estuary_data!Z274*weights!$C$16</f>
        <v>1.5708609680416329E-2</v>
      </c>
      <c r="J68">
        <f>SUM(B68:H68)</f>
        <v>0.25008032903015687</v>
      </c>
      <c r="K68" t="str">
        <f>IF(J68&gt;$N$2/5*4, "1", IF(J68&gt;$N$2/5*3, "2", IF(J68&gt;$N$2/5*2, "3", IF(J68&gt;$N$2/5, "4", "5"))))</f>
        <v>4</v>
      </c>
    </row>
    <row r="69" spans="1:11" x14ac:dyDescent="0.55000000000000004">
      <c r="A69">
        <v>274</v>
      </c>
      <c r="B69">
        <f>climate_scores!H275*weights!$C$13</f>
        <v>4.4406650988994739E-2</v>
      </c>
      <c r="D69">
        <f>bird_scores!D275*weights!$C$14</f>
        <v>0.14960875005246427</v>
      </c>
      <c r="F69">
        <f>size_scores!C275*weights!$C$15</f>
        <v>5.8790582999999993E-2</v>
      </c>
      <c r="H69">
        <f>estuary_data!Z275*weights!$C$16</f>
        <v>1.5708609680416329E-2</v>
      </c>
      <c r="J69">
        <f>SUM(B69:H69)</f>
        <v>0.26851459372187531</v>
      </c>
      <c r="K69" t="str">
        <f>IF(J69&gt;$N$2/5*4, "1", IF(J69&gt;$N$2/5*3, "2", IF(J69&gt;$N$2/5*2, "3", IF(J69&gt;$N$2/5, "4", "5"))))</f>
        <v>4</v>
      </c>
    </row>
    <row r="70" spans="1:11" x14ac:dyDescent="0.55000000000000004">
      <c r="A70">
        <v>361</v>
      </c>
      <c r="B70">
        <f>climate_scores!H362*weights!$C$13</f>
        <v>6.1812838734054736E-2</v>
      </c>
      <c r="D70">
        <f>bird_scores!D362*weights!$C$14</f>
        <v>7.1528053186792992E-2</v>
      </c>
      <c r="F70">
        <f>size_scores!C362*weights!$C$15</f>
        <v>0.19596860999999999</v>
      </c>
      <c r="H70">
        <f>estuary_data!Z362*weights!$C$16</f>
        <v>3.3355998136023215E-4</v>
      </c>
      <c r="J70">
        <f>SUM(B70:H70)</f>
        <v>0.32964306190220799</v>
      </c>
      <c r="K70" t="str">
        <f>IF(J70&gt;$N$2/5*4, "1", IF(J70&gt;$N$2/5*3, "2", IF(J70&gt;$N$2/5*2, "3", IF(J70&gt;$N$2/5, "4", "5"))))</f>
        <v>3</v>
      </c>
    </row>
    <row r="71" spans="1:11" x14ac:dyDescent="0.55000000000000004">
      <c r="A71">
        <v>390</v>
      </c>
      <c r="B71">
        <f>climate_scores!H391*weights!$C$13</f>
        <v>4.7101664672924946E-2</v>
      </c>
      <c r="D71">
        <f>bird_scores!D391*weights!$C$14</f>
        <v>7.2409360584811386E-2</v>
      </c>
      <c r="F71">
        <f>size_scores!C391*weights!$C$15</f>
        <v>0.19596860999999999</v>
      </c>
      <c r="H71">
        <f>estuary_data!Z391*weights!$C$16</f>
        <v>0</v>
      </c>
      <c r="J71">
        <f>SUM(B71:H71)</f>
        <v>0.31547963525773631</v>
      </c>
      <c r="K71" t="str">
        <f>IF(J71&gt;$N$2/5*4, "1", IF(J71&gt;$N$2/5*3, "2", IF(J71&gt;$N$2/5*2, "3", IF(J71&gt;$N$2/5, "4", "5"))))</f>
        <v>4</v>
      </c>
    </row>
    <row r="72" spans="1:11" x14ac:dyDescent="0.55000000000000004">
      <c r="A72">
        <v>401</v>
      </c>
      <c r="B72">
        <f>climate_scores!H402*weights!$C$13</f>
        <v>5.7188569186960712E-2</v>
      </c>
      <c r="D72">
        <f>bird_scores!D402*weights!$C$14</f>
        <v>8.5939447447840933E-2</v>
      </c>
      <c r="F72">
        <f>size_scores!C402*weights!$C$15</f>
        <v>0.19596860999999999</v>
      </c>
      <c r="H72">
        <f>estuary_data!Z402*weights!$C$16</f>
        <v>0</v>
      </c>
      <c r="J72">
        <f>SUM(B72:H72)</f>
        <v>0.33909662663480167</v>
      </c>
      <c r="K72" t="str">
        <f>IF(J72&gt;$N$2/5*4, "1", IF(J72&gt;$N$2/5*3, "2", IF(J72&gt;$N$2/5*2, "3", IF(J72&gt;$N$2/5, "4", "5"))))</f>
        <v>3</v>
      </c>
    </row>
    <row r="73" spans="1:11" x14ac:dyDescent="0.55000000000000004">
      <c r="A73">
        <v>406</v>
      </c>
      <c r="B73">
        <f>climate_scores!H407*weights!$C$13</f>
        <v>5.2643121081407965E-2</v>
      </c>
      <c r="D73">
        <f>bird_scores!D407*weights!$C$14</f>
        <v>9.5691724380630006E-2</v>
      </c>
      <c r="F73">
        <f>size_scores!C407*weights!$C$15</f>
        <v>0.19596860999999999</v>
      </c>
      <c r="H73">
        <f>estuary_data!Z407*weights!$C$16</f>
        <v>0</v>
      </c>
      <c r="J73">
        <f>SUM(B73:H73)</f>
        <v>0.34430345546203794</v>
      </c>
      <c r="K73" t="str">
        <f>IF(J73&gt;$N$2/5*4, "1", IF(J73&gt;$N$2/5*3, "2", IF(J73&gt;$N$2/5*2, "3", IF(J73&gt;$N$2/5, "4", "5"))))</f>
        <v>3</v>
      </c>
    </row>
    <row r="74" spans="1:11" x14ac:dyDescent="0.55000000000000004">
      <c r="A74">
        <v>408</v>
      </c>
      <c r="B74">
        <f>climate_scores!H409*weights!$C$13</f>
        <v>5.2890800801467332E-2</v>
      </c>
      <c r="D74">
        <f>bird_scores!D409*weights!$C$14</f>
        <v>5.8616216215500325E-2</v>
      </c>
      <c r="F74">
        <f>size_scores!C409*weights!$C$15</f>
        <v>0.13717802699999998</v>
      </c>
      <c r="H74">
        <f>estuary_data!Z409*weights!$C$16</f>
        <v>0</v>
      </c>
      <c r="J74">
        <f>SUM(B74:H74)</f>
        <v>0.24868504401696764</v>
      </c>
      <c r="K74" t="str">
        <f>IF(J74&gt;$N$2/5*4, "1", IF(J74&gt;$N$2/5*3, "2", IF(J74&gt;$N$2/5*2, "3", IF(J74&gt;$N$2/5, "4", "5"))))</f>
        <v>4</v>
      </c>
    </row>
    <row r="75" spans="1:11" x14ac:dyDescent="0.55000000000000004">
      <c r="A75">
        <v>431</v>
      </c>
      <c r="B75">
        <f>climate_scores!H432*weights!$C$13</f>
        <v>4.7600856627129901E-2</v>
      </c>
      <c r="D75">
        <f>bird_scores!D432*weights!$C$14</f>
        <v>5.7772710343035133E-2</v>
      </c>
      <c r="F75">
        <f>size_scores!C432*weights!$C$15</f>
        <v>0.19596860999999999</v>
      </c>
      <c r="H75">
        <f>estuary_data!Z432*weights!$C$16</f>
        <v>3.1375961716989862E-4</v>
      </c>
      <c r="J75">
        <f>SUM(B75:H75)</f>
        <v>0.30165593658733492</v>
      </c>
      <c r="K75" t="str">
        <f>IF(J75&gt;$N$2/5*4, "1", IF(J75&gt;$N$2/5*3, "2", IF(J75&gt;$N$2/5*2, "3", IF(J75&gt;$N$2/5, "4", "5"))))</f>
        <v>4</v>
      </c>
    </row>
    <row r="76" spans="1:11" x14ac:dyDescent="0.55000000000000004">
      <c r="A76">
        <v>441</v>
      </c>
      <c r="B76">
        <f>climate_scores!H442*weights!$C$13</f>
        <v>6.0035570033201612E-2</v>
      </c>
      <c r="D76">
        <f>bird_scores!D442*weights!$C$14</f>
        <v>6.1625332536185205E-2</v>
      </c>
      <c r="F76">
        <f>size_scores!C442*weights!$C$15</f>
        <v>0.17637174899999999</v>
      </c>
      <c r="H76">
        <f>estuary_data!Z442*weights!$C$16</f>
        <v>4.8986586634546122E-4</v>
      </c>
      <c r="J76">
        <f>SUM(B76:H76)</f>
        <v>0.29852251743573227</v>
      </c>
      <c r="K76" t="str">
        <f>IF(J76&gt;$N$2/5*4, "1", IF(J76&gt;$N$2/5*3, "2", IF(J76&gt;$N$2/5*2, "3", IF(J76&gt;$N$2/5, "4", "5"))))</f>
        <v>4</v>
      </c>
    </row>
    <row r="77" spans="1:11" x14ac:dyDescent="0.55000000000000004">
      <c r="A77">
        <v>1000</v>
      </c>
      <c r="B77">
        <f>climate_scores!H447*weights!$C$13</f>
        <v>6.0132089307447109E-2</v>
      </c>
      <c r="D77">
        <f>bird_scores!D447*weights!$C$14</f>
        <v>5.7701087970603554E-2</v>
      </c>
      <c r="F77">
        <f>size_scores!C447*weights!$C$15</f>
        <v>0.156774888</v>
      </c>
      <c r="H77">
        <f>estuary_data!Z447*weights!$C$16</f>
        <v>9.3702960947330809E-3</v>
      </c>
      <c r="J77">
        <f>SUM(B77:H77)</f>
        <v>0.28397836137278371</v>
      </c>
      <c r="K77" t="str">
        <f>IF(J77&gt;$N$2/5*4, "1", IF(J77&gt;$N$2/5*3, "2", IF(J77&gt;$N$2/5*2, "3", IF(J77&gt;$N$2/5, "4", "5"))))</f>
        <v>4</v>
      </c>
    </row>
    <row r="78" spans="1:11" x14ac:dyDescent="0.55000000000000004">
      <c r="A78">
        <v>1001</v>
      </c>
      <c r="B78">
        <f>climate_scores!H448*weights!$C$13</f>
        <v>5.0318292096820039E-2</v>
      </c>
      <c r="D78">
        <f>bird_scores!D448*weights!$C$14</f>
        <v>5.8481389896615173E-2</v>
      </c>
      <c r="F78">
        <f>size_scores!C448*weights!$C$15</f>
        <v>0.19596860999999999</v>
      </c>
      <c r="H78">
        <f>estuary_data!Z448*weights!$C$16</f>
        <v>1.3898332556676316E-4</v>
      </c>
      <c r="J78">
        <f>SUM(B78:H78)</f>
        <v>0.30490727531900197</v>
      </c>
      <c r="K78" t="str">
        <f>IF(J78&gt;$N$2/5*4, "1", IF(J78&gt;$N$2/5*3, "2", IF(J78&gt;$N$2/5*2, "3", IF(J78&gt;$N$2/5, "4", "5"))))</f>
        <v>4</v>
      </c>
    </row>
    <row r="79" spans="1:11" x14ac:dyDescent="0.55000000000000004">
      <c r="A79">
        <v>1002</v>
      </c>
      <c r="B79">
        <f>climate_scores!H449*weights!$C$13</f>
        <v>4.4684885396197332E-2</v>
      </c>
      <c r="D79">
        <f>bird_scores!D449*weights!$C$14</f>
        <v>5.5573600441406322E-2</v>
      </c>
      <c r="F79">
        <f>size_scores!C449*weights!$C$15</f>
        <v>0.19596860999999999</v>
      </c>
      <c r="H79">
        <f>estuary_data!Z449*weights!$C$16</f>
        <v>2.1753911827841245E-4</v>
      </c>
      <c r="J79">
        <f>SUM(B79:H79)</f>
        <v>0.29644463495588208</v>
      </c>
      <c r="K79" t="str">
        <f>IF(J79&gt;$N$2/5*4, "1", IF(J79&gt;$N$2/5*3, "2", IF(J79&gt;$N$2/5*2, "3", IF(J79&gt;$N$2/5, "4", "5"))))</f>
        <v>4</v>
      </c>
    </row>
    <row r="80" spans="1:11" x14ac:dyDescent="0.55000000000000004">
      <c r="A80">
        <v>1003</v>
      </c>
      <c r="B80">
        <f>climate_scores!H450*weights!$C$13</f>
        <v>6.1582665090065575E-2</v>
      </c>
      <c r="D80">
        <f>bird_scores!D450*weights!$C$14</f>
        <v>6.4280577084126211E-2</v>
      </c>
      <c r="F80">
        <f>size_scores!C450*weights!$C$15</f>
        <v>0.19596860999999999</v>
      </c>
      <c r="H80">
        <f>estuary_data!Z450*weights!$C$16</f>
        <v>1.2973057704035248E-5</v>
      </c>
      <c r="J80">
        <f>SUM(B80:H80)</f>
        <v>0.32184482523189578</v>
      </c>
      <c r="K80" t="str">
        <f>IF(J80&gt;$N$2/5*4, "1", IF(J80&gt;$N$2/5*3, "2", IF(J80&gt;$N$2/5*2, "3", IF(J80&gt;$N$2/5, "4", "5"))))</f>
        <v>3</v>
      </c>
    </row>
    <row r="81" spans="1:11" x14ac:dyDescent="0.55000000000000004">
      <c r="A81">
        <v>1006</v>
      </c>
      <c r="B81">
        <f>climate_scores!H453*weights!$C$13</f>
        <v>6.3903046919150663E-2</v>
      </c>
      <c r="D81">
        <f>bird_scores!D453*weights!$C$14</f>
        <v>6.8189763946975249E-2</v>
      </c>
      <c r="F81">
        <f>size_scores!C453*weights!$C$15</f>
        <v>0.156774888</v>
      </c>
      <c r="H81">
        <f>estuary_data!Z453*weights!$C$16</f>
        <v>2.5602786421324169E-2</v>
      </c>
      <c r="J81">
        <f>SUM(B81:H81)</f>
        <v>0.31447048528745009</v>
      </c>
      <c r="K81" t="str">
        <f>IF(J81&gt;$N$2/5*4, "1", IF(J81&gt;$N$2/5*3, "2", IF(J81&gt;$N$2/5*2, "3", IF(J81&gt;$N$2/5, "4", "5"))))</f>
        <v>4</v>
      </c>
    </row>
    <row r="82" spans="1:11" x14ac:dyDescent="0.55000000000000004">
      <c r="A82">
        <v>1007</v>
      </c>
      <c r="B82">
        <f>climate_scores!H454*weights!$C$13</f>
        <v>6.3998729520977238E-2</v>
      </c>
      <c r="D82">
        <f>bird_scores!D454*weights!$C$14</f>
        <v>6.2783909293966336E-2</v>
      </c>
      <c r="F82">
        <f>size_scores!C454*weights!$C$15</f>
        <v>0.156774888</v>
      </c>
      <c r="H82">
        <f>estuary_data!Z454*weights!$C$16</f>
        <v>4.8888578596374681E-2</v>
      </c>
      <c r="J82">
        <f>SUM(B82:H82)</f>
        <v>0.33244610541131825</v>
      </c>
      <c r="K82" t="str">
        <f>IF(J82&gt;$N$2/5*4, "1", IF(J82&gt;$N$2/5*3, "2", IF(J82&gt;$N$2/5*2, "3", IF(J82&gt;$N$2/5, "4", "5"))))</f>
        <v>3</v>
      </c>
    </row>
    <row r="83" spans="1:11" x14ac:dyDescent="0.55000000000000004">
      <c r="A83">
        <v>1009</v>
      </c>
      <c r="B83">
        <f>climate_scores!H456*weights!$C$13</f>
        <v>7.4102906616066527E-2</v>
      </c>
      <c r="D83">
        <f>bird_scores!D456*weights!$C$14</f>
        <v>6.3830562881731792E-2</v>
      </c>
      <c r="F83">
        <f>size_scores!C456*weights!$C$15</f>
        <v>0.156774888</v>
      </c>
      <c r="H83">
        <f>estuary_data!Z456*weights!$C$16</f>
        <v>2.4367056156644914E-2</v>
      </c>
      <c r="J83">
        <f>SUM(B83:H83)</f>
        <v>0.31907541365444325</v>
      </c>
      <c r="K83" t="str">
        <f>IF(J83&gt;$N$2/5*4, "1", IF(J83&gt;$N$2/5*3, "2", IF(J83&gt;$N$2/5*2, "3", IF(J83&gt;$N$2/5, "4", "5"))))</f>
        <v>3</v>
      </c>
    </row>
    <row r="84" spans="1:11" x14ac:dyDescent="0.55000000000000004">
      <c r="A84">
        <v>1010</v>
      </c>
      <c r="B84">
        <f>climate_scores!H457*weights!$C$13</f>
        <v>7.5323950183160182E-2</v>
      </c>
      <c r="D84">
        <f>bird_scores!D457*weights!$C$14</f>
        <v>5.9494112729937536E-2</v>
      </c>
      <c r="F84">
        <f>size_scores!C457*weights!$C$15</f>
        <v>0.13717802699999998</v>
      </c>
      <c r="H84">
        <f>estuary_data!Z457*weights!$C$16</f>
        <v>1.6720975143941785E-2</v>
      </c>
      <c r="J84">
        <f>SUM(B84:H84)</f>
        <v>0.28871706505703948</v>
      </c>
      <c r="K84" t="str">
        <f>IF(J84&gt;$N$2/5*4, "1", IF(J84&gt;$N$2/5*3, "2", IF(J84&gt;$N$2/5*2, "3", IF(J84&gt;$N$2/5, "4", "5"))))</f>
        <v>4</v>
      </c>
    </row>
    <row r="85" spans="1:11" x14ac:dyDescent="0.55000000000000004">
      <c r="A85">
        <v>1013</v>
      </c>
      <c r="B85">
        <f>climate_scores!H460*weights!$C$13</f>
        <v>8.5501447729207244E-2</v>
      </c>
      <c r="D85">
        <f>bird_scores!D460*weights!$C$14</f>
        <v>7.3376130754125593E-2</v>
      </c>
      <c r="F85">
        <f>size_scores!C460*weights!$C$15</f>
        <v>0.17637174899999999</v>
      </c>
      <c r="H85">
        <f>estuary_data!Z460*weights!$C$16</f>
        <v>4.6726050633185976E-3</v>
      </c>
      <c r="J85">
        <f>SUM(B85:H85)</f>
        <v>0.33992193254665143</v>
      </c>
      <c r="K85" t="str">
        <f>IF(J85&gt;$N$2/5*4, "1", IF(J85&gt;$N$2/5*3, "2", IF(J85&gt;$N$2/5*2, "3", IF(J85&gt;$N$2/5, "4", "5"))))</f>
        <v>3</v>
      </c>
    </row>
    <row r="86" spans="1:11" x14ac:dyDescent="0.55000000000000004">
      <c r="A86">
        <v>1014</v>
      </c>
      <c r="B86">
        <f>climate_scores!H461*weights!$C$13</f>
        <v>8.6701539199816144E-2</v>
      </c>
      <c r="D86">
        <f>bird_scores!D461*weights!$C$14</f>
        <v>7.3927368793921713E-2</v>
      </c>
      <c r="F86">
        <f>size_scores!C461*weights!$C$15</f>
        <v>0.156774888</v>
      </c>
      <c r="H86">
        <f>estuary_data!Z461*weights!$C$16</f>
        <v>1.0445782393617164E-2</v>
      </c>
      <c r="J86">
        <f>SUM(B86:H86)</f>
        <v>0.32784957838735501</v>
      </c>
      <c r="K86" t="str">
        <f>IF(J86&gt;$N$2/5*4, "1", IF(J86&gt;$N$2/5*3, "2", IF(J86&gt;$N$2/5*2, "3", IF(J86&gt;$N$2/5, "4", "5"))))</f>
        <v>3</v>
      </c>
    </row>
    <row r="87" spans="1:11" x14ac:dyDescent="0.55000000000000004">
      <c r="A87">
        <v>1015</v>
      </c>
      <c r="B87">
        <f>climate_scores!H462*weights!$C$13</f>
        <v>8.6449559885565991E-2</v>
      </c>
      <c r="D87">
        <f>bird_scores!D462*weights!$C$14</f>
        <v>5.9820677581756604E-2</v>
      </c>
      <c r="F87">
        <f>size_scores!C462*weights!$C$15</f>
        <v>0.13717802699999998</v>
      </c>
      <c r="H87">
        <f>estuary_data!Z462*weights!$C$16</f>
        <v>1.506046260077897E-2</v>
      </c>
      <c r="J87">
        <f>SUM(B87:H87)</f>
        <v>0.29850872706810155</v>
      </c>
      <c r="K87" t="str">
        <f>IF(J87&gt;$N$2/5*4, "1", IF(J87&gt;$N$2/5*3, "2", IF(J87&gt;$N$2/5*2, "3", IF(J87&gt;$N$2/5, "4", "5"))))</f>
        <v>4</v>
      </c>
    </row>
    <row r="88" spans="1:11" x14ac:dyDescent="0.55000000000000004">
      <c r="A88">
        <v>1016</v>
      </c>
      <c r="B88">
        <f>climate_scores!H463*weights!$C$13</f>
        <v>9.2629606012856663E-2</v>
      </c>
      <c r="D88">
        <f>bird_scores!D463*weights!$C$14</f>
        <v>6.5926858138892597E-2</v>
      </c>
      <c r="F88">
        <f>size_scores!C463*weights!$C$15</f>
        <v>0.13717802699999998</v>
      </c>
      <c r="H88">
        <f>estuary_data!Z463*weights!$C$16</f>
        <v>1.3515799769929799E-2</v>
      </c>
      <c r="J88">
        <f>SUM(B88:H88)</f>
        <v>0.30925029092167899</v>
      </c>
      <c r="K88" t="str">
        <f>IF(J88&gt;$N$2/5*4, "1", IF(J88&gt;$N$2/5*3, "2", IF(J88&gt;$N$2/5*2, "3", IF(J88&gt;$N$2/5, "4", "5"))))</f>
        <v>4</v>
      </c>
    </row>
    <row r="89" spans="1:11" x14ac:dyDescent="0.55000000000000004">
      <c r="A89">
        <v>1019</v>
      </c>
      <c r="B89">
        <f>climate_scores!H466*weights!$C$13</f>
        <v>9.3287040478966438E-2</v>
      </c>
      <c r="D89">
        <f>bird_scores!D466*weights!$C$14</f>
        <v>5.7892596110292613E-2</v>
      </c>
      <c r="F89">
        <f>size_scores!C466*weights!$C$15</f>
        <v>0.19596860999999999</v>
      </c>
      <c r="H89">
        <f>estuary_data!Z466*weights!$C$16</f>
        <v>5.5857645028705196E-5</v>
      </c>
      <c r="J89">
        <f>SUM(B89:H89)</f>
        <v>0.34720410423428771</v>
      </c>
      <c r="K89" t="str">
        <f>IF(J89&gt;$N$2/5*4, "1", IF(J89&gt;$N$2/5*3, "2", IF(J89&gt;$N$2/5*2, "3", IF(J89&gt;$N$2/5, "4", "5"))))</f>
        <v>3</v>
      </c>
    </row>
    <row r="90" spans="1:11" x14ac:dyDescent="0.55000000000000004">
      <c r="A90">
        <v>1022</v>
      </c>
      <c r="B90">
        <f>climate_scores!H469*weights!$C$13</f>
        <v>9.3797856239215077E-2</v>
      </c>
      <c r="D90">
        <f>bird_scores!D469*weights!$C$14</f>
        <v>5.8719670176931298E-2</v>
      </c>
      <c r="F90">
        <f>size_scores!C469*weights!$C$15</f>
        <v>0.17637174899999999</v>
      </c>
      <c r="H90">
        <f>estuary_data!Z469*weights!$C$16</f>
        <v>1.3654091007016787E-4</v>
      </c>
      <c r="J90">
        <f>SUM(B90:H90)</f>
        <v>0.32902581632621652</v>
      </c>
      <c r="K90" t="str">
        <f>IF(J90&gt;$N$2/5*4, "1", IF(J90&gt;$N$2/5*3, "2", IF(J90&gt;$N$2/5*2, "3", IF(J90&gt;$N$2/5, "4", "5"))))</f>
        <v>3</v>
      </c>
    </row>
    <row r="91" spans="1:11" x14ac:dyDescent="0.55000000000000004">
      <c r="A91">
        <v>1024</v>
      </c>
      <c r="B91">
        <f>climate_scores!H471*weights!$C$13</f>
        <v>7.4328778429570488E-2</v>
      </c>
      <c r="D91">
        <f>bird_scores!D471*weights!$C$14</f>
        <v>6.3203000666141734E-2</v>
      </c>
      <c r="F91">
        <f>size_scores!C471*weights!$C$15</f>
        <v>0.19596860999999999</v>
      </c>
      <c r="H91">
        <f>estuary_data!Z471*weights!$C$16</f>
        <v>7.2286364154794866E-5</v>
      </c>
      <c r="J91">
        <f>SUM(B91:H91)</f>
        <v>0.33357267545986702</v>
      </c>
      <c r="K91" t="str">
        <f>IF(J91&gt;$N$2/5*4, "1", IF(J91&gt;$N$2/5*3, "2", IF(J91&gt;$N$2/5*2, "3", IF(J91&gt;$N$2/5, "4", "5"))))</f>
        <v>3</v>
      </c>
    </row>
    <row r="92" spans="1:11" x14ac:dyDescent="0.55000000000000004">
      <c r="A92">
        <v>1026</v>
      </c>
      <c r="B92">
        <f>climate_scores!H473*weights!$C$13</f>
        <v>8.7475396546008902E-2</v>
      </c>
      <c r="D92">
        <f>bird_scores!D473*weights!$C$14</f>
        <v>5.8464703156131698E-2</v>
      </c>
      <c r="F92">
        <f>size_scores!C473*weights!$C$15</f>
        <v>0.156774888</v>
      </c>
      <c r="H92">
        <f>estuary_data!Z473*weights!$C$16</f>
        <v>4.0962273021050453E-4</v>
      </c>
      <c r="J92">
        <f>SUM(B92:H92)</f>
        <v>0.30312461043235112</v>
      </c>
      <c r="K92" t="str">
        <f>IF(J92&gt;$N$2/5*4, "1", IF(J92&gt;$N$2/5*3, "2", IF(J92&gt;$N$2/5*2, "3", IF(J92&gt;$N$2/5, "4", "5"))))</f>
        <v>4</v>
      </c>
    </row>
    <row r="93" spans="1:11" x14ac:dyDescent="0.55000000000000004">
      <c r="A93">
        <v>1027</v>
      </c>
      <c r="B93">
        <f>climate_scores!H474*weights!$C$13</f>
        <v>8.8256570636748743E-2</v>
      </c>
      <c r="D93">
        <f>bird_scores!D474*weights!$C$14</f>
        <v>5.9050780288445411E-2</v>
      </c>
      <c r="F93">
        <f>size_scores!C474*weights!$C$15</f>
        <v>0.11758116599999999</v>
      </c>
      <c r="H93">
        <f>estuary_data!Z474*weights!$C$16</f>
        <v>1.2288681906315166E-3</v>
      </c>
      <c r="J93">
        <f>SUM(B93:H93)</f>
        <v>0.26611738511582561</v>
      </c>
      <c r="K93" t="str">
        <f>IF(J93&gt;$N$2/5*4, "1", IF(J93&gt;$N$2/5*3, "2", IF(J93&gt;$N$2/5*2, "3", IF(J93&gt;$N$2/5, "4", "5"))))</f>
        <v>4</v>
      </c>
    </row>
    <row r="94" spans="1:11" x14ac:dyDescent="0.55000000000000004">
      <c r="A94">
        <v>1028</v>
      </c>
      <c r="B94">
        <f>climate_scores!H475*weights!$C$13</f>
        <v>7.746218783857281E-2</v>
      </c>
      <c r="D94">
        <f>bird_scores!D475*weights!$C$14</f>
        <v>6.8598379523040334E-2</v>
      </c>
      <c r="F94">
        <f>size_scores!C475*weights!$C$15</f>
        <v>0.11758116599999999</v>
      </c>
      <c r="H94">
        <f>estuary_data!Z475*weights!$C$16</f>
        <v>1.2288681906315166E-3</v>
      </c>
      <c r="J94">
        <f>SUM(B94:H94)</f>
        <v>0.26487060155224462</v>
      </c>
      <c r="K94" t="str">
        <f>IF(J94&gt;$N$2/5*4, "1", IF(J94&gt;$N$2/5*3, "2", IF(J94&gt;$N$2/5*2, "3", IF(J94&gt;$N$2/5, "4", "5"))))</f>
        <v>4</v>
      </c>
    </row>
    <row r="95" spans="1:11" x14ac:dyDescent="0.55000000000000004">
      <c r="A95">
        <v>1035</v>
      </c>
      <c r="B95">
        <f>climate_scores!H482*weights!$C$13</f>
        <v>8.2767471620789346E-2</v>
      </c>
      <c r="D95">
        <f>bird_scores!D482*weights!$C$14</f>
        <v>6.7044963594413531E-2</v>
      </c>
      <c r="F95">
        <f>size_scores!C482*weights!$C$15</f>
        <v>0.156774888</v>
      </c>
      <c r="H95">
        <f>estuary_data!Z482*weights!$C$16</f>
        <v>5.1446472908059317E-4</v>
      </c>
      <c r="J95">
        <f>SUM(B95:H95)</f>
        <v>0.30710178794428344</v>
      </c>
      <c r="K95" t="str">
        <f>IF(J95&gt;$N$2/5*4, "1", IF(J95&gt;$N$2/5*3, "2", IF(J95&gt;$N$2/5*2, "3", IF(J95&gt;$N$2/5, "4", "5"))))</f>
        <v>4</v>
      </c>
    </row>
    <row r="96" spans="1:11" x14ac:dyDescent="0.55000000000000004">
      <c r="A96">
        <v>1036</v>
      </c>
      <c r="B96">
        <f>climate_scores!H483*weights!$C$13</f>
        <v>8.2767471620789346E-2</v>
      </c>
      <c r="D96">
        <f>bird_scores!D483*weights!$C$14</f>
        <v>7.0744475581282024E-2</v>
      </c>
      <c r="F96">
        <f>size_scores!C483*weights!$C$15</f>
        <v>0.19596860999999999</v>
      </c>
      <c r="H96">
        <f>estuary_data!Z483*weights!$C$16</f>
        <v>3.429764860537284E-4</v>
      </c>
      <c r="J96">
        <f>SUM(B96:H96)</f>
        <v>0.34982353368812513</v>
      </c>
      <c r="K96" t="str">
        <f>IF(J96&gt;$N$2/5*4, "1", IF(J96&gt;$N$2/5*3, "2", IF(J96&gt;$N$2/5*2, "3", IF(J96&gt;$N$2/5, "4", "5"))))</f>
        <v>3</v>
      </c>
    </row>
    <row r="97" spans="1:11" x14ac:dyDescent="0.55000000000000004">
      <c r="A97">
        <v>1042</v>
      </c>
      <c r="B97">
        <f>climate_scores!H489*weights!$C$13</f>
        <v>7.1003949637097594E-2</v>
      </c>
      <c r="D97">
        <f>bird_scores!D489*weights!$C$14</f>
        <v>6.0924162304003188E-2</v>
      </c>
      <c r="F97">
        <f>size_scores!C489*weights!$C$15</f>
        <v>0.17637174899999999</v>
      </c>
      <c r="H97">
        <f>estuary_data!Z489*weights!$C$16</f>
        <v>5.1446472908059317E-4</v>
      </c>
      <c r="J97">
        <f>SUM(B97:H97)</f>
        <v>0.3088143256701813</v>
      </c>
      <c r="K97" t="str">
        <f>IF(J97&gt;$N$2/5*4, "1", IF(J97&gt;$N$2/5*3, "2", IF(J97&gt;$N$2/5*2, "3", IF(J97&gt;$N$2/5, "4", "5"))))</f>
        <v>4</v>
      </c>
    </row>
    <row r="98" spans="1:11" x14ac:dyDescent="0.55000000000000004">
      <c r="A98">
        <v>1044</v>
      </c>
      <c r="B98">
        <f>climate_scores!H491*weights!$C$13</f>
        <v>6.5036405550641954E-2</v>
      </c>
      <c r="D98">
        <f>bird_scores!D491*weights!$C$14</f>
        <v>6.2718021921594883E-2</v>
      </c>
      <c r="F98">
        <f>size_scores!C491*weights!$C$15</f>
        <v>0.19596860999999999</v>
      </c>
      <c r="H98">
        <f>estuary_data!Z491*weights!$C$16</f>
        <v>1.3719059442149155E-4</v>
      </c>
      <c r="J98">
        <f>SUM(B98:H98)</f>
        <v>0.32386022806665832</v>
      </c>
      <c r="K98" t="str">
        <f>IF(J98&gt;$N$2/5*4, "1", IF(J98&gt;$N$2/5*3, "2", IF(J98&gt;$N$2/5*2, "3", IF(J98&gt;$N$2/5, "4", "5"))))</f>
        <v>3</v>
      </c>
    </row>
    <row r="99" spans="1:11" x14ac:dyDescent="0.55000000000000004">
      <c r="A99">
        <v>1045</v>
      </c>
      <c r="B99">
        <f>climate_scores!H492*weights!$C$13</f>
        <v>5.8768747862787789E-2</v>
      </c>
      <c r="D99">
        <f>bird_scores!D492*weights!$C$14</f>
        <v>6.6411114449103373E-2</v>
      </c>
      <c r="F99">
        <f>size_scores!C492*weights!$C$15</f>
        <v>0.156774888</v>
      </c>
      <c r="H99">
        <f>estuary_data!Z492*weights!$C$16</f>
        <v>1.0289294581611844E-3</v>
      </c>
      <c r="J99">
        <f>SUM(B99:H99)</f>
        <v>0.28298367977005234</v>
      </c>
      <c r="K99" t="str">
        <f>IF(J99&gt;$N$2/5*4, "1", IF(J99&gt;$N$2/5*3, "2", IF(J99&gt;$N$2/5*2, "3", IF(J99&gt;$N$2/5, "4", "5"))))</f>
        <v>4</v>
      </c>
    </row>
    <row r="100" spans="1:11" x14ac:dyDescent="0.55000000000000004">
      <c r="A100">
        <v>1046</v>
      </c>
      <c r="B100">
        <f>climate_scores!H493*weights!$C$13</f>
        <v>6.467935980624416E-2</v>
      </c>
      <c r="D100">
        <f>bird_scores!D493*weights!$C$14</f>
        <v>7.1813275654980691E-2</v>
      </c>
      <c r="F100">
        <f>size_scores!C493*weights!$C$15</f>
        <v>0.19596860999999999</v>
      </c>
      <c r="H100">
        <f>estuary_data!Z493*weights!$C$16</f>
        <v>2.5723236454029658E-4</v>
      </c>
      <c r="J100">
        <f>SUM(B100:H100)</f>
        <v>0.33271847782576514</v>
      </c>
      <c r="K100" t="str">
        <f>IF(J100&gt;$N$2/5*4, "1", IF(J100&gt;$N$2/5*3, "2", IF(J100&gt;$N$2/5*2, "3", IF(J100&gt;$N$2/5, "4", "5"))))</f>
        <v>3</v>
      </c>
    </row>
    <row r="101" spans="1:11" x14ac:dyDescent="0.55000000000000004">
      <c r="A101">
        <v>1048</v>
      </c>
      <c r="B101">
        <f>climate_scores!H495*weights!$C$13</f>
        <v>5.3236977303183726E-2</v>
      </c>
      <c r="D101">
        <f>bird_scores!D495*weights!$C$14</f>
        <v>5.5352414905543747E-2</v>
      </c>
      <c r="F101">
        <f>size_scores!C495*weights!$C$15</f>
        <v>0.17637174899999999</v>
      </c>
      <c r="H101">
        <f>estuary_data!Z495*weights!$C$16</f>
        <v>3.9047434749277341E-4</v>
      </c>
      <c r="J101">
        <f>SUM(B101:H101)</f>
        <v>0.28535161555622024</v>
      </c>
      <c r="K101" t="str">
        <f>IF(J101&gt;$N$2/5*4, "1", IF(J101&gt;$N$2/5*3, "2", IF(J101&gt;$N$2/5*2, "3", IF(J101&gt;$N$2/5, "4", "5"))))</f>
        <v>4</v>
      </c>
    </row>
    <row r="102" spans="1:11" x14ac:dyDescent="0.55000000000000004">
      <c r="A102">
        <v>1050</v>
      </c>
      <c r="B102">
        <f>climate_scores!H497*weights!$C$13</f>
        <v>5.2803738686109623E-2</v>
      </c>
      <c r="D102">
        <f>bird_scores!D497*weights!$C$14</f>
        <v>6.9051732600083335E-2</v>
      </c>
      <c r="F102">
        <f>size_scores!C497*weights!$C$15</f>
        <v>0.19596860999999999</v>
      </c>
      <c r="H102">
        <f>estuary_data!Z497*weights!$C$16</f>
        <v>1.4642788030979015E-4</v>
      </c>
      <c r="J102">
        <f>SUM(B102:H102)</f>
        <v>0.31797050916650271</v>
      </c>
      <c r="K102" t="str">
        <f>IF(J102&gt;$N$2/5*4, "1", IF(J102&gt;$N$2/5*3, "2", IF(J102&gt;$N$2/5*2, "3", IF(J102&gt;$N$2/5, "4", "5"))))</f>
        <v>3</v>
      </c>
    </row>
    <row r="103" spans="1:11" x14ac:dyDescent="0.55000000000000004">
      <c r="A103">
        <v>1059</v>
      </c>
      <c r="B103">
        <f>climate_scores!H506*weights!$C$13</f>
        <v>3.9755322914894739E-2</v>
      </c>
      <c r="D103">
        <f>bird_scores!D506*weights!$C$14</f>
        <v>0.10674480260100538</v>
      </c>
      <c r="F103">
        <f>size_scores!C506*weights!$C$15</f>
        <v>0.156774888</v>
      </c>
      <c r="H103">
        <f>estuary_data!Z506*weights!$C$16</f>
        <v>5.8571152123915963E-4</v>
      </c>
      <c r="J103">
        <f>SUM(B103:H103)</f>
        <v>0.30386072503713929</v>
      </c>
      <c r="K103" t="str">
        <f>IF(J103&gt;$N$2/5*4, "1", IF(J103&gt;$N$2/5*3, "2", IF(J103&gt;$N$2/5*2, "3", IF(J103&gt;$N$2/5, "4", "5"))))</f>
        <v>4</v>
      </c>
    </row>
    <row r="104" spans="1:11" x14ac:dyDescent="0.55000000000000004">
      <c r="A104">
        <v>1065</v>
      </c>
      <c r="B104">
        <f>climate_scores!H512*weights!$C$13</f>
        <v>3.8464967695617067E-2</v>
      </c>
      <c r="D104">
        <f>bird_scores!D512*weights!$C$14</f>
        <v>6.0925497061012454E-2</v>
      </c>
      <c r="F104">
        <f>size_scores!C512*weights!$C$15</f>
        <v>0.19596860999999999</v>
      </c>
      <c r="H104">
        <f>estuary_data!Z512*weights!$C$16</f>
        <v>3.6606970077447538E-5</v>
      </c>
      <c r="J104">
        <f>SUM(B104:H104)</f>
        <v>0.29539568172670694</v>
      </c>
      <c r="K104" t="str">
        <f>IF(J104&gt;$N$2/5*4, "1", IF(J104&gt;$N$2/5*3, "2", IF(J104&gt;$N$2/5*2, "3", IF(J104&gt;$N$2/5, "4", "5"))))</f>
        <v>4</v>
      </c>
    </row>
    <row r="105" spans="1:11" x14ac:dyDescent="0.55000000000000004">
      <c r="A105">
        <v>1072</v>
      </c>
      <c r="B105">
        <f>climate_scores!H519*weights!$C$13</f>
        <v>3.6593312437665768E-2</v>
      </c>
      <c r="D105">
        <f>bird_scores!D519*weights!$C$14</f>
        <v>0.10040686871387174</v>
      </c>
      <c r="F105">
        <f>size_scores!C519*weights!$C$15</f>
        <v>0.19596860999999999</v>
      </c>
      <c r="H105">
        <f>estuary_data!Z519*weights!$C$16</f>
        <v>2.8765947155513505E-5</v>
      </c>
      <c r="J105">
        <f>SUM(B105:H105)</f>
        <v>0.332997557098693</v>
      </c>
      <c r="K105" t="str">
        <f>IF(J105&gt;$N$2/5*4, "1", IF(J105&gt;$N$2/5*3, "2", IF(J105&gt;$N$2/5*2, "3", IF(J105&gt;$N$2/5, "4", "5"))))</f>
        <v>3</v>
      </c>
    </row>
    <row r="106" spans="1:11" x14ac:dyDescent="0.55000000000000004">
      <c r="A106">
        <v>1082</v>
      </c>
      <c r="B106">
        <f>climate_scores!H529*weights!$C$13</f>
        <v>4.0239106089879462E-2</v>
      </c>
      <c r="D106">
        <f>bird_scores!D529*weights!$C$14</f>
        <v>7.0639203977137743E-2</v>
      </c>
      <c r="F106">
        <f>size_scores!C529*weights!$C$15</f>
        <v>0.19596860999999999</v>
      </c>
      <c r="H106">
        <f>estuary_data!Z529*weights!$C$16</f>
        <v>3.4514382539434484E-5</v>
      </c>
      <c r="J106">
        <f>SUM(B106:H106)</f>
        <v>0.30688143444955662</v>
      </c>
      <c r="K106" t="str">
        <f>IF(J106&gt;$N$2/5*4, "1", IF(J106&gt;$N$2/5*3, "2", IF(J106&gt;$N$2/5*2, "3", IF(J106&gt;$N$2/5, "4", "5"))))</f>
        <v>4</v>
      </c>
    </row>
    <row r="107" spans="1:11" x14ac:dyDescent="0.55000000000000004">
      <c r="A107">
        <v>1085</v>
      </c>
      <c r="B107">
        <f>climate_scores!H532*weights!$C$13</f>
        <v>3.8831484865733047E-2</v>
      </c>
      <c r="D107">
        <f>bird_scores!D532*weights!$C$14</f>
        <v>9.2325233385045835E-2</v>
      </c>
      <c r="F107">
        <f>size_scores!C532*weights!$C$15</f>
        <v>0.17637174899999999</v>
      </c>
      <c r="H107">
        <f>estuary_data!Z532*weights!$C$16</f>
        <v>1.3673887434643037E-4</v>
      </c>
      <c r="J107">
        <f>SUM(B107:H107)</f>
        <v>0.30766520612512532</v>
      </c>
      <c r="K107" t="str">
        <f>IF(J107&gt;$N$2/5*4, "1", IF(J107&gt;$N$2/5*3, "2", IF(J107&gt;$N$2/5*2, "3", IF(J107&gt;$N$2/5, "4", "5"))))</f>
        <v>4</v>
      </c>
    </row>
    <row r="108" spans="1:11" x14ac:dyDescent="0.55000000000000004">
      <c r="A108">
        <v>1088</v>
      </c>
      <c r="B108">
        <f>climate_scores!H535*weights!$C$13</f>
        <v>4.1408884853893678E-2</v>
      </c>
      <c r="D108">
        <f>bird_scores!D535*weights!$C$14</f>
        <v>6.4667906782116313E-2</v>
      </c>
      <c r="F108">
        <f>size_scores!C535*weights!$C$15</f>
        <v>0.19596860999999999</v>
      </c>
      <c r="H108">
        <f>estuary_data!Z535*weights!$C$16</f>
        <v>1.5952868673750259E-4</v>
      </c>
      <c r="J108">
        <f>SUM(B108:H108)</f>
        <v>0.30220493032274753</v>
      </c>
      <c r="K108" t="str">
        <f>IF(J108&gt;$N$2/5*4, "1", IF(J108&gt;$N$2/5*3, "2", IF(J108&gt;$N$2/5*2, "3", IF(J108&gt;$N$2/5, "4", "5"))))</f>
        <v>4</v>
      </c>
    </row>
    <row r="109" spans="1:11" x14ac:dyDescent="0.55000000000000004">
      <c r="A109">
        <v>1089</v>
      </c>
      <c r="B109">
        <f>climate_scores!H536*weights!$C$13</f>
        <v>4.0096341599209481E-2</v>
      </c>
      <c r="D109">
        <f>bird_scores!D536*weights!$C$14</f>
        <v>6.4359477924245012E-2</v>
      </c>
      <c r="F109">
        <f>size_scores!C536*weights!$C$15</f>
        <v>0.19596860999999999</v>
      </c>
      <c r="H109">
        <f>estuary_data!Z536*weights!$C$16</f>
        <v>1.7403129462272956E-4</v>
      </c>
      <c r="J109">
        <f>SUM(B109:H109)</f>
        <v>0.30059846081807723</v>
      </c>
      <c r="K109" t="str">
        <f>IF(J109&gt;$N$2/5*4, "1", IF(J109&gt;$N$2/5*3, "2", IF(J109&gt;$N$2/5*2, "3", IF(J109&gt;$N$2/5, "4", "5"))))</f>
        <v>4</v>
      </c>
    </row>
    <row r="110" spans="1:11" x14ac:dyDescent="0.55000000000000004">
      <c r="A110">
        <v>1094</v>
      </c>
      <c r="B110">
        <f>climate_scores!H541*weights!$C$13</f>
        <v>4.2733520008942497E-2</v>
      </c>
      <c r="D110">
        <f>bird_scores!D541*weights!$C$14</f>
        <v>8.417467793322192E-2</v>
      </c>
      <c r="F110">
        <f>size_scores!C541*weights!$C$15</f>
        <v>0.19596860999999999</v>
      </c>
      <c r="H110">
        <f>estuary_data!Z541*weights!$C$16</f>
        <v>1.1260848475588385E-4</v>
      </c>
      <c r="J110">
        <f>SUM(B110:H110)</f>
        <v>0.32298941642692025</v>
      </c>
      <c r="K110" t="str">
        <f>IF(J110&gt;$N$2/5*4, "1", IF(J110&gt;$N$2/5*3, "2", IF(J110&gt;$N$2/5*2, "3", IF(J110&gt;$N$2/5, "4", "5"))))</f>
        <v>3</v>
      </c>
    </row>
    <row r="111" spans="1:11" x14ac:dyDescent="0.55000000000000004">
      <c r="A111">
        <v>1095</v>
      </c>
      <c r="B111">
        <f>climate_scores!H542*weights!$C$13</f>
        <v>4.4036644977411894E-2</v>
      </c>
      <c r="D111">
        <f>bird_scores!D542*weights!$C$14</f>
        <v>8.6830356813010087E-2</v>
      </c>
      <c r="F111">
        <f>size_scores!C542*weights!$C$15</f>
        <v>0.17637174899999999</v>
      </c>
      <c r="H111">
        <f>estuary_data!Z542*weights!$C$16</f>
        <v>1.2762294939000187E-4</v>
      </c>
      <c r="J111">
        <f>SUM(B111:H111)</f>
        <v>0.30736637373981196</v>
      </c>
      <c r="K111" t="str">
        <f>IF(J111&gt;$N$2/5*4, "1", IF(J111&gt;$N$2/5*3, "2", IF(J111&gt;$N$2/5*2, "3", IF(J111&gt;$N$2/5, "4", "5"))))</f>
        <v>4</v>
      </c>
    </row>
    <row r="112" spans="1:11" x14ac:dyDescent="0.55000000000000004">
      <c r="A112">
        <v>1100</v>
      </c>
      <c r="B112">
        <f>climate_scores!H547*weights!$C$13</f>
        <v>4.358029830193088E-2</v>
      </c>
      <c r="D112">
        <f>bird_scores!D547*weights!$C$14</f>
        <v>6.744853850476934E-2</v>
      </c>
      <c r="F112">
        <f>size_scores!C547*weights!$C$15</f>
        <v>0.17637174899999999</v>
      </c>
      <c r="H112">
        <f>estuary_data!Z547*weights!$C$16</f>
        <v>1.9143442408500231E-4</v>
      </c>
      <c r="J112">
        <f>SUM(B112:H112)</f>
        <v>0.28759202023078523</v>
      </c>
      <c r="K112" t="str">
        <f>IF(J112&gt;$N$2/5*4, "1", IF(J112&gt;$N$2/5*3, "2", IF(J112&gt;$N$2/5*2, "3", IF(J112&gt;$N$2/5, "4", "5"))))</f>
        <v>4</v>
      </c>
    </row>
    <row r="113" spans="1:11" x14ac:dyDescent="0.55000000000000004">
      <c r="A113">
        <v>1110</v>
      </c>
      <c r="B113">
        <f>climate_scores!H557*weights!$C$13</f>
        <v>3.5130648892597996E-2</v>
      </c>
      <c r="D113">
        <f>bird_scores!D557*weights!$C$14</f>
        <v>5.7503577438016963E-2</v>
      </c>
      <c r="F113">
        <f>size_scores!C557*weights!$C$15</f>
        <v>0.19596860999999999</v>
      </c>
      <c r="H113">
        <f>estuary_data!Z557*weights!$C$16</f>
        <v>1.7838207698829778E-4</v>
      </c>
      <c r="J113">
        <f>SUM(B113:H113)</f>
        <v>0.28878121840760324</v>
      </c>
      <c r="K113" t="str">
        <f>IF(J113&gt;$N$2/5*4, "1", IF(J113&gt;$N$2/5*3, "2", IF(J113&gt;$N$2/5*2, "3", IF(J113&gt;$N$2/5, "4", "5"))))</f>
        <v>4</v>
      </c>
    </row>
    <row r="114" spans="1:11" x14ac:dyDescent="0.55000000000000004">
      <c r="A114">
        <v>1111</v>
      </c>
      <c r="B114">
        <f>climate_scores!H558*weights!$C$13</f>
        <v>3.6350634012430647E-2</v>
      </c>
      <c r="D114">
        <f>bird_scores!D558*weights!$C$14</f>
        <v>7.3905593125065644E-2</v>
      </c>
      <c r="F114">
        <f>size_scores!C558*weights!$C$15</f>
        <v>0.19596860999999999</v>
      </c>
      <c r="H114">
        <f>estuary_data!Z558*weights!$C$16</f>
        <v>7.75574247775209E-5</v>
      </c>
      <c r="J114">
        <f>SUM(B114:H114)</f>
        <v>0.30630239456227376</v>
      </c>
      <c r="K114" t="str">
        <f>IF(J114&gt;$N$2/5*4, "1", IF(J114&gt;$N$2/5*3, "2", IF(J114&gt;$N$2/5*2, "3", IF(J114&gt;$N$2/5, "4", "5"))))</f>
        <v>4</v>
      </c>
    </row>
    <row r="115" spans="1:11" x14ac:dyDescent="0.55000000000000004">
      <c r="A115">
        <v>1113</v>
      </c>
      <c r="B115">
        <f>climate_scores!H560*weights!$C$13</f>
        <v>3.4394098221047185E-2</v>
      </c>
      <c r="D115">
        <f>bird_scores!D560*weights!$C$14</f>
        <v>6.2445957414002558E-2</v>
      </c>
      <c r="F115">
        <f>size_scores!C560*weights!$C$15</f>
        <v>0.19596860999999999</v>
      </c>
      <c r="H115">
        <f>estuary_data!Z560*weights!$C$16</f>
        <v>4.350782365568239E-5</v>
      </c>
      <c r="J115">
        <f>SUM(B115:H115)</f>
        <v>0.2928521734587054</v>
      </c>
      <c r="K115" t="str">
        <f>IF(J115&gt;$N$2/5*4, "1", IF(J115&gt;$N$2/5*3, "2", IF(J115&gt;$N$2/5*2, "3", IF(J115&gt;$N$2/5, "4", "5"))))</f>
        <v>4</v>
      </c>
    </row>
    <row r="116" spans="1:11" x14ac:dyDescent="0.55000000000000004">
      <c r="A116">
        <v>1118</v>
      </c>
      <c r="B116">
        <f>climate_scores!H565*weights!$C$13</f>
        <v>3.8033377796601986E-2</v>
      </c>
      <c r="D116">
        <f>bird_scores!D565*weights!$C$14</f>
        <v>7.1213147539422081E-2</v>
      </c>
      <c r="F116">
        <f>size_scores!C565*weights!$C$15</f>
        <v>0.17637174899999999</v>
      </c>
      <c r="H116">
        <f>estuary_data!Z565*weights!$C$16</f>
        <v>1.6216552453481633E-4</v>
      </c>
      <c r="J116">
        <f>SUM(B116:H116)</f>
        <v>0.28578043986055884</v>
      </c>
      <c r="K116" t="str">
        <f>IF(J116&gt;$N$2/5*4, "1", IF(J116&gt;$N$2/5*3, "2", IF(J116&gt;$N$2/5*2, "3", IF(J116&gt;$N$2/5, "4", "5"))))</f>
        <v>4</v>
      </c>
    </row>
    <row r="117" spans="1:11" x14ac:dyDescent="0.55000000000000004">
      <c r="A117">
        <v>1135</v>
      </c>
      <c r="B117">
        <f>climate_scores!H582*weights!$C$13</f>
        <v>4.2118389748209716E-2</v>
      </c>
      <c r="D117">
        <f>bird_scores!D582*weights!$C$14</f>
        <v>0.10806829905415866</v>
      </c>
      <c r="F117">
        <f>size_scores!C582*weights!$C$15</f>
        <v>0.17637174899999999</v>
      </c>
      <c r="H117">
        <f>estuary_data!Z582*weights!$C$16</f>
        <v>2.5723236454029658E-4</v>
      </c>
      <c r="J117">
        <f>SUM(B117:H117)</f>
        <v>0.32681567016690866</v>
      </c>
      <c r="K117" t="str">
        <f>IF(J117&gt;$N$2/5*4, "1", IF(J117&gt;$N$2/5*3, "2", IF(J117&gt;$N$2/5*2, "3", IF(J117&gt;$N$2/5, "4", "5"))))</f>
        <v>3</v>
      </c>
    </row>
    <row r="118" spans="1:11" x14ac:dyDescent="0.55000000000000004">
      <c r="A118">
        <v>1138</v>
      </c>
      <c r="B118">
        <f>climate_scores!H585*weights!$C$13</f>
        <v>4.8832097340910749E-2</v>
      </c>
      <c r="D118">
        <f>bird_scores!D585*weights!$C$14</f>
        <v>8.3585170682559495E-2</v>
      </c>
      <c r="F118">
        <f>size_scores!C585*weights!$C$15</f>
        <v>0.11758116599999999</v>
      </c>
      <c r="H118">
        <f>estuary_data!Z585*weights!$C$16</f>
        <v>2.0578589163223688E-3</v>
      </c>
      <c r="J118">
        <f>SUM(B118:H118)</f>
        <v>0.25205629293979259</v>
      </c>
      <c r="K118" t="str">
        <f>IF(J118&gt;$N$2/5*4, "1", IF(J118&gt;$N$2/5*3, "2", IF(J118&gt;$N$2/5*2, "3", IF(J118&gt;$N$2/5, "4", "5"))))</f>
        <v>4</v>
      </c>
    </row>
    <row r="119" spans="1:11" x14ac:dyDescent="0.55000000000000004">
      <c r="A119">
        <v>1142</v>
      </c>
      <c r="B119">
        <f>climate_scores!H589*weights!$C$13</f>
        <v>4.969526503676714E-2</v>
      </c>
      <c r="D119">
        <f>bird_scores!D589*weights!$C$14</f>
        <v>7.6068082143021409E-2</v>
      </c>
      <c r="F119">
        <f>size_scores!C589*weights!$C$15</f>
        <v>0.13717802699999998</v>
      </c>
      <c r="H119">
        <f>estuary_data!Z589*weights!$C$16</f>
        <v>1.0289294581611844E-3</v>
      </c>
      <c r="J119">
        <f>SUM(B119:H119)</f>
        <v>0.26397030363794971</v>
      </c>
      <c r="K119" t="str">
        <f>IF(J119&gt;$N$2/5*4, "1", IF(J119&gt;$N$2/5*3, "2", IF(J119&gt;$N$2/5*2, "3", IF(J119&gt;$N$2/5, "4", "5"))))</f>
        <v>4</v>
      </c>
    </row>
    <row r="120" spans="1:11" x14ac:dyDescent="0.55000000000000004">
      <c r="A120">
        <v>1144</v>
      </c>
      <c r="B120">
        <f>climate_scores!H591*weights!$C$13</f>
        <v>4.9516046922665501E-2</v>
      </c>
      <c r="D120">
        <f>bird_scores!D591*weights!$C$14</f>
        <v>8.4458319040338917E-2</v>
      </c>
      <c r="F120">
        <f>size_scores!C591*weights!$C$15</f>
        <v>0.156774888</v>
      </c>
      <c r="H120">
        <f>estuary_data!Z591*weights!$C$16</f>
        <v>6.859529721074568E-4</v>
      </c>
      <c r="J120">
        <f>SUM(B120:H120)</f>
        <v>0.29143520693511188</v>
      </c>
      <c r="K120" t="str">
        <f>IF(J120&gt;$N$2/5*4, "1", IF(J120&gt;$N$2/5*3, "2", IF(J120&gt;$N$2/5*2, "3", IF(J120&gt;$N$2/5, "4", "5"))))</f>
        <v>4</v>
      </c>
    </row>
    <row r="121" spans="1:11" x14ac:dyDescent="0.55000000000000004">
      <c r="A121">
        <v>1149</v>
      </c>
      <c r="B121">
        <f>climate_scores!H596*weights!$C$13</f>
        <v>6.5054673996818468E-2</v>
      </c>
      <c r="D121">
        <f>bird_scores!D596*weights!$C$14</f>
        <v>8.9787584732036338E-2</v>
      </c>
      <c r="F121">
        <f>size_scores!C596*weights!$C$15</f>
        <v>0.17637174899999999</v>
      </c>
      <c r="H121">
        <f>estuary_data!Z596*weights!$C$16</f>
        <v>8.2664864945796595E-4</v>
      </c>
      <c r="J121">
        <f>SUM(B121:H121)</f>
        <v>0.33204065637831276</v>
      </c>
      <c r="K121" t="str">
        <f>IF(J121&gt;$N$2/5*4, "1", IF(J121&gt;$N$2/5*3, "2", IF(J121&gt;$N$2/5*2, "3", IF(J121&gt;$N$2/5, "4", "5"))))</f>
        <v>3</v>
      </c>
    </row>
    <row r="122" spans="1:11" x14ac:dyDescent="0.55000000000000004">
      <c r="A122">
        <v>1151</v>
      </c>
      <c r="B122">
        <f>climate_scores!H598*weights!$C$13</f>
        <v>6.633622086783747E-2</v>
      </c>
      <c r="D122">
        <f>bird_scores!D598*weights!$C$14</f>
        <v>7.9258295466326206E-2</v>
      </c>
      <c r="F122">
        <f>size_scores!C598*weights!$C$15</f>
        <v>0.19596860999999999</v>
      </c>
      <c r="H122">
        <f>estuary_data!Z598*weights!$C$16</f>
        <v>5.1665540591122852E-5</v>
      </c>
      <c r="J122">
        <f>SUM(B122:H122)</f>
        <v>0.34161479187475474</v>
      </c>
      <c r="K122" t="str">
        <f>IF(J122&gt;$N$2/5*4, "1", IF(J122&gt;$N$2/5*3, "2", IF(J122&gt;$N$2/5*2, "3", IF(J122&gt;$N$2/5, "4", "5"))))</f>
        <v>3</v>
      </c>
    </row>
    <row r="123" spans="1:11" x14ac:dyDescent="0.55000000000000004">
      <c r="A123">
        <v>1152</v>
      </c>
      <c r="B123">
        <f>climate_scores!H599*weights!$C$13</f>
        <v>6.9652458722138419E-2</v>
      </c>
      <c r="D123">
        <f>bird_scores!D599*weights!$C$14</f>
        <v>0.10906218222207664</v>
      </c>
      <c r="F123">
        <f>size_scores!C599*weights!$C$15</f>
        <v>0.19596860999999999</v>
      </c>
      <c r="H123">
        <f>estuary_data!Z599*weights!$C$16</f>
        <v>1.3777477490966068E-4</v>
      </c>
      <c r="J123">
        <f>SUM(B123:H123)</f>
        <v>0.37482102571912473</v>
      </c>
      <c r="K123" t="str">
        <f>IF(J123&gt;$N$2/5*4, "1", IF(J123&gt;$N$2/5*3, "2", IF(J123&gt;$N$2/5*2, "3", IF(J123&gt;$N$2/5, "4", "5"))))</f>
        <v>3</v>
      </c>
    </row>
    <row r="124" spans="1:11" x14ac:dyDescent="0.55000000000000004">
      <c r="A124">
        <v>1157</v>
      </c>
      <c r="B124">
        <f>climate_scores!H604*weights!$C$13</f>
        <v>8.0445341630328196E-2</v>
      </c>
      <c r="D124">
        <f>bird_scores!D604*weights!$C$14</f>
        <v>8.3505676870240603E-2</v>
      </c>
      <c r="F124">
        <f>size_scores!C604*weights!$C$15</f>
        <v>0.17637174899999999</v>
      </c>
      <c r="H124">
        <f>estuary_data!Z604*weights!$C$16</f>
        <v>4.0384569503275407E-4</v>
      </c>
      <c r="J124">
        <f>SUM(B124:H124)</f>
        <v>0.34072661319560155</v>
      </c>
      <c r="K124" t="str">
        <f>IF(J124&gt;$N$2/5*4, "1", IF(J124&gt;$N$2/5*3, "2", IF(J124&gt;$N$2/5*2, "3", IF(J124&gt;$N$2/5, "4", "5"))))</f>
        <v>3</v>
      </c>
    </row>
    <row r="125" spans="1:11" x14ac:dyDescent="0.55000000000000004">
      <c r="A125">
        <v>1160</v>
      </c>
      <c r="B125">
        <f>climate_scores!H607*weights!$C$13</f>
        <v>8.8210515889908234E-2</v>
      </c>
      <c r="D125">
        <f>bird_scores!D607*weights!$C$14</f>
        <v>7.5888944062508831E-2</v>
      </c>
      <c r="F125">
        <f>size_scores!C607*weights!$C$15</f>
        <v>0.17637174899999999</v>
      </c>
      <c r="H125">
        <f>estuary_data!Z607*weights!$C$16</f>
        <v>4.9163840730921139E-4</v>
      </c>
      <c r="J125">
        <f>SUM(B125:H125)</f>
        <v>0.34096284735972626</v>
      </c>
      <c r="K125" t="str">
        <f>IF(J125&gt;$N$2/5*4, "1", IF(J125&gt;$N$2/5*3, "2", IF(J125&gt;$N$2/5*2, "3", IF(J125&gt;$N$2/5, "4", "5"))))</f>
        <v>3</v>
      </c>
    </row>
    <row r="126" spans="1:11" x14ac:dyDescent="0.55000000000000004">
      <c r="A126">
        <v>1162</v>
      </c>
      <c r="B126">
        <f>climate_scores!H609*weights!$C$13</f>
        <v>7.185093413340693E-2</v>
      </c>
      <c r="D126">
        <f>bird_scores!D609*weights!$C$14</f>
        <v>7.9647072270862346E-2</v>
      </c>
      <c r="F126">
        <f>size_scores!C609*weights!$C$15</f>
        <v>0.13717802699999998</v>
      </c>
      <c r="H126">
        <f>estuary_data!Z609*weights!$C$16</f>
        <v>6.7153407606077248E-4</v>
      </c>
      <c r="J126">
        <f>SUM(B126:H126)</f>
        <v>0.28934756748033008</v>
      </c>
      <c r="K126" t="str">
        <f>IF(J126&gt;$N$2/5*4, "1", IF(J126&gt;$N$2/5*3, "2", IF(J126&gt;$N$2/5*2, "3", IF(J126&gt;$N$2/5, "4", "5"))))</f>
        <v>4</v>
      </c>
    </row>
    <row r="127" spans="1:11" x14ac:dyDescent="0.55000000000000004">
      <c r="A127">
        <v>2000</v>
      </c>
      <c r="B127">
        <f>climate_scores!H613*weights!$C$13</f>
        <v>5.9529216858976691E-2</v>
      </c>
      <c r="D127">
        <f>bird_scores!D613*weights!$C$14</f>
        <v>7.8178962678600916E-2</v>
      </c>
      <c r="F127">
        <f>size_scores!C613*weights!$C$15</f>
        <v>0.17637174899999999</v>
      </c>
      <c r="H127">
        <f>estuary_data!Z613*weights!$C$16</f>
        <v>3.6510951148658196E-3</v>
      </c>
      <c r="J127">
        <f>SUM(B127:H127)</f>
        <v>0.31773102365244343</v>
      </c>
      <c r="K127" t="str">
        <f>IF(J127&gt;$N$2/5*4, "1", IF(J127&gt;$N$2/5*3, "2", IF(J127&gt;$N$2/5*2, "3", IF(J127&gt;$N$2/5, "4", "5"))))</f>
        <v>4</v>
      </c>
    </row>
    <row r="128" spans="1:11" x14ac:dyDescent="0.55000000000000004">
      <c r="A128">
        <v>2001</v>
      </c>
      <c r="B128">
        <f>climate_scores!H614*weights!$C$13</f>
        <v>5.637276951231511E-2</v>
      </c>
      <c r="D128">
        <f>bird_scores!D614*weights!$C$14</f>
        <v>9.1773126500436772E-2</v>
      </c>
      <c r="F128">
        <f>size_scores!C614*weights!$C$15</f>
        <v>0.156774888</v>
      </c>
      <c r="H128">
        <f>estuary_data!Z614*weights!$C$16</f>
        <v>4.7765089702110275E-3</v>
      </c>
      <c r="J128">
        <f>SUM(B128:H128)</f>
        <v>0.30969729298296295</v>
      </c>
      <c r="K128" t="str">
        <f>IF(J128&gt;$N$2/5*4, "1", IF(J128&gt;$N$2/5*3, "2", IF(J128&gt;$N$2/5*2, "3", IF(J128&gt;$N$2/5, "4", "5"))))</f>
        <v>4</v>
      </c>
    </row>
    <row r="129" spans="1:11" x14ac:dyDescent="0.55000000000000004">
      <c r="A129">
        <v>2003</v>
      </c>
      <c r="B129">
        <f>climate_scores!H616*weights!$C$13</f>
        <v>5.7356502958963239E-2</v>
      </c>
      <c r="D129">
        <f>bird_scores!D616*weights!$C$14</f>
        <v>0.10935145453532749</v>
      </c>
      <c r="F129">
        <f>size_scores!C616*weights!$C$15</f>
        <v>0.17637174899999999</v>
      </c>
      <c r="H129">
        <f>estuary_data!Z616*weights!$C$16</f>
        <v>3.5755520531578978E-4</v>
      </c>
      <c r="J129">
        <f>SUM(B129:H129)</f>
        <v>0.34343726169960653</v>
      </c>
      <c r="K129" t="str">
        <f>IF(J129&gt;$N$2/5*4, "1", IF(J129&gt;$N$2/5*3, "2", IF(J129&gt;$N$2/5*2, "3", IF(J129&gt;$N$2/5, "4", "5"))))</f>
        <v>3</v>
      </c>
    </row>
    <row r="130" spans="1:11" x14ac:dyDescent="0.55000000000000004">
      <c r="A130">
        <v>2009</v>
      </c>
      <c r="B130">
        <f>climate_scores!H622*weights!$C$13</f>
        <v>4.5575218546991307E-2</v>
      </c>
      <c r="D130">
        <f>bird_scores!D622*weights!$C$14</f>
        <v>9.1125304973433713E-2</v>
      </c>
      <c r="F130">
        <f>size_scores!C622*weights!$C$15</f>
        <v>0.17637174899999999</v>
      </c>
      <c r="H130">
        <f>estuary_data!Z622*weights!$C$16</f>
        <v>4.2972838564805151E-4</v>
      </c>
      <c r="J130">
        <f>SUM(B130:H130)</f>
        <v>0.31350200090607305</v>
      </c>
      <c r="K130" t="str">
        <f>IF(J130&gt;$N$2/5*4, "1", IF(J130&gt;$N$2/5*3, "2", IF(J130&gt;$N$2/5*2, "3", IF(J130&gt;$N$2/5, "4", "5"))))</f>
        <v>4</v>
      </c>
    </row>
    <row r="131" spans="1:11" x14ac:dyDescent="0.55000000000000004">
      <c r="A131">
        <v>2014</v>
      </c>
      <c r="B131">
        <f>climate_scores!H627*weights!$C$13</f>
        <v>3.8037841189987619E-2</v>
      </c>
      <c r="D131">
        <f>bird_scores!D627*weights!$C$14</f>
        <v>9.4614830029381577E-2</v>
      </c>
      <c r="F131">
        <f>size_scores!C627*weights!$C$15</f>
        <v>0.17637174899999999</v>
      </c>
      <c r="H131">
        <f>estuary_data!Z627*weights!$C$16</f>
        <v>1.8683842854263081E-4</v>
      </c>
      <c r="J131">
        <f>SUM(B131:H131)</f>
        <v>0.30921125864791177</v>
      </c>
      <c r="K131" t="str">
        <f>IF(J131&gt;$N$2/5*4, "1", IF(J131&gt;$N$2/5*3, "2", IF(J131&gt;$N$2/5*2, "3", IF(J131&gt;$N$2/5, "4", "5"))))</f>
        <v>4</v>
      </c>
    </row>
    <row r="132" spans="1:11" x14ac:dyDescent="0.55000000000000004">
      <c r="A132">
        <v>2020</v>
      </c>
      <c r="B132">
        <f>climate_scores!H633*weights!$C$13</f>
        <v>3.2642154659277979E-2</v>
      </c>
      <c r="D132">
        <f>bird_scores!D633*weights!$C$14</f>
        <v>8.8411150696061175E-2</v>
      </c>
      <c r="F132">
        <f>size_scores!C633*weights!$C$15</f>
        <v>0.17637174899999999</v>
      </c>
      <c r="H132">
        <f>estuary_data!Z633*weights!$C$16</f>
        <v>4.2376913222612171E-4</v>
      </c>
      <c r="J132">
        <f>SUM(B132:H132)</f>
        <v>0.29784882348756531</v>
      </c>
      <c r="K132" t="str">
        <f>IF(J132&gt;$N$2/5*4, "1", IF(J132&gt;$N$2/5*3, "2", IF(J132&gt;$N$2/5*2, "3", IF(J132&gt;$N$2/5, "4", "5"))))</f>
        <v>4</v>
      </c>
    </row>
    <row r="133" spans="1:11" x14ac:dyDescent="0.55000000000000004">
      <c r="A133">
        <v>2021</v>
      </c>
      <c r="B133">
        <f>climate_scores!H634*weights!$C$13</f>
        <v>2.9888107016697078E-2</v>
      </c>
      <c r="D133">
        <f>bird_scores!D634*weights!$C$14</f>
        <v>8.6071199411385357E-2</v>
      </c>
      <c r="F133">
        <f>size_scores!C634*weights!$C$15</f>
        <v>0.13717802699999998</v>
      </c>
      <c r="H133">
        <f>estuary_data!Z634*weights!$C$16</f>
        <v>4.6614604544873437E-4</v>
      </c>
      <c r="J133">
        <f>SUM(B133:H133)</f>
        <v>0.25360347947353118</v>
      </c>
      <c r="K133" t="str">
        <f>IF(J133&gt;$N$2/5*4, "1", IF(J133&gt;$N$2/5*3, "2", IF(J133&gt;$N$2/5*2, "3", IF(J133&gt;$N$2/5, "4", "5"))))</f>
        <v>4</v>
      </c>
    </row>
    <row r="134" spans="1:11" x14ac:dyDescent="0.55000000000000004">
      <c r="A134">
        <v>2023</v>
      </c>
      <c r="B134">
        <f>climate_scores!H636*weights!$C$13</f>
        <v>3.0190369881051188E-2</v>
      </c>
      <c r="D134">
        <f>bird_scores!D636*weights!$C$14</f>
        <v>9.415113433466675E-2</v>
      </c>
      <c r="F134">
        <f>size_scores!C636*weights!$C$15</f>
        <v>0.19596860999999999</v>
      </c>
      <c r="H134">
        <f>estuary_data!Z636*weights!$C$16</f>
        <v>5.1218898982560568E-6</v>
      </c>
      <c r="J134">
        <f>SUM(B134:H134)</f>
        <v>0.32031523610561619</v>
      </c>
      <c r="K134" t="str">
        <f>IF(J134&gt;$N$2/5*4, "1", IF(J134&gt;$N$2/5*3, "2", IF(J134&gt;$N$2/5*2, "3", IF(J134&gt;$N$2/5, "4", "5"))))</f>
        <v>3</v>
      </c>
    </row>
    <row r="135" spans="1:11" x14ac:dyDescent="0.55000000000000004">
      <c r="A135">
        <v>2024</v>
      </c>
      <c r="B135">
        <f>climate_scores!H637*weights!$C$13</f>
        <v>2.9931309118991729E-2</v>
      </c>
      <c r="D135">
        <f>bird_scores!D637*weights!$C$14</f>
        <v>9.2201169524169554E-2</v>
      </c>
      <c r="F135">
        <f>size_scores!C637*weights!$C$15</f>
        <v>0.156774888</v>
      </c>
      <c r="H135">
        <f>estuary_data!Z637*weights!$C$16</f>
        <v>2.6189930346415973E-4</v>
      </c>
      <c r="J135">
        <f>SUM(B135:H135)</f>
        <v>0.27916926594662544</v>
      </c>
      <c r="K135" t="str">
        <f>IF(J135&gt;$N$2/5*4, "1", IF(J135&gt;$N$2/5*3, "2", IF(J135&gt;$N$2/5*2, "3", IF(J135&gt;$N$2/5, "4", "5"))))</f>
        <v>4</v>
      </c>
    </row>
    <row r="136" spans="1:11" x14ac:dyDescent="0.55000000000000004">
      <c r="A136">
        <v>2028</v>
      </c>
      <c r="B136">
        <f>climate_scores!H641*weights!$C$13</f>
        <v>3.8862727571601342E-2</v>
      </c>
      <c r="D136">
        <f>bird_scores!D641*weights!$C$14</f>
        <v>8.5624211180880067E-2</v>
      </c>
      <c r="F136">
        <f>size_scores!C641*weights!$C$15</f>
        <v>0.19596860999999999</v>
      </c>
      <c r="H136">
        <f>estuary_data!Z641*weights!$C$16</f>
        <v>1.4094083719446395E-5</v>
      </c>
      <c r="J136">
        <f>SUM(B136:H136)</f>
        <v>0.32046964283620083</v>
      </c>
      <c r="K136" t="str">
        <f>IF(J136&gt;$N$2/5*4, "1", IF(J136&gt;$N$2/5*3, "2", IF(J136&gt;$N$2/5*2, "3", IF(J136&gt;$N$2/5, "4", "5"))))</f>
        <v>3</v>
      </c>
    </row>
    <row r="137" spans="1:11" x14ac:dyDescent="0.55000000000000004">
      <c r="A137">
        <v>2032</v>
      </c>
      <c r="B137">
        <f>climate_scores!H645*weights!$C$13</f>
        <v>4.413636861375448E-2</v>
      </c>
      <c r="D137">
        <f>bird_scores!D645*weights!$C$14</f>
        <v>7.007042092138166E-2</v>
      </c>
      <c r="F137">
        <f>size_scores!C645*weights!$C$15</f>
        <v>0.19596860999999999</v>
      </c>
      <c r="H137">
        <f>estuary_data!Z645*weights!$C$16</f>
        <v>2.2422009494464087E-5</v>
      </c>
      <c r="J137">
        <f>SUM(B137:H137)</f>
        <v>0.3101978215446306</v>
      </c>
      <c r="K137" t="str">
        <f>IF(J137&gt;$N$2/5*4, "1", IF(J137&gt;$N$2/5*3, "2", IF(J137&gt;$N$2/5*2, "3", IF(J137&gt;$N$2/5, "4", "5"))))</f>
        <v>4</v>
      </c>
    </row>
    <row r="138" spans="1:11" x14ac:dyDescent="0.55000000000000004">
      <c r="A138">
        <v>2033</v>
      </c>
      <c r="B138">
        <f>climate_scores!H646*weights!$C$13</f>
        <v>3.8971710353074097E-2</v>
      </c>
      <c r="D138">
        <f>bird_scores!D646*weights!$C$14</f>
        <v>0.10794332937197798</v>
      </c>
      <c r="F138">
        <f>size_scores!C646*weights!$C$15</f>
        <v>9.7984304999999994E-2</v>
      </c>
      <c r="H138">
        <f>estuary_data!Z646*weights!$C$16</f>
        <v>2.476400866446403E-3</v>
      </c>
      <c r="J138">
        <f>SUM(B138:H138)</f>
        <v>0.24737574559149847</v>
      </c>
      <c r="K138" t="str">
        <f>IF(J138&gt;$N$2/5*4, "1", IF(J138&gt;$N$2/5*3, "2", IF(J138&gt;$N$2/5*2, "3", IF(J138&gt;$N$2/5, "4", "5"))))</f>
        <v>4</v>
      </c>
    </row>
    <row r="139" spans="1:11" x14ac:dyDescent="0.55000000000000004">
      <c r="A139">
        <v>2034</v>
      </c>
      <c r="B139">
        <f>climate_scores!H647*weights!$C$13</f>
        <v>3.9850553991668911E-2</v>
      </c>
      <c r="D139">
        <f>bird_scores!D647*weights!$C$14</f>
        <v>8.6519263120074255E-2</v>
      </c>
      <c r="F139">
        <f>size_scores!C647*weights!$C$15</f>
        <v>0.17637174899999999</v>
      </c>
      <c r="H139">
        <f>estuary_data!Z647*weights!$C$16</f>
        <v>2.7515565182737757E-4</v>
      </c>
      <c r="J139">
        <f>SUM(B139:H139)</f>
        <v>0.30301672176357058</v>
      </c>
      <c r="K139" t="str">
        <f>IF(J139&gt;$N$2/5*4, "1", IF(J139&gt;$N$2/5*3, "2", IF(J139&gt;$N$2/5*2, "3", IF(J139&gt;$N$2/5, "4", "5"))))</f>
        <v>4</v>
      </c>
    </row>
    <row r="140" spans="1:11" x14ac:dyDescent="0.55000000000000004">
      <c r="A140">
        <v>2036</v>
      </c>
      <c r="B140">
        <f>climate_scores!H649*weights!$C$13</f>
        <v>4.3603083863352363E-2</v>
      </c>
      <c r="D140">
        <f>bird_scores!D649*weights!$C$14</f>
        <v>9.8489079607904914E-2</v>
      </c>
      <c r="F140">
        <f>size_scores!C649*weights!$C$15</f>
        <v>0.19596860999999999</v>
      </c>
      <c r="H140">
        <f>estuary_data!Z649*weights!$C$16</f>
        <v>6.9041813372126886E-5</v>
      </c>
      <c r="J140">
        <f>SUM(B140:H140)</f>
        <v>0.33812981528462943</v>
      </c>
      <c r="K140" t="str">
        <f>IF(J140&gt;$N$2/5*4, "1", IF(J140&gt;$N$2/5*3, "2", IF(J140&gt;$N$2/5*2, "3", IF(J140&gt;$N$2/5, "4", "5"))))</f>
        <v>3</v>
      </c>
    </row>
    <row r="141" spans="1:11" x14ac:dyDescent="0.55000000000000004">
      <c r="A141">
        <v>2039</v>
      </c>
      <c r="B141">
        <f>climate_scores!H652*weights!$C$13</f>
        <v>4.8804574035149366E-2</v>
      </c>
      <c r="D141">
        <f>bird_scores!D652*weights!$C$14</f>
        <v>6.7916408554063126E-2</v>
      </c>
      <c r="F141">
        <f>size_scores!C652*weights!$C$15</f>
        <v>0.19596860999999999</v>
      </c>
      <c r="H141">
        <f>estuary_data!Z652*weights!$C$16</f>
        <v>3.9141815455064114E-5</v>
      </c>
      <c r="J141">
        <f>SUM(B141:H141)</f>
        <v>0.31272873440466753</v>
      </c>
      <c r="K141" t="str">
        <f>IF(J141&gt;$N$2/5*4, "1", IF(J141&gt;$N$2/5*3, "2", IF(J141&gt;$N$2/5*2, "3", IF(J141&gt;$N$2/5, "4", "5"))))</f>
        <v>4</v>
      </c>
    </row>
    <row r="142" spans="1:11" x14ac:dyDescent="0.55000000000000004">
      <c r="A142">
        <v>2040</v>
      </c>
      <c r="B142">
        <f>climate_scores!H653*weights!$C$13</f>
        <v>4.4918733307830909E-2</v>
      </c>
      <c r="D142">
        <f>bird_scores!D653*weights!$C$14</f>
        <v>8.9184018918544022E-2</v>
      </c>
      <c r="F142">
        <f>size_scores!C653*weights!$C$15</f>
        <v>0.19596860999999999</v>
      </c>
      <c r="H142">
        <f>estuary_data!Z653*weights!$C$16</f>
        <v>2.2595502558150657E-4</v>
      </c>
      <c r="J142">
        <f>SUM(B142:H142)</f>
        <v>0.33029731725195638</v>
      </c>
      <c r="K142" t="str">
        <f>IF(J142&gt;$N$2/5*4, "1", IF(J142&gt;$N$2/5*3, "2", IF(J142&gt;$N$2/5*2, "3", IF(J142&gt;$N$2/5, "4", "5"))))</f>
        <v>3</v>
      </c>
    </row>
    <row r="143" spans="1:11" x14ac:dyDescent="0.55000000000000004">
      <c r="A143">
        <v>2041</v>
      </c>
      <c r="B143">
        <f>climate_scores!H654*weights!$C$13</f>
        <v>4.1657742557203691E-2</v>
      </c>
      <c r="D143">
        <f>bird_scores!D654*weights!$C$14</f>
        <v>9.0074235988265861E-2</v>
      </c>
      <c r="F143">
        <f>size_scores!C654*weights!$C$15</f>
        <v>0.19596860999999999</v>
      </c>
      <c r="H143">
        <f>estuary_data!Z654*weights!$C$16</f>
        <v>3.5507218305665323E-4</v>
      </c>
      <c r="J143">
        <f>SUM(B143:H143)</f>
        <v>0.32805566072852621</v>
      </c>
      <c r="K143" t="str">
        <f>IF(J143&gt;$N$2/5*4, "1", IF(J143&gt;$N$2/5*3, "2", IF(J143&gt;$N$2/5*2, "3", IF(J143&gt;$N$2/5, "4", "5"))))</f>
        <v>3</v>
      </c>
    </row>
    <row r="144" spans="1:11" x14ac:dyDescent="0.55000000000000004">
      <c r="A144">
        <v>2042</v>
      </c>
      <c r="B144">
        <f>climate_scores!H655*weights!$C$13</f>
        <v>4.0495354580230167E-2</v>
      </c>
      <c r="D144">
        <f>bird_scores!D655*weights!$C$14</f>
        <v>7.4784195442290327E-2</v>
      </c>
      <c r="F144">
        <f>size_scores!C655*weights!$C$15</f>
        <v>0.19596860999999999</v>
      </c>
      <c r="H144">
        <f>estuary_data!Z655*weights!$C$16</f>
        <v>1.2168827787057225E-4</v>
      </c>
      <c r="J144">
        <f>SUM(B144:H144)</f>
        <v>0.31136984830039105</v>
      </c>
      <c r="K144" t="str">
        <f>IF(J144&gt;$N$2/5*4, "1", IF(J144&gt;$N$2/5*3, "2", IF(J144&gt;$N$2/5*2, "3", IF(J144&gt;$N$2/5, "4", "5"))))</f>
        <v>4</v>
      </c>
    </row>
    <row r="145" spans="1:11" x14ac:dyDescent="0.55000000000000004">
      <c r="A145">
        <v>2047</v>
      </c>
      <c r="B145">
        <f>climate_scores!H660*weights!$C$13</f>
        <v>3.5144333068470535E-2</v>
      </c>
      <c r="D145">
        <f>bird_scores!D660*weights!$C$14</f>
        <v>0.11035663232202228</v>
      </c>
      <c r="F145">
        <f>size_scores!C660*weights!$C$15</f>
        <v>0.19596860999999999</v>
      </c>
      <c r="H145">
        <f>estuary_data!Z660*weights!$C$16</f>
        <v>7.6757221426053529E-5</v>
      </c>
      <c r="J145">
        <f>SUM(B145:H145)</f>
        <v>0.34154633261191886</v>
      </c>
      <c r="K145" t="str">
        <f>IF(J145&gt;$N$2/5*4, "1", IF(J145&gt;$N$2/5*3, "2", IF(J145&gt;$N$2/5*2, "3", IF(J145&gt;$N$2/5, "4", "5"))))</f>
        <v>3</v>
      </c>
    </row>
    <row r="146" spans="1:11" x14ac:dyDescent="0.55000000000000004">
      <c r="A146">
        <v>2050</v>
      </c>
      <c r="B146">
        <f>climate_scores!H663*weights!$C$13</f>
        <v>3.4895171227162923E-2</v>
      </c>
      <c r="D146">
        <f>bird_scores!D663*weights!$C$14</f>
        <v>9.8157812532898861E-2</v>
      </c>
      <c r="F146">
        <f>size_scores!C663*weights!$C$15</f>
        <v>0.19596860999999999</v>
      </c>
      <c r="H146">
        <f>estuary_data!Z663*weights!$C$16</f>
        <v>4.9051353122522781E-5</v>
      </c>
      <c r="J146">
        <f>SUM(B146:H146)</f>
        <v>0.32907064511318429</v>
      </c>
      <c r="K146" t="str">
        <f>IF(J146&gt;$N$2/5*4, "1", IF(J146&gt;$N$2/5*3, "2", IF(J146&gt;$N$2/5*2, "3", IF(J146&gt;$N$2/5, "4", "5"))))</f>
        <v>3</v>
      </c>
    </row>
    <row r="147" spans="1:11" x14ac:dyDescent="0.55000000000000004">
      <c r="A147">
        <v>2052</v>
      </c>
      <c r="B147">
        <f>climate_scores!H665*weights!$C$13</f>
        <v>3.1939025124017854E-2</v>
      </c>
      <c r="D147">
        <f>bird_scores!D665*weights!$C$14</f>
        <v>7.4733826838943154E-2</v>
      </c>
      <c r="F147">
        <f>size_scores!C665*weights!$C$15</f>
        <v>0.19596860999999999</v>
      </c>
      <c r="H147">
        <f>estuary_data!Z665*weights!$C$16</f>
        <v>8.6388950275487911E-5</v>
      </c>
      <c r="J147">
        <f>SUM(B147:H147)</f>
        <v>0.30272785091323645</v>
      </c>
      <c r="K147" t="str">
        <f>IF(J147&gt;$N$2/5*4, "1", IF(J147&gt;$N$2/5*3, "2", IF(J147&gt;$N$2/5*2, "3", IF(J147&gt;$N$2/5, "4", "5"))))</f>
        <v>4</v>
      </c>
    </row>
    <row r="148" spans="1:11" x14ac:dyDescent="0.55000000000000004">
      <c r="A148">
        <v>2060</v>
      </c>
      <c r="B148">
        <f>climate_scores!H673*weights!$C$13</f>
        <v>3.1533837081966255E-2</v>
      </c>
      <c r="D148">
        <f>bird_scores!D673*weights!$C$14</f>
        <v>9.2696949170664816E-2</v>
      </c>
      <c r="F148">
        <f>size_scores!C673*weights!$C$15</f>
        <v>0.19596860999999999</v>
      </c>
      <c r="H148">
        <f>estuary_data!Z673*weights!$C$16</f>
        <v>4.7411670306548708E-5</v>
      </c>
      <c r="J148">
        <f>SUM(B148:H148)</f>
        <v>0.32024680792293758</v>
      </c>
      <c r="K148" t="str">
        <f>IF(J148&gt;$N$2/5*4, "1", IF(J148&gt;$N$2/5*3, "2", IF(J148&gt;$N$2/5*2, "3", IF(J148&gt;$N$2/5, "4", "5"))))</f>
        <v>3</v>
      </c>
    </row>
    <row r="149" spans="1:11" x14ac:dyDescent="0.55000000000000004">
      <c r="A149">
        <v>2063</v>
      </c>
      <c r="B149">
        <f>climate_scores!H676*weights!$C$13</f>
        <v>2.89171785473375E-2</v>
      </c>
      <c r="D149">
        <f>bird_scores!D676*weights!$C$14</f>
        <v>7.2009890125311338E-2</v>
      </c>
      <c r="F149">
        <f>size_scores!C676*weights!$C$15</f>
        <v>0.19596860999999999</v>
      </c>
      <c r="H149">
        <f>estuary_data!Z676*weights!$C$16</f>
        <v>2.5546716576598032E-5</v>
      </c>
      <c r="J149">
        <f>SUM(B149:H149)</f>
        <v>0.29692122538922544</v>
      </c>
      <c r="K149" t="str">
        <f>IF(J149&gt;$N$2/5*4, "1", IF(J149&gt;$N$2/5*3, "2", IF(J149&gt;$N$2/5*2, "3", IF(J149&gt;$N$2/5, "4", "5"))))</f>
        <v>4</v>
      </c>
    </row>
    <row r="150" spans="1:11" x14ac:dyDescent="0.55000000000000004">
      <c r="A150">
        <v>2064</v>
      </c>
      <c r="B150">
        <f>climate_scores!H677*weights!$C$13</f>
        <v>2.6293134589218996E-2</v>
      </c>
      <c r="D150">
        <f>bird_scores!D677*weights!$C$14</f>
        <v>7.850390114516187E-2</v>
      </c>
      <c r="F150">
        <f>size_scores!C677*weights!$C$15</f>
        <v>0.19596860999999999</v>
      </c>
      <c r="H150">
        <f>estuary_data!Z677*weights!$C$16</f>
        <v>1.1162804417165635E-4</v>
      </c>
      <c r="J150">
        <f>SUM(B150:H150)</f>
        <v>0.3008772737785525</v>
      </c>
      <c r="K150" t="str">
        <f>IF(J150&gt;$N$2/5*4, "1", IF(J150&gt;$N$2/5*3, "2", IF(J150&gt;$N$2/5*2, "3", IF(J150&gt;$N$2/5, "4", "5"))))</f>
        <v>4</v>
      </c>
    </row>
    <row r="151" spans="1:11" x14ac:dyDescent="0.55000000000000004">
      <c r="A151">
        <v>2065</v>
      </c>
      <c r="B151">
        <f>climate_scores!H678*weights!$C$13</f>
        <v>2.7221218407274692E-2</v>
      </c>
      <c r="D151">
        <f>bird_scores!D678*weights!$C$14</f>
        <v>8.511643335637227E-2</v>
      </c>
      <c r="F151">
        <f>size_scores!C678*weights!$C$15</f>
        <v>0.19596860999999999</v>
      </c>
      <c r="H151">
        <f>estuary_data!Z678*weights!$C$16</f>
        <v>1.6249651999671524E-5</v>
      </c>
      <c r="J151">
        <f>SUM(B151:H151)</f>
        <v>0.30832251141564659</v>
      </c>
      <c r="K151" t="str">
        <f>IF(J151&gt;$N$2/5*4, "1", IF(J151&gt;$N$2/5*3, "2", IF(J151&gt;$N$2/5*2, "3", IF(J151&gt;$N$2/5, "4", "5"))))</f>
        <v>4</v>
      </c>
    </row>
    <row r="152" spans="1:11" x14ac:dyDescent="0.55000000000000004">
      <c r="A152">
        <v>2067</v>
      </c>
      <c r="B152">
        <f>climate_scores!H680*weights!$C$13</f>
        <v>2.826171106666437E-2</v>
      </c>
      <c r="D152">
        <f>bird_scores!D680*weights!$C$14</f>
        <v>0.10761727171167607</v>
      </c>
      <c r="F152">
        <f>size_scores!C680*weights!$C$15</f>
        <v>0.19596860999999999</v>
      </c>
      <c r="H152">
        <f>estuary_data!Z680*weights!$C$16</f>
        <v>2.9325641944102985E-5</v>
      </c>
      <c r="J152">
        <f>SUM(B152:H152)</f>
        <v>0.33187691842028449</v>
      </c>
      <c r="K152" t="str">
        <f>IF(J152&gt;$N$2/5*4, "1", IF(J152&gt;$N$2/5*3, "2", IF(J152&gt;$N$2/5*2, "3", IF(J152&gt;$N$2/5, "4", "5"))))</f>
        <v>3</v>
      </c>
    </row>
    <row r="153" spans="1:11" x14ac:dyDescent="0.55000000000000004">
      <c r="A153">
        <v>2079</v>
      </c>
      <c r="B153">
        <f>climate_scores!H692*weights!$C$13</f>
        <v>4.3435085296302758E-2</v>
      </c>
      <c r="D153">
        <f>bird_scores!D692*weights!$C$14</f>
        <v>0.10032222735914841</v>
      </c>
      <c r="F153">
        <f>size_scores!C692*weights!$C$15</f>
        <v>0.19596860999999999</v>
      </c>
      <c r="H153">
        <f>estuary_data!Z692*weights!$C$16</f>
        <v>3.2703726953781884E-4</v>
      </c>
      <c r="J153">
        <f>SUM(B153:H153)</f>
        <v>0.34005295992498896</v>
      </c>
      <c r="K153" t="str">
        <f>IF(J153&gt;$N$2/5*4, "1", IF(J153&gt;$N$2/5*3, "2", IF(J153&gt;$N$2/5*2, "3", IF(J153&gt;$N$2/5, "4", "5"))))</f>
        <v>3</v>
      </c>
    </row>
    <row r="154" spans="1:11" x14ac:dyDescent="0.55000000000000004">
      <c r="A154">
        <v>2090</v>
      </c>
      <c r="B154">
        <f>climate_scores!H703*weights!$C$13</f>
        <v>4.9358251990674014E-2</v>
      </c>
      <c r="D154">
        <f>bird_scores!D703*weights!$C$14</f>
        <v>7.1313623384852753E-2</v>
      </c>
      <c r="F154">
        <f>size_scores!C703*weights!$C$15</f>
        <v>0.17637174899999999</v>
      </c>
      <c r="H154">
        <f>estuary_data!Z703*weights!$C$16</f>
        <v>4.6553371311580227E-4</v>
      </c>
      <c r="J154">
        <f>SUM(B154:H154)</f>
        <v>0.29750915808864259</v>
      </c>
      <c r="K154" t="str">
        <f>IF(J154&gt;$N$2/5*4, "1", IF(J154&gt;$N$2/5*3, "2", IF(J154&gt;$N$2/5*2, "3", IF(J154&gt;$N$2/5, "4", "5"))))</f>
        <v>4</v>
      </c>
    </row>
    <row r="155" spans="1:11" x14ac:dyDescent="0.55000000000000004">
      <c r="A155">
        <v>2094</v>
      </c>
      <c r="B155">
        <f>climate_scores!H707*weights!$C$13</f>
        <v>4.7273567819223726E-2</v>
      </c>
      <c r="D155">
        <f>bird_scores!D707*weights!$C$14</f>
        <v>6.3456768638821326E-2</v>
      </c>
      <c r="F155">
        <f>size_scores!C707*weights!$C$15</f>
        <v>0.19596860999999999</v>
      </c>
      <c r="H155">
        <f>estuary_data!Z707*weights!$C$16</f>
        <v>6.465746015497249E-5</v>
      </c>
      <c r="J155">
        <f>SUM(B155:H155)</f>
        <v>0.30676360391820007</v>
      </c>
      <c r="K155" t="str">
        <f>IF(J155&gt;$N$2/5*4, "1", IF(J155&gt;$N$2/5*3, "2", IF(J155&gt;$N$2/5*2, "3", IF(J155&gt;$N$2/5, "4", "5"))))</f>
        <v>4</v>
      </c>
    </row>
    <row r="156" spans="1:11" x14ac:dyDescent="0.55000000000000004">
      <c r="A156">
        <v>2101</v>
      </c>
      <c r="B156">
        <f>climate_scores!H714*weights!$C$13</f>
        <v>4.8987371545785127E-2</v>
      </c>
      <c r="D156">
        <f>bird_scores!D714*weights!$C$14</f>
        <v>9.5846885422037703E-2</v>
      </c>
      <c r="F156">
        <f>size_scores!C714*weights!$C$15</f>
        <v>0.17637174899999999</v>
      </c>
      <c r="H156">
        <f>estuary_data!Z714*weights!$C$16</f>
        <v>4.0365591947216502E-4</v>
      </c>
      <c r="J156">
        <f>SUM(B156:H156)</f>
        <v>0.32160966188729495</v>
      </c>
      <c r="K156" t="str">
        <f>IF(J156&gt;$N$2/5*4, "1", IF(J156&gt;$N$2/5*3, "2", IF(J156&gt;$N$2/5*2, "3", IF(J156&gt;$N$2/5, "4", "5"))))</f>
        <v>3</v>
      </c>
    </row>
    <row r="157" spans="1:11" x14ac:dyDescent="0.55000000000000004">
      <c r="A157">
        <v>2102</v>
      </c>
      <c r="B157">
        <f>climate_scores!H715*weights!$C$13</f>
        <v>5.1038000650756095E-2</v>
      </c>
      <c r="D157">
        <f>bird_scores!D715*weights!$C$14</f>
        <v>6.9509362921071322E-2</v>
      </c>
      <c r="F157">
        <f>size_scores!C715*weights!$C$15</f>
        <v>0.19596860999999999</v>
      </c>
      <c r="H157">
        <f>estuary_data!Z715*weights!$C$16</f>
        <v>1.6146236778886579E-4</v>
      </c>
      <c r="J157">
        <f>SUM(B157:H157)</f>
        <v>0.31667743593961623</v>
      </c>
      <c r="K157" t="str">
        <f>IF(J157&gt;$N$2/5*4, "1", IF(J157&gt;$N$2/5*3, "2", IF(J157&gt;$N$2/5*2, "3", IF(J157&gt;$N$2/5, "4", "5"))))</f>
        <v>4</v>
      </c>
    </row>
    <row r="158" spans="1:11" x14ac:dyDescent="0.55000000000000004">
      <c r="A158">
        <v>2105</v>
      </c>
      <c r="B158">
        <f>climate_scores!H718*weights!$C$13</f>
        <v>4.7745163270041656E-2</v>
      </c>
      <c r="D158">
        <f>bird_scores!D718*weights!$C$14</f>
        <v>7.1068823561705324E-2</v>
      </c>
      <c r="F158">
        <f>size_scores!C718*weights!$C$15</f>
        <v>0.17637174899999999</v>
      </c>
      <c r="H158">
        <f>estuary_data!Z718*weights!$C$16</f>
        <v>1.3455197315738801E-4</v>
      </c>
      <c r="J158">
        <f>SUM(B158:H158)</f>
        <v>0.29532028780490438</v>
      </c>
      <c r="K158" t="str">
        <f>IF(J158&gt;$N$2/5*4, "1", IF(J158&gt;$N$2/5*3, "2", IF(J158&gt;$N$2/5*2, "3", IF(J158&gt;$N$2/5, "4", "5"))))</f>
        <v>4</v>
      </c>
    </row>
    <row r="159" spans="1:11" x14ac:dyDescent="0.55000000000000004">
      <c r="A159">
        <v>3028</v>
      </c>
      <c r="B159">
        <f>climate_scores!H751*weights!$C$13</f>
        <v>5.8979376097840826E-2</v>
      </c>
      <c r="D159">
        <f>bird_scores!D751*weights!$C$14</f>
        <v>0.11004889054570487</v>
      </c>
      <c r="F159">
        <f>size_scores!C751*weights!$C$15</f>
        <v>0.13717802699999998</v>
      </c>
      <c r="H159">
        <f>estuary_data!Z751*weights!$C$16</f>
        <v>1.1509145397809758E-3</v>
      </c>
      <c r="J159">
        <f>SUM(B159:H159)</f>
        <v>0.30735720818332668</v>
      </c>
      <c r="K159" t="str">
        <f>IF(J159&gt;$N$2/5*4, "1", IF(J159&gt;$N$2/5*3, "2", IF(J159&gt;$N$2/5*2, "3", IF(J159&gt;$N$2/5, "4", "5"))))</f>
        <v>4</v>
      </c>
    </row>
    <row r="160" spans="1:11" x14ac:dyDescent="0.55000000000000004">
      <c r="A160">
        <v>3029</v>
      </c>
      <c r="B160">
        <f>climate_scores!H752*weights!$C$13</f>
        <v>6.0336332274711753E-2</v>
      </c>
      <c r="D160">
        <f>bird_scores!D752*weights!$C$14</f>
        <v>5.6306108891219897E-2</v>
      </c>
      <c r="F160">
        <f>size_scores!C752*weights!$C$15</f>
        <v>0.13717802699999998</v>
      </c>
      <c r="H160">
        <f>estuary_data!Z752*weights!$C$16</f>
        <v>1.1509145397809758E-3</v>
      </c>
      <c r="J160">
        <f>SUM(B160:H160)</f>
        <v>0.25497138270571262</v>
      </c>
      <c r="K160" t="str">
        <f>IF(J160&gt;$N$2/5*4, "1", IF(J160&gt;$N$2/5*3, "2", IF(J160&gt;$N$2/5*2, "3", IF(J160&gt;$N$2/5, "4", "5"))))</f>
        <v>4</v>
      </c>
    </row>
    <row r="161" spans="1:11" x14ac:dyDescent="0.55000000000000004">
      <c r="A161">
        <v>7</v>
      </c>
      <c r="B161">
        <f>climate_scores!H8*weights!$C$13</f>
        <v>5.1519624036743109E-2</v>
      </c>
      <c r="D161">
        <f>bird_scores!D8*weights!$C$14</f>
        <v>5.4028312320184589E-2</v>
      </c>
      <c r="F161">
        <f>size_scores!C8*weights!$C$15</f>
        <v>7.8387444000000001E-2</v>
      </c>
      <c r="H161">
        <f>estuary_data!Z8*weights!$C$16</f>
        <v>2.1239874948353738E-2</v>
      </c>
      <c r="J161">
        <f>SUM(B161:H161)</f>
        <v>0.20517525530528144</v>
      </c>
      <c r="K161" t="str">
        <f>IF(J161&gt;$N$2/5*4, "1", IF(J161&gt;$N$2/5*3, "2", IF(J161&gt;$N$2/5*2, "3", IF(J161&gt;$N$2/5, "4", "5"))))</f>
        <v>4</v>
      </c>
    </row>
    <row r="162" spans="1:11" x14ac:dyDescent="0.55000000000000004">
      <c r="A162">
        <v>8</v>
      </c>
      <c r="B162">
        <f>climate_scores!H9*weights!$C$13</f>
        <v>4.1166056550942118E-2</v>
      </c>
      <c r="D162">
        <f>bird_scores!D9*weights!$C$14</f>
        <v>5.1767916900523139E-2</v>
      </c>
      <c r="F162">
        <f>size_scores!C9*weights!$C$15</f>
        <v>0.13717802699999998</v>
      </c>
      <c r="H162">
        <f>estuary_data!Z9*weights!$C$16</f>
        <v>1.0619937474176869E-2</v>
      </c>
      <c r="J162">
        <f>SUM(B162:H162)</f>
        <v>0.2407319379256421</v>
      </c>
      <c r="K162" t="str">
        <f>IF(J162&gt;$N$2/5*4, "1", IF(J162&gt;$N$2/5*3, "2", IF(J162&gt;$N$2/5*2, "3", IF(J162&gt;$N$2/5, "4", "5"))))</f>
        <v>4</v>
      </c>
    </row>
    <row r="163" spans="1:11" x14ac:dyDescent="0.55000000000000004">
      <c r="A163">
        <v>19</v>
      </c>
      <c r="B163">
        <f>climate_scores!H20*weights!$C$13</f>
        <v>4.9185291532422036E-2</v>
      </c>
      <c r="D163">
        <f>bird_scores!D20*weights!$C$14</f>
        <v>3.6596967866052509E-2</v>
      </c>
      <c r="F163">
        <f>size_scores!C20*weights!$C$15</f>
        <v>0.13717802699999998</v>
      </c>
      <c r="H163">
        <f>estuary_data!Z20*weights!$C$16</f>
        <v>1.3870279069892839E-2</v>
      </c>
      <c r="J163">
        <f>SUM(B163:H163)</f>
        <v>0.23683056546836737</v>
      </c>
      <c r="K163" t="str">
        <f>IF(J163&gt;$N$2/5*4, "1", IF(J163&gt;$N$2/5*3, "2", IF(J163&gt;$N$2/5*2, "3", IF(J163&gt;$N$2/5, "4", "5"))))</f>
        <v>4</v>
      </c>
    </row>
    <row r="164" spans="1:11" x14ac:dyDescent="0.55000000000000004">
      <c r="A164">
        <v>20</v>
      </c>
      <c r="B164">
        <f>climate_scores!H21*weights!$C$13</f>
        <v>5.6148535949699804E-2</v>
      </c>
      <c r="D164">
        <f>bird_scores!D21*weights!$C$14</f>
        <v>4.4315079315018692E-2</v>
      </c>
      <c r="F164">
        <f>size_scores!C21*weights!$C$15</f>
        <v>0.11758116599999999</v>
      </c>
      <c r="H164">
        <f>estuary_data!Z21*weights!$C$16</f>
        <v>0</v>
      </c>
      <c r="J164">
        <f>SUM(B164:H164)</f>
        <v>0.21804478126471849</v>
      </c>
      <c r="K164" t="str">
        <f>IF(J164&gt;$N$2/5*4, "1", IF(J164&gt;$N$2/5*3, "2", IF(J164&gt;$N$2/5*2, "3", IF(J164&gt;$N$2/5, "4", "5"))))</f>
        <v>4</v>
      </c>
    </row>
    <row r="165" spans="1:11" x14ac:dyDescent="0.55000000000000004">
      <c r="A165">
        <v>21</v>
      </c>
      <c r="B165">
        <f>climate_scores!H22*weights!$C$13</f>
        <v>5.7145372470450137E-2</v>
      </c>
      <c r="D165">
        <f>bird_scores!D22*weights!$C$14</f>
        <v>5.0989103482291374E-2</v>
      </c>
      <c r="F165">
        <f>size_scores!C22*weights!$C$15</f>
        <v>0.11758116599999999</v>
      </c>
      <c r="H165">
        <f>estuary_data!Z22*weights!$C$16</f>
        <v>2.4568804607909955E-2</v>
      </c>
      <c r="J165">
        <f>SUM(B165:H165)</f>
        <v>0.25028444656065146</v>
      </c>
      <c r="K165" t="str">
        <f>IF(J165&gt;$N$2/5*4, "1", IF(J165&gt;$N$2/5*3, "2", IF(J165&gt;$N$2/5*2, "3", IF(J165&gt;$N$2/5, "4", "5"))))</f>
        <v>4</v>
      </c>
    </row>
    <row r="166" spans="1:11" x14ac:dyDescent="0.55000000000000004">
      <c r="A166">
        <v>23</v>
      </c>
      <c r="B166">
        <f>climate_scores!H24*weights!$C$13</f>
        <v>5.253734395802559E-2</v>
      </c>
      <c r="D166">
        <f>bird_scores!D24*weights!$C$14</f>
        <v>5.1735916625079509E-2</v>
      </c>
      <c r="F166">
        <f>size_scores!C24*weights!$C$15</f>
        <v>0.156774888</v>
      </c>
      <c r="H166">
        <f>estuary_data!Z24*weights!$C$16</f>
        <v>1.7944560156654809E-2</v>
      </c>
      <c r="J166">
        <f>SUM(B166:H166)</f>
        <v>0.2789927087397599</v>
      </c>
      <c r="K166" t="str">
        <f>IF(J166&gt;$N$2/5*4, "1", IF(J166&gt;$N$2/5*3, "2", IF(J166&gt;$N$2/5*2, "3", IF(J166&gt;$N$2/5, "4", "5"))))</f>
        <v>4</v>
      </c>
    </row>
    <row r="167" spans="1:11" x14ac:dyDescent="0.55000000000000004">
      <c r="A167">
        <v>26</v>
      </c>
      <c r="B167">
        <f>climate_scores!H27*weights!$C$13</f>
        <v>5.0588714436625173E-2</v>
      </c>
      <c r="D167">
        <f>bird_scores!D27*weights!$C$14</f>
        <v>4.6981154935396681E-2</v>
      </c>
      <c r="F167">
        <f>size_scores!C27*weights!$C$15</f>
        <v>9.7984304999999994E-2</v>
      </c>
      <c r="H167">
        <f>estuary_data!Z27*weights!$C$16</f>
        <v>7.8543048402081837E-3</v>
      </c>
      <c r="J167">
        <f>SUM(B167:H167)</f>
        <v>0.20340847921223004</v>
      </c>
      <c r="K167" t="str">
        <f>IF(J167&gt;$N$2/5*4, "1", IF(J167&gt;$N$2/5*3, "2", IF(J167&gt;$N$2/5*2, "3", IF(J167&gt;$N$2/5, "4", "5"))))</f>
        <v>4</v>
      </c>
    </row>
    <row r="168" spans="1:11" x14ac:dyDescent="0.55000000000000004">
      <c r="A168">
        <v>27</v>
      </c>
      <c r="B168">
        <f>climate_scores!H28*weights!$C$13</f>
        <v>5.4355215367203585E-2</v>
      </c>
      <c r="D168">
        <f>bird_scores!D28*weights!$C$14</f>
        <v>3.802337348022445E-2</v>
      </c>
      <c r="F168">
        <f>size_scores!C28*weights!$C$15</f>
        <v>5.8790582999999993E-2</v>
      </c>
      <c r="H168">
        <f>estuary_data!Z28*weights!$C$16</f>
        <v>2.4568804607909955E-2</v>
      </c>
      <c r="J168">
        <f>SUM(B168:H168)</f>
        <v>0.17573797645533795</v>
      </c>
      <c r="K168" t="str">
        <f>IF(J168&gt;$N$2/5*4, "1", IF(J168&gt;$N$2/5*3, "2", IF(J168&gt;$N$2/5*2, "3", IF(J168&gt;$N$2/5, "4", "5"))))</f>
        <v>4</v>
      </c>
    </row>
    <row r="169" spans="1:11" x14ac:dyDescent="0.55000000000000004">
      <c r="A169">
        <v>28</v>
      </c>
      <c r="B169">
        <f>climate_scores!H29*weights!$C$13</f>
        <v>5.585791819785333E-2</v>
      </c>
      <c r="D169">
        <f>bird_scores!D29*weights!$C$14</f>
        <v>5.4776360088306275E-2</v>
      </c>
      <c r="F169">
        <f>size_scores!C29*weights!$C$15</f>
        <v>0.156774888</v>
      </c>
      <c r="H169">
        <f>estuary_data!Z29*weights!$C$16</f>
        <v>5.9387047029887197E-3</v>
      </c>
      <c r="J169">
        <f>SUM(B169:H169)</f>
        <v>0.27334787098914837</v>
      </c>
      <c r="K169" t="str">
        <f>IF(J169&gt;$N$2/5*4, "1", IF(J169&gt;$N$2/5*3, "2", IF(J169&gt;$N$2/5*2, "3", IF(J169&gt;$N$2/5, "4", "5"))))</f>
        <v>4</v>
      </c>
    </row>
    <row r="170" spans="1:11" x14ac:dyDescent="0.55000000000000004">
      <c r="A170">
        <v>30</v>
      </c>
      <c r="B170">
        <f>climate_scores!H31*weights!$C$13</f>
        <v>4.5743442065784887E-2</v>
      </c>
      <c r="D170">
        <f>bird_scores!D31*weights!$C$14</f>
        <v>2.6448822572272521E-2</v>
      </c>
      <c r="F170">
        <f>size_scores!C31*weights!$C$15</f>
        <v>0.13717802699999998</v>
      </c>
      <c r="H170">
        <f>estuary_data!Z31*weights!$C$16</f>
        <v>1.799612498469115E-2</v>
      </c>
      <c r="J170">
        <f>SUM(B170:H170)</f>
        <v>0.22736641662274854</v>
      </c>
      <c r="K170" t="str">
        <f>IF(J170&gt;$N$2/5*4, "1", IF(J170&gt;$N$2/5*3, "2", IF(J170&gt;$N$2/5*2, "3", IF(J170&gt;$N$2/5, "4", "5"))))</f>
        <v>4</v>
      </c>
    </row>
    <row r="171" spans="1:11" x14ac:dyDescent="0.55000000000000004">
      <c r="A171">
        <v>32</v>
      </c>
      <c r="B171">
        <f>climate_scores!H33*weights!$C$13</f>
        <v>6.813002024443085E-2</v>
      </c>
      <c r="D171">
        <f>bird_scores!D33*weights!$C$14</f>
        <v>4.1663812809990874E-2</v>
      </c>
      <c r="F171">
        <f>size_scores!C33*weights!$C$15</f>
        <v>5.8790582999999993E-2</v>
      </c>
      <c r="H171">
        <f>estuary_data!Z33*weights!$C$16</f>
        <v>3.0848361940698295E-2</v>
      </c>
      <c r="J171">
        <f>SUM(B171:H171)</f>
        <v>0.19943277799511999</v>
      </c>
      <c r="K171" t="str">
        <f>IF(J171&gt;$N$2/5*4, "1", IF(J171&gt;$N$2/5*3, "2", IF(J171&gt;$N$2/5*2, "3", IF(J171&gt;$N$2/5, "4", "5"))))</f>
        <v>4</v>
      </c>
    </row>
    <row r="172" spans="1:11" x14ac:dyDescent="0.55000000000000004">
      <c r="A172">
        <v>37</v>
      </c>
      <c r="B172">
        <f>climate_scores!H38*weights!$C$13</f>
        <v>4.3353481211501892E-2</v>
      </c>
      <c r="D172">
        <f>bird_scores!D38*weights!$C$14</f>
        <v>4.724717069509668E-2</v>
      </c>
      <c r="F172">
        <f>size_scores!C38*weights!$C$15</f>
        <v>0.11758116599999999</v>
      </c>
      <c r="H172">
        <f>estuary_data!Z38*weights!$C$16</f>
        <v>3.5992249969382301E-2</v>
      </c>
      <c r="J172">
        <f>SUM(B172:H172)</f>
        <v>0.24417406787598087</v>
      </c>
      <c r="K172" t="str">
        <f>IF(J172&gt;$N$2/5*4, "1", IF(J172&gt;$N$2/5*3, "2", IF(J172&gt;$N$2/5*2, "3", IF(J172&gt;$N$2/5, "4", "5"))))</f>
        <v>4</v>
      </c>
    </row>
    <row r="173" spans="1:11" x14ac:dyDescent="0.55000000000000004">
      <c r="A173">
        <v>38</v>
      </c>
      <c r="B173">
        <f>climate_scores!H39*weights!$C$13</f>
        <v>4.49738045317759E-2</v>
      </c>
      <c r="D173">
        <f>bird_scores!D39*weights!$C$14</f>
        <v>3.5913471282386235E-2</v>
      </c>
      <c r="F173">
        <f>size_scores!C39*weights!$C$15</f>
        <v>7.8387444000000001E-2</v>
      </c>
      <c r="H173">
        <f>estuary_data!Z39*weights!$C$16</f>
        <v>3.5992249969382301E-2</v>
      </c>
      <c r="J173">
        <f>SUM(B173:H173)</f>
        <v>0.19526696978354444</v>
      </c>
      <c r="K173" t="str">
        <f>IF(J173&gt;$N$2/5*4, "1", IF(J173&gt;$N$2/5*3, "2", IF(J173&gt;$N$2/5*2, "3", IF(J173&gt;$N$2/5, "4", "5"))))</f>
        <v>4</v>
      </c>
    </row>
    <row r="174" spans="1:11" x14ac:dyDescent="0.55000000000000004">
      <c r="A174">
        <v>39</v>
      </c>
      <c r="B174">
        <f>climate_scores!H40*weights!$C$13</f>
        <v>5.5839790221616017E-2</v>
      </c>
      <c r="D174">
        <f>bird_scores!D40*weights!$C$14</f>
        <v>5.047697065074342E-2</v>
      </c>
      <c r="F174">
        <f>size_scores!C40*weights!$C$15</f>
        <v>5.8790582999999993E-2</v>
      </c>
      <c r="H174">
        <f>estuary_data!Z40*weights!$C$16</f>
        <v>2.3754818811954917E-2</v>
      </c>
      <c r="J174">
        <f>SUM(B174:H174)</f>
        <v>0.18886216268431433</v>
      </c>
      <c r="K174" t="str">
        <f>IF(J174&gt;$N$2/5*4, "1", IF(J174&gt;$N$2/5*3, "2", IF(J174&gt;$N$2/5*2, "3", IF(J174&gt;$N$2/5, "4", "5"))))</f>
        <v>4</v>
      </c>
    </row>
    <row r="175" spans="1:11" x14ac:dyDescent="0.55000000000000004">
      <c r="A175">
        <v>40</v>
      </c>
      <c r="B175">
        <f>climate_scores!H41*weights!$C$13</f>
        <v>4.9755686891710373E-2</v>
      </c>
      <c r="D175">
        <f>bird_scores!D41*weights!$C$14</f>
        <v>2.4696480166050808E-2</v>
      </c>
      <c r="F175">
        <f>size_scores!C41*weights!$C$15</f>
        <v>7.8387444000000001E-2</v>
      </c>
      <c r="H175">
        <f>estuary_data!Z41*weights!$C$16</f>
        <v>3.6116005556669634E-2</v>
      </c>
      <c r="J175">
        <f>SUM(B175:H175)</f>
        <v>0.1889556166144308</v>
      </c>
      <c r="K175" t="str">
        <f>IF(J175&gt;$N$2/5*4, "1", IF(J175&gt;$N$2/5*3, "2", IF(J175&gt;$N$2/5*2, "3", IF(J175&gt;$N$2/5, "4", "5"))))</f>
        <v>4</v>
      </c>
    </row>
    <row r="176" spans="1:11" x14ac:dyDescent="0.55000000000000004">
      <c r="A176">
        <v>41</v>
      </c>
      <c r="B176">
        <f>climate_scores!H42*weights!$C$13</f>
        <v>4.90766462851994E-2</v>
      </c>
      <c r="D176">
        <f>bird_scores!D42*weights!$C$14</f>
        <v>3.2873380498824115E-2</v>
      </c>
      <c r="F176">
        <f>size_scores!C42*weights!$C$15</f>
        <v>7.8387444000000001E-2</v>
      </c>
      <c r="H176">
        <f>estuary_data!Z42*weights!$C$16</f>
        <v>3.6116005556669634E-2</v>
      </c>
      <c r="J176">
        <f>SUM(B176:H176)</f>
        <v>0.19645347634069316</v>
      </c>
      <c r="K176" t="str">
        <f>IF(J176&gt;$N$2/5*4, "1", IF(J176&gt;$N$2/5*3, "2", IF(J176&gt;$N$2/5*2, "3", IF(J176&gt;$N$2/5, "4", "5"))))</f>
        <v>4</v>
      </c>
    </row>
    <row r="177" spans="1:11" x14ac:dyDescent="0.55000000000000004">
      <c r="A177">
        <v>42</v>
      </c>
      <c r="B177">
        <f>climate_scores!H43*weights!$C$13</f>
        <v>4.912258123856874E-2</v>
      </c>
      <c r="D177">
        <f>bird_scores!D43*weights!$C$14</f>
        <v>5.0035510847268726E-2</v>
      </c>
      <c r="F177">
        <f>size_scores!C43*weights!$C$15</f>
        <v>7.8387444000000001E-2</v>
      </c>
      <c r="H177">
        <f>estuary_data!Z43*weights!$C$16</f>
        <v>3.5992249969382301E-2</v>
      </c>
      <c r="J177">
        <f>SUM(B177:H177)</f>
        <v>0.21353778605521975</v>
      </c>
      <c r="K177" t="str">
        <f>IF(J177&gt;$N$2/5*4, "1", IF(J177&gt;$N$2/5*3, "2", IF(J177&gt;$N$2/5*2, "3", IF(J177&gt;$N$2/5, "4", "5"))))</f>
        <v>4</v>
      </c>
    </row>
    <row r="178" spans="1:11" x14ac:dyDescent="0.55000000000000004">
      <c r="A178">
        <v>43</v>
      </c>
      <c r="B178">
        <f>climate_scores!H44*weights!$C$13</f>
        <v>4.345203430214372E-2</v>
      </c>
      <c r="D178">
        <f>bird_scores!D44*weights!$C$14</f>
        <v>4.8224049985494268E-2</v>
      </c>
      <c r="F178">
        <f>size_scores!C44*weights!$C$15</f>
        <v>9.7984304999999994E-2</v>
      </c>
      <c r="H178">
        <f>estuary_data!Z44*weights!$C$16</f>
        <v>2.0427728906780959E-2</v>
      </c>
      <c r="J178">
        <f>SUM(B178:H178)</f>
        <v>0.21008811819441894</v>
      </c>
      <c r="K178" t="str">
        <f>IF(J178&gt;$N$2/5*4, "1", IF(J178&gt;$N$2/5*3, "2", IF(J178&gt;$N$2/5*2, "3", IF(J178&gt;$N$2/5, "4", "5"))))</f>
        <v>4</v>
      </c>
    </row>
    <row r="179" spans="1:11" x14ac:dyDescent="0.55000000000000004">
      <c r="A179">
        <v>44</v>
      </c>
      <c r="B179">
        <f>climate_scores!H45*weights!$C$13</f>
        <v>4.2908298726393589E-2</v>
      </c>
      <c r="D179">
        <f>bird_scores!D45*weights!$C$14</f>
        <v>5.2425970568566342E-2</v>
      </c>
      <c r="F179">
        <f>size_scores!C45*weights!$C$15</f>
        <v>0.156774888</v>
      </c>
      <c r="H179">
        <f>estuary_data!Z45*weights!$C$16</f>
        <v>1.1473916576279669E-2</v>
      </c>
      <c r="J179">
        <f>SUM(B179:H179)</f>
        <v>0.26358307387123958</v>
      </c>
      <c r="K179" t="str">
        <f>IF(J179&gt;$N$2/5*4, "1", IF(J179&gt;$N$2/5*3, "2", IF(J179&gt;$N$2/5*2, "3", IF(J179&gt;$N$2/5, "4", "5"))))</f>
        <v>4</v>
      </c>
    </row>
    <row r="180" spans="1:11" x14ac:dyDescent="0.55000000000000004">
      <c r="A180">
        <v>46</v>
      </c>
      <c r="B180">
        <f>climate_scores!H47*weights!$C$13</f>
        <v>6.6791125614121385E-2</v>
      </c>
      <c r="D180">
        <f>bird_scores!D47*weights!$C$14</f>
        <v>4.7748970884416E-2</v>
      </c>
      <c r="F180">
        <f>size_scores!C47*weights!$C$15</f>
        <v>0.11758116599999999</v>
      </c>
      <c r="H180">
        <f>estuary_data!Z47*weights!$C$16</f>
        <v>3.0342678497648174E-2</v>
      </c>
      <c r="J180">
        <f>SUM(B180:H180)</f>
        <v>0.26246394099618553</v>
      </c>
      <c r="K180" t="str">
        <f>IF(J180&gt;$N$2/5*4, "1", IF(J180&gt;$N$2/5*3, "2", IF(J180&gt;$N$2/5*2, "3", IF(J180&gt;$N$2/5, "4", "5"))))</f>
        <v>4</v>
      </c>
    </row>
    <row r="181" spans="1:11" x14ac:dyDescent="0.55000000000000004">
      <c r="A181">
        <v>47</v>
      </c>
      <c r="B181">
        <f>climate_scores!H48*weights!$C$13</f>
        <v>6.0518034969423498E-2</v>
      </c>
      <c r="D181">
        <f>bird_scores!D48*weights!$C$14</f>
        <v>5.0578497404573521E-2</v>
      </c>
      <c r="F181">
        <f>size_scores!C48*weights!$C$15</f>
        <v>9.7984304999999994E-2</v>
      </c>
      <c r="H181">
        <f>estuary_data!Z48*weights!$C$16</f>
        <v>1.5171339248824087E-2</v>
      </c>
      <c r="J181">
        <f>SUM(B181:H181)</f>
        <v>0.2242521766228211</v>
      </c>
      <c r="K181" t="str">
        <f>IF(J181&gt;$N$2/5*4, "1", IF(J181&gt;$N$2/5*3, "2", IF(J181&gt;$N$2/5*2, "3", IF(J181&gt;$N$2/5, "4", "5"))))</f>
        <v>4</v>
      </c>
    </row>
    <row r="182" spans="1:11" x14ac:dyDescent="0.55000000000000004">
      <c r="A182">
        <v>48</v>
      </c>
      <c r="B182">
        <f>climate_scores!H49*weights!$C$13</f>
        <v>4.8961226880583478E-2</v>
      </c>
      <c r="D182">
        <f>bird_scores!D49*weights!$C$14</f>
        <v>5.4305745066076161E-2</v>
      </c>
      <c r="F182">
        <f>size_scores!C49*weights!$C$15</f>
        <v>9.7984304999999994E-2</v>
      </c>
      <c r="H182">
        <f>estuary_data!Z49*weights!$C$16</f>
        <v>3.0342678497648174E-2</v>
      </c>
      <c r="J182">
        <f>SUM(B182:H182)</f>
        <v>0.2315939554443078</v>
      </c>
      <c r="K182" t="str">
        <f>IF(J182&gt;$N$2/5*4, "1", IF(J182&gt;$N$2/5*3, "2", IF(J182&gt;$N$2/5*2, "3", IF(J182&gt;$N$2/5, "4", "5"))))</f>
        <v>4</v>
      </c>
    </row>
    <row r="183" spans="1:11" x14ac:dyDescent="0.55000000000000004">
      <c r="A183">
        <v>49</v>
      </c>
      <c r="B183">
        <f>climate_scores!H50*weights!$C$13</f>
        <v>6.0543706172056781E-2</v>
      </c>
      <c r="D183">
        <f>bird_scores!D50*weights!$C$14</f>
        <v>4.4219161622034285E-2</v>
      </c>
      <c r="F183">
        <f>size_scores!C50*weights!$C$15</f>
        <v>9.7984304999999994E-2</v>
      </c>
      <c r="H183">
        <f>estuary_data!Z50*weights!$C$16</f>
        <v>3.4457660476243226E-2</v>
      </c>
      <c r="J183">
        <f>SUM(B183:H183)</f>
        <v>0.23720483327033426</v>
      </c>
      <c r="K183" t="str">
        <f>IF(J183&gt;$N$2/5*4, "1", IF(J183&gt;$N$2/5*3, "2", IF(J183&gt;$N$2/5*2, "3", IF(J183&gt;$N$2/5, "4", "5"))))</f>
        <v>4</v>
      </c>
    </row>
    <row r="184" spans="1:11" x14ac:dyDescent="0.55000000000000004">
      <c r="A184">
        <v>50</v>
      </c>
      <c r="B184">
        <f>climate_scores!H51*weights!$C$13</f>
        <v>7.5650721854470152E-2</v>
      </c>
      <c r="D184">
        <f>bird_scores!D51*weights!$C$14</f>
        <v>4.8905900139084149E-2</v>
      </c>
      <c r="F184">
        <f>size_scores!C51*weights!$C$15</f>
        <v>0.156774888</v>
      </c>
      <c r="H184">
        <f>estuary_data!Z51*weights!$C$16</f>
        <v>1.7228830238121565E-2</v>
      </c>
      <c r="J184">
        <f>SUM(B184:H184)</f>
        <v>0.29856034023167582</v>
      </c>
      <c r="K184" t="str">
        <f>IF(J184&gt;$N$2/5*4, "1", IF(J184&gt;$N$2/5*3, "2", IF(J184&gt;$N$2/5*2, "3", IF(J184&gt;$N$2/5, "4", "5"))))</f>
        <v>4</v>
      </c>
    </row>
    <row r="185" spans="1:11" x14ac:dyDescent="0.55000000000000004">
      <c r="A185">
        <v>51</v>
      </c>
      <c r="B185">
        <f>climate_scores!H52*weights!$C$13</f>
        <v>6.9646617411808179E-2</v>
      </c>
      <c r="D185">
        <f>bird_scores!D52*weights!$C$14</f>
        <v>4.9883490037459031E-2</v>
      </c>
      <c r="F185">
        <f>size_scores!C52*weights!$C$15</f>
        <v>0.13717802699999998</v>
      </c>
      <c r="H185">
        <f>estuary_data!Z52*weights!$C$16</f>
        <v>1.7228830238121565E-2</v>
      </c>
      <c r="J185">
        <f>SUM(B185:H185)</f>
        <v>0.27393696468738876</v>
      </c>
      <c r="K185" t="str">
        <f>IF(J185&gt;$N$2/5*4, "1", IF(J185&gt;$N$2/5*3, "2", IF(J185&gt;$N$2/5*2, "3", IF(J185&gt;$N$2/5, "4", "5"))))</f>
        <v>4</v>
      </c>
    </row>
    <row r="186" spans="1:11" x14ac:dyDescent="0.55000000000000004">
      <c r="A186">
        <v>52</v>
      </c>
      <c r="B186">
        <f>climate_scores!H53*weights!$C$13</f>
        <v>6.8605544572492877E-2</v>
      </c>
      <c r="D186">
        <f>bird_scores!D53*weights!$C$14</f>
        <v>2.8031146881488674E-2</v>
      </c>
      <c r="F186">
        <f>size_scores!C53*weights!$C$15</f>
        <v>9.7984304999999994E-2</v>
      </c>
      <c r="H186">
        <f>estuary_data!Z53*weights!$C$16</f>
        <v>1.7228830238121565E-2</v>
      </c>
      <c r="J186">
        <f>SUM(B186:H186)</f>
        <v>0.21184982669210312</v>
      </c>
      <c r="K186" t="str">
        <f>IF(J186&gt;$N$2/5*4, "1", IF(J186&gt;$N$2/5*3, "2", IF(J186&gt;$N$2/5*2, "3", IF(J186&gt;$N$2/5, "4", "5"))))</f>
        <v>4</v>
      </c>
    </row>
    <row r="187" spans="1:11" x14ac:dyDescent="0.55000000000000004">
      <c r="A187">
        <v>53</v>
      </c>
      <c r="B187">
        <f>climate_scores!H54*weights!$C$13</f>
        <v>6.8818110271233163E-2</v>
      </c>
      <c r="D187">
        <f>bird_scores!D54*weights!$C$14</f>
        <v>2.4838092955949378E-2</v>
      </c>
      <c r="F187">
        <f>size_scores!C54*weights!$C$15</f>
        <v>0.13717802699999998</v>
      </c>
      <c r="H187">
        <f>estuary_data!Z54*weights!$C$16</f>
        <v>1.0282787313566098E-2</v>
      </c>
      <c r="J187">
        <f>SUM(B187:H187)</f>
        <v>0.24111701754074863</v>
      </c>
      <c r="K187" t="str">
        <f>IF(J187&gt;$N$2/5*4, "1", IF(J187&gt;$N$2/5*3, "2", IF(J187&gt;$N$2/5*2, "3", IF(J187&gt;$N$2/5, "4", "5"))))</f>
        <v>4</v>
      </c>
    </row>
    <row r="188" spans="1:11" x14ac:dyDescent="0.55000000000000004">
      <c r="A188">
        <v>54</v>
      </c>
      <c r="B188">
        <f>climate_scores!H55*weights!$C$13</f>
        <v>7.1933539652807729E-2</v>
      </c>
      <c r="D188">
        <f>bird_scores!D55*weights!$C$14</f>
        <v>1.2405954960062119E-2</v>
      </c>
      <c r="F188">
        <f>size_scores!C55*weights!$C$15</f>
        <v>0.11758116599999999</v>
      </c>
      <c r="H188">
        <f>estuary_data!Z55*weights!$C$16</f>
        <v>1.5424180970349147E-2</v>
      </c>
      <c r="J188">
        <f>SUM(B188:H188)</f>
        <v>0.21734484158321898</v>
      </c>
      <c r="K188" t="str">
        <f>IF(J188&gt;$N$2/5*4, "1", IF(J188&gt;$N$2/5*3, "2", IF(J188&gt;$N$2/5*2, "3", IF(J188&gt;$N$2/5, "4", "5"))))</f>
        <v>4</v>
      </c>
    </row>
    <row r="189" spans="1:11" x14ac:dyDescent="0.55000000000000004">
      <c r="A189">
        <v>55</v>
      </c>
      <c r="B189">
        <f>climate_scores!H56*weights!$C$13</f>
        <v>7.1671901773525323E-2</v>
      </c>
      <c r="D189">
        <f>bird_scores!D56*weights!$C$14</f>
        <v>4.5248129976353298E-3</v>
      </c>
      <c r="F189">
        <f>size_scores!C56*weights!$C$15</f>
        <v>0.13717802699999998</v>
      </c>
      <c r="H189">
        <f>estuary_data!Z56*weights!$C$16</f>
        <v>1.0282787313566098E-2</v>
      </c>
      <c r="J189">
        <f>SUM(B189:H189)</f>
        <v>0.22365752908472672</v>
      </c>
      <c r="K189" t="str">
        <f>IF(J189&gt;$N$2/5*4, "1", IF(J189&gt;$N$2/5*3, "2", IF(J189&gt;$N$2/5*2, "3", IF(J189&gt;$N$2/5, "4", "5"))))</f>
        <v>4</v>
      </c>
    </row>
    <row r="190" spans="1:11" x14ac:dyDescent="0.55000000000000004">
      <c r="A190">
        <v>56</v>
      </c>
      <c r="B190">
        <f>climate_scores!H57*weights!$C$13</f>
        <v>8.1311258944303091E-2</v>
      </c>
      <c r="D190">
        <f>bird_scores!D57*weights!$C$14</f>
        <v>5.1259590022456015E-3</v>
      </c>
      <c r="F190">
        <f>size_scores!C57*weights!$C$15</f>
        <v>0.156774888</v>
      </c>
      <c r="H190">
        <f>estuary_data!Z57*weights!$C$16</f>
        <v>1.1485886825414376E-2</v>
      </c>
      <c r="J190">
        <f>SUM(B190:H190)</f>
        <v>0.25469799277196303</v>
      </c>
      <c r="K190" t="str">
        <f>IF(J190&gt;$N$2/5*4, "1", IF(J190&gt;$N$2/5*3, "2", IF(J190&gt;$N$2/5*2, "3", IF(J190&gt;$N$2/5, "4", "5"))))</f>
        <v>4</v>
      </c>
    </row>
    <row r="191" spans="1:11" x14ac:dyDescent="0.55000000000000004">
      <c r="A191">
        <v>57</v>
      </c>
      <c r="B191">
        <f>climate_scores!H58*weights!$C$13</f>
        <v>7.8669435418170439E-2</v>
      </c>
      <c r="D191">
        <f>bird_scores!D58*weights!$C$14</f>
        <v>9.6832867926098902E-3</v>
      </c>
      <c r="F191">
        <f>size_scores!C58*weights!$C$15</f>
        <v>9.7984304999999994E-2</v>
      </c>
      <c r="H191">
        <f>estuary_data!Z58*weights!$C$16</f>
        <v>3.4457660476243226E-2</v>
      </c>
      <c r="J191">
        <f>SUM(B191:H191)</f>
        <v>0.22079468768702354</v>
      </c>
      <c r="K191" t="str">
        <f>IF(J191&gt;$N$2/5*4, "1", IF(J191&gt;$N$2/5*3, "2", IF(J191&gt;$N$2/5*2, "3", IF(J191&gt;$N$2/5, "4", "5"))))</f>
        <v>4</v>
      </c>
    </row>
    <row r="192" spans="1:11" x14ac:dyDescent="0.55000000000000004">
      <c r="A192">
        <v>58</v>
      </c>
      <c r="B192">
        <f>climate_scores!H59*weights!$C$13</f>
        <v>8.0794916780847936E-2</v>
      </c>
      <c r="D192">
        <f>bird_scores!D59*weights!$C$14</f>
        <v>1.156499940720554E-2</v>
      </c>
      <c r="F192">
        <f>size_scores!C59*weights!$C$15</f>
        <v>7.8387444000000001E-2</v>
      </c>
      <c r="H192">
        <f>estuary_data!Z59*weights!$C$16</f>
        <v>3.4457660476243226E-2</v>
      </c>
      <c r="J192">
        <f>SUM(B192:H192)</f>
        <v>0.20520502066429669</v>
      </c>
      <c r="K192" t="str">
        <f>IF(J192&gt;$N$2/5*4, "1", IF(J192&gt;$N$2/5*3, "2", IF(J192&gt;$N$2/5*2, "3", IF(J192&gt;$N$2/5, "4", "5"))))</f>
        <v>4</v>
      </c>
    </row>
    <row r="193" spans="1:11" x14ac:dyDescent="0.55000000000000004">
      <c r="A193">
        <v>59</v>
      </c>
      <c r="B193">
        <f>climate_scores!H60*weights!$C$13</f>
        <v>5.7007746708532432E-2</v>
      </c>
      <c r="D193">
        <f>bird_scores!D60*weights!$C$14</f>
        <v>1.9405800068124899E-2</v>
      </c>
      <c r="F193">
        <f>size_scores!C60*weights!$C$15</f>
        <v>0.13717802699999998</v>
      </c>
      <c r="H193">
        <f>estuary_data!Z60*weights!$C$16</f>
        <v>1.7228830238121565E-2</v>
      </c>
      <c r="J193">
        <f>SUM(B193:H193)</f>
        <v>0.23082040401477888</v>
      </c>
      <c r="K193" t="str">
        <f>IF(J193&gt;$N$2/5*4, "1", IF(J193&gt;$N$2/5*3, "2", IF(J193&gt;$N$2/5*2, "3", IF(J193&gt;$N$2/5, "4", "5"))))</f>
        <v>4</v>
      </c>
    </row>
    <row r="194" spans="1:11" x14ac:dyDescent="0.55000000000000004">
      <c r="A194">
        <v>61</v>
      </c>
      <c r="B194">
        <f>climate_scores!H62*weights!$C$13</f>
        <v>7.0854483129986254E-2</v>
      </c>
      <c r="D194">
        <f>bird_scores!D62*weights!$C$14</f>
        <v>3.924597849780613E-2</v>
      </c>
      <c r="F194">
        <f>size_scores!C62*weights!$C$15</f>
        <v>5.8790582999999993E-2</v>
      </c>
      <c r="H194">
        <f>estuary_data!Z62*weights!$C$16</f>
        <v>3.4457660476243226E-2</v>
      </c>
      <c r="J194">
        <f>SUM(B194:H194)</f>
        <v>0.20334870510403558</v>
      </c>
      <c r="K194" t="str">
        <f>IF(J194&gt;$N$2/5*4, "1", IF(J194&gt;$N$2/5*3, "2", IF(J194&gt;$N$2/5*2, "3", IF(J194&gt;$N$2/5, "4", "5"))))</f>
        <v>4</v>
      </c>
    </row>
    <row r="195" spans="1:11" x14ac:dyDescent="0.55000000000000004">
      <c r="A195">
        <v>62</v>
      </c>
      <c r="B195">
        <f>climate_scores!H63*weights!$C$13</f>
        <v>3.6245183814397591E-2</v>
      </c>
      <c r="D195">
        <f>bird_scores!D63*weights!$C$14</f>
        <v>4.9986815814962275E-2</v>
      </c>
      <c r="F195">
        <f>size_scores!C63*weights!$C$15</f>
        <v>0.11758116599999999</v>
      </c>
      <c r="H195">
        <f>estuary_data!Z63*weights!$C$16</f>
        <v>2.4767315841706009E-2</v>
      </c>
      <c r="J195">
        <f>SUM(B195:H195)</f>
        <v>0.22858048147106586</v>
      </c>
      <c r="K195" t="str">
        <f>IF(J195&gt;$N$2/5*4, "1", IF(J195&gt;$N$2/5*3, "2", IF(J195&gt;$N$2/5*2, "3", IF(J195&gt;$N$2/5, "4", "5"))))</f>
        <v>4</v>
      </c>
    </row>
    <row r="196" spans="1:11" x14ac:dyDescent="0.55000000000000004">
      <c r="A196">
        <v>63</v>
      </c>
      <c r="B196">
        <f>climate_scores!H64*weights!$C$13</f>
        <v>3.7468267027989423E-2</v>
      </c>
      <c r="D196">
        <f>bird_scores!D64*weights!$C$14</f>
        <v>5.4034553020495209E-2</v>
      </c>
      <c r="F196">
        <f>size_scores!C64*weights!$C$15</f>
        <v>7.8387444000000001E-2</v>
      </c>
      <c r="H196">
        <f>estuary_data!Z64*weights!$C$16</f>
        <v>1.3870279069892839E-2</v>
      </c>
      <c r="J196">
        <f>SUM(B196:H196)</f>
        <v>0.18376054311837745</v>
      </c>
      <c r="K196" t="str">
        <f>IF(J196&gt;$N$2/5*4, "1", IF(J196&gt;$N$2/5*3, "2", IF(J196&gt;$N$2/5*2, "3", IF(J196&gt;$N$2/5, "4", "5"))))</f>
        <v>4</v>
      </c>
    </row>
    <row r="197" spans="1:11" x14ac:dyDescent="0.55000000000000004">
      <c r="A197">
        <v>64</v>
      </c>
      <c r="B197">
        <f>climate_scores!H65*weights!$C$13</f>
        <v>3.8317914878526746E-2</v>
      </c>
      <c r="D197">
        <f>bird_scores!D65*weights!$C$14</f>
        <v>4.7484944222592536E-2</v>
      </c>
      <c r="F197">
        <f>size_scores!C65*weights!$C$15</f>
        <v>5.8790582999999993E-2</v>
      </c>
      <c r="H197">
        <f>estuary_data!Z65*weights!$C$16</f>
        <v>2.4767315841706009E-2</v>
      </c>
      <c r="J197">
        <f>SUM(B197:H197)</f>
        <v>0.16936075794282529</v>
      </c>
      <c r="K197" t="str">
        <f>IF(J197&gt;$N$2/5*4, "1", IF(J197&gt;$N$2/5*3, "2", IF(J197&gt;$N$2/5*2, "3", IF(J197&gt;$N$2/5, "4", "5"))))</f>
        <v>4</v>
      </c>
    </row>
    <row r="198" spans="1:11" x14ac:dyDescent="0.55000000000000004">
      <c r="A198">
        <v>65</v>
      </c>
      <c r="B198">
        <f>climate_scores!H66*weights!$C$13</f>
        <v>3.7720868217079769E-2</v>
      </c>
      <c r="D198">
        <f>bird_scores!D66*weights!$C$14</f>
        <v>4.1251995887759151E-2</v>
      </c>
      <c r="F198">
        <f>size_scores!C66*weights!$C$15</f>
        <v>9.7984304999999994E-2</v>
      </c>
      <c r="H198">
        <f>estuary_data!Z66*weights!$C$16</f>
        <v>1.2383657920852956E-2</v>
      </c>
      <c r="J198">
        <f>SUM(B198:H198)</f>
        <v>0.18934082702569188</v>
      </c>
      <c r="K198" t="str">
        <f>IF(J198&gt;$N$2/5*4, "1", IF(J198&gt;$N$2/5*3, "2", IF(J198&gt;$N$2/5*2, "3", IF(J198&gt;$N$2/5, "4", "5"))))</f>
        <v>4</v>
      </c>
    </row>
    <row r="199" spans="1:11" x14ac:dyDescent="0.55000000000000004">
      <c r="A199">
        <v>66</v>
      </c>
      <c r="B199">
        <f>climate_scores!H67*weights!$C$13</f>
        <v>3.6044924309233874E-2</v>
      </c>
      <c r="D199">
        <f>bird_scores!D67*weights!$C$14</f>
        <v>4.3637934677773375E-2</v>
      </c>
      <c r="F199">
        <f>size_scores!C67*weights!$C$15</f>
        <v>0.11758116599999999</v>
      </c>
      <c r="H199">
        <f>estuary_data!Z67*weights!$C$16</f>
        <v>2.4767315841706009E-2</v>
      </c>
      <c r="J199">
        <f>SUM(B199:H199)</f>
        <v>0.22203134082871323</v>
      </c>
      <c r="K199" t="str">
        <f>IF(J199&gt;$N$2/5*4, "1", IF(J199&gt;$N$2/5*3, "2", IF(J199&gt;$N$2/5*2, "3", IF(J199&gt;$N$2/5, "4", "5"))))</f>
        <v>4</v>
      </c>
    </row>
    <row r="200" spans="1:11" x14ac:dyDescent="0.55000000000000004">
      <c r="A200">
        <v>67</v>
      </c>
      <c r="B200">
        <f>climate_scores!H68*weights!$C$13</f>
        <v>3.5267244168986772E-2</v>
      </c>
      <c r="D200">
        <f>bird_scores!D68*weights!$C$14</f>
        <v>5.1591280856976958E-2</v>
      </c>
      <c r="F200">
        <f>size_scores!C68*weights!$C$15</f>
        <v>5.8790582999999993E-2</v>
      </c>
      <c r="H200">
        <f>estuary_data!Z68*weights!$C$16</f>
        <v>2.4767315841706009E-2</v>
      </c>
      <c r="J200">
        <f>SUM(B200:H200)</f>
        <v>0.1704164238676697</v>
      </c>
      <c r="K200" t="str">
        <f>IF(J200&gt;$N$2/5*4, "1", IF(J200&gt;$N$2/5*3, "2", IF(J200&gt;$N$2/5*2, "3", IF(J200&gt;$N$2/5, "4", "5"))))</f>
        <v>4</v>
      </c>
    </row>
    <row r="201" spans="1:11" x14ac:dyDescent="0.55000000000000004">
      <c r="A201">
        <v>69</v>
      </c>
      <c r="B201">
        <f>climate_scores!H70*weights!$C$13</f>
        <v>4.7078032390009544E-2</v>
      </c>
      <c r="D201">
        <f>bird_scores!D70*weights!$C$14</f>
        <v>5.5277313037037881E-2</v>
      </c>
      <c r="F201">
        <f>size_scores!C70*weights!$C$15</f>
        <v>9.7984304999999994E-2</v>
      </c>
      <c r="H201">
        <f>estuary_data!Z70*weights!$C$16</f>
        <v>2.4767315841706009E-2</v>
      </c>
      <c r="J201">
        <f>SUM(B201:H201)</f>
        <v>0.22510696626875343</v>
      </c>
      <c r="K201" t="str">
        <f>IF(J201&gt;$N$2/5*4, "1", IF(J201&gt;$N$2/5*3, "2", IF(J201&gt;$N$2/5*2, "3", IF(J201&gt;$N$2/5, "4", "5"))))</f>
        <v>4</v>
      </c>
    </row>
    <row r="202" spans="1:11" x14ac:dyDescent="0.55000000000000004">
      <c r="A202">
        <v>72</v>
      </c>
      <c r="B202">
        <f>climate_scores!H73*weights!$C$13</f>
        <v>6.7492785317015691E-2</v>
      </c>
      <c r="D202">
        <f>bird_scores!D73*weights!$C$14</f>
        <v>5.4002921536050366E-2</v>
      </c>
      <c r="F202">
        <f>size_scores!C73*weights!$C$15</f>
        <v>0.13717802699999998</v>
      </c>
      <c r="H202">
        <f>estuary_data!Z73*weights!$C$16</f>
        <v>4.1115422161567532E-3</v>
      </c>
      <c r="J202">
        <f>SUM(B202:H202)</f>
        <v>0.26278527606922275</v>
      </c>
      <c r="K202" t="str">
        <f>IF(J202&gt;$N$2/5*4, "1", IF(J202&gt;$N$2/5*3, "2", IF(J202&gt;$N$2/5*2, "3", IF(J202&gt;$N$2/5, "4", "5"))))</f>
        <v>4</v>
      </c>
    </row>
    <row r="203" spans="1:11" x14ac:dyDescent="0.55000000000000004">
      <c r="A203">
        <v>73</v>
      </c>
      <c r="B203">
        <f>climate_scores!H74*weights!$C$13</f>
        <v>6.5975539454474888E-2</v>
      </c>
      <c r="D203">
        <f>bird_scores!D74*weights!$C$14</f>
        <v>4.0627151877329751E-2</v>
      </c>
      <c r="F203">
        <f>size_scores!C74*weights!$C$15</f>
        <v>0.11758116599999999</v>
      </c>
      <c r="H203">
        <f>estuary_data!Z74*weights!$C$16</f>
        <v>0</v>
      </c>
      <c r="J203">
        <f>SUM(B203:H203)</f>
        <v>0.22418385733180463</v>
      </c>
      <c r="K203" t="str">
        <f>IF(J203&gt;$N$2/5*4, "1", IF(J203&gt;$N$2/5*3, "2", IF(J203&gt;$N$2/5*2, "3", IF(J203&gt;$N$2/5, "4", "5"))))</f>
        <v>4</v>
      </c>
    </row>
    <row r="204" spans="1:11" x14ac:dyDescent="0.55000000000000004">
      <c r="A204">
        <v>76</v>
      </c>
      <c r="B204">
        <f>climate_scores!H77*weights!$C$13</f>
        <v>6.6576509316959728E-2</v>
      </c>
      <c r="D204">
        <f>bird_scores!D77*weights!$C$14</f>
        <v>3.1446421368624605E-2</v>
      </c>
      <c r="F204">
        <f>size_scores!C77*weights!$C$15</f>
        <v>5.8790582999999993E-2</v>
      </c>
      <c r="H204">
        <f>estuary_data!Z77*weights!$C$16</f>
        <v>0</v>
      </c>
      <c r="J204">
        <f>SUM(B204:H204)</f>
        <v>0.15681351368558433</v>
      </c>
      <c r="K204" t="str">
        <f>IF(J204&gt;$N$2/5*4, "1", IF(J204&gt;$N$2/5*3, "2", IF(J204&gt;$N$2/5*2, "3", IF(J204&gt;$N$2/5, "4", "5"))))</f>
        <v>5</v>
      </c>
    </row>
    <row r="205" spans="1:11" x14ac:dyDescent="0.55000000000000004">
      <c r="A205">
        <v>78</v>
      </c>
      <c r="B205">
        <f>climate_scores!H79*weights!$C$13</f>
        <v>6.4363447400789531E-2</v>
      </c>
      <c r="D205">
        <f>bird_scores!D79*weights!$C$14</f>
        <v>5.3628661543255088E-2</v>
      </c>
      <c r="F205">
        <f>size_scores!C79*weights!$C$15</f>
        <v>0.156774888</v>
      </c>
      <c r="H205">
        <f>estuary_data!Z79*weights!$C$16</f>
        <v>0</v>
      </c>
      <c r="J205">
        <f>SUM(B205:H205)</f>
        <v>0.27476699694404461</v>
      </c>
      <c r="K205" t="str">
        <f>IF(J205&gt;$N$2/5*4, "1", IF(J205&gt;$N$2/5*3, "2", IF(J205&gt;$N$2/5*2, "3", IF(J205&gt;$N$2/5, "4", "5"))))</f>
        <v>4</v>
      </c>
    </row>
    <row r="206" spans="1:11" x14ac:dyDescent="0.55000000000000004">
      <c r="A206">
        <v>79</v>
      </c>
      <c r="B206">
        <f>climate_scores!H80*weights!$C$13</f>
        <v>6.6595691535336066E-2</v>
      </c>
      <c r="D206">
        <f>bird_scores!D80*weights!$C$14</f>
        <v>1.0924401478147872E-2</v>
      </c>
      <c r="F206">
        <f>size_scores!C80*weights!$C$15</f>
        <v>0.156774888</v>
      </c>
      <c r="H206">
        <f>estuary_data!Z80*weights!$C$16</f>
        <v>7.7120904851745832E-3</v>
      </c>
      <c r="J206">
        <f>SUM(B206:H206)</f>
        <v>0.24200707149865852</v>
      </c>
      <c r="K206" t="str">
        <f>IF(J206&gt;$N$2/5*4, "1", IF(J206&gt;$N$2/5*3, "2", IF(J206&gt;$N$2/5*2, "3", IF(J206&gt;$N$2/5, "4", "5"))))</f>
        <v>4</v>
      </c>
    </row>
    <row r="207" spans="1:11" x14ac:dyDescent="0.55000000000000004">
      <c r="A207">
        <v>80</v>
      </c>
      <c r="B207">
        <f>climate_scores!H81*weights!$C$13</f>
        <v>6.7315087759815914E-2</v>
      </c>
      <c r="D207">
        <f>bird_scores!D81*weights!$C$14</f>
        <v>3.9768181056449067E-2</v>
      </c>
      <c r="F207">
        <f>size_scores!C81*weights!$C$15</f>
        <v>7.8387444000000001E-2</v>
      </c>
      <c r="H207">
        <f>estuary_data!Z81*weights!$C$16</f>
        <v>3.0848361940698295E-2</v>
      </c>
      <c r="J207">
        <f>SUM(B207:H207)</f>
        <v>0.21631907475696327</v>
      </c>
      <c r="K207" t="str">
        <f>IF(J207&gt;$N$2/5*4, "1", IF(J207&gt;$N$2/5*3, "2", IF(J207&gt;$N$2/5*2, "3", IF(J207&gt;$N$2/5, "4", "5"))))</f>
        <v>4</v>
      </c>
    </row>
    <row r="208" spans="1:11" x14ac:dyDescent="0.55000000000000004">
      <c r="A208">
        <v>82</v>
      </c>
      <c r="B208">
        <f>climate_scores!H83*weights!$C$13</f>
        <v>7.1714183909400459E-2</v>
      </c>
      <c r="D208">
        <f>bird_scores!D83*weights!$C$14</f>
        <v>5.4055163102674199E-2</v>
      </c>
      <c r="F208">
        <f>size_scores!C83*weights!$C$15</f>
        <v>5.8790582999999993E-2</v>
      </c>
      <c r="H208">
        <f>estuary_data!Z83*weights!$C$16</f>
        <v>1.9419314238494776E-2</v>
      </c>
      <c r="J208">
        <f>SUM(B208:H208)</f>
        <v>0.20397924425056943</v>
      </c>
      <c r="K208" t="str">
        <f>IF(J208&gt;$N$2/5*4, "1", IF(J208&gt;$N$2/5*3, "2", IF(J208&gt;$N$2/5*2, "3", IF(J208&gt;$N$2/5, "4", "5"))))</f>
        <v>4</v>
      </c>
    </row>
    <row r="209" spans="1:11" x14ac:dyDescent="0.55000000000000004">
      <c r="A209">
        <v>83</v>
      </c>
      <c r="B209">
        <f>climate_scores!H84*weights!$C$13</f>
        <v>7.4333935893300021E-2</v>
      </c>
      <c r="D209">
        <f>bird_scores!D84*weights!$C$14</f>
        <v>5.124985619691657E-2</v>
      </c>
      <c r="F209">
        <f>size_scores!C84*weights!$C$15</f>
        <v>7.8387444000000001E-2</v>
      </c>
      <c r="H209">
        <f>estuary_data!Z84*weights!$C$16</f>
        <v>3.9445482046942607E-2</v>
      </c>
      <c r="J209">
        <f>SUM(B209:H209)</f>
        <v>0.2434167181371592</v>
      </c>
      <c r="K209" t="str">
        <f>IF(J209&gt;$N$2/5*4, "1", IF(J209&gt;$N$2/5*3, "2", IF(J209&gt;$N$2/5*2, "3", IF(J209&gt;$N$2/5, "4", "5"))))</f>
        <v>4</v>
      </c>
    </row>
    <row r="210" spans="1:11" x14ac:dyDescent="0.55000000000000004">
      <c r="A210">
        <v>84</v>
      </c>
      <c r="B210">
        <f>climate_scores!H85*weights!$C$13</f>
        <v>7.4314908491830103E-2</v>
      </c>
      <c r="D210">
        <f>bird_scores!D85*weights!$C$14</f>
        <v>5.4707408911471599E-2</v>
      </c>
      <c r="F210">
        <f>size_scores!C85*weights!$C$15</f>
        <v>9.7984304999999994E-2</v>
      </c>
      <c r="H210">
        <f>estuary_data!Z85*weights!$C$16</f>
        <v>3.9445482046942607E-2</v>
      </c>
      <c r="J210">
        <f>SUM(B210:H210)</f>
        <v>0.26645210445024431</v>
      </c>
      <c r="K210" t="str">
        <f>IF(J210&gt;$N$2/5*4, "1", IF(J210&gt;$N$2/5*3, "2", IF(J210&gt;$N$2/5*2, "3", IF(J210&gt;$N$2/5, "4", "5"))))</f>
        <v>4</v>
      </c>
    </row>
    <row r="211" spans="1:11" x14ac:dyDescent="0.55000000000000004">
      <c r="A211">
        <v>85</v>
      </c>
      <c r="B211">
        <f>climate_scores!H86*weights!$C$13</f>
        <v>7.428098810789846E-2</v>
      </c>
      <c r="D211">
        <f>bird_scores!D86*weights!$C$14</f>
        <v>4.5987098573223625E-2</v>
      </c>
      <c r="F211">
        <f>size_scores!C86*weights!$C$15</f>
        <v>0.13717802699999998</v>
      </c>
      <c r="H211">
        <f>estuary_data!Z86*weights!$C$16</f>
        <v>1.9722741023471303E-2</v>
      </c>
      <c r="J211">
        <f>SUM(B211:H211)</f>
        <v>0.2771688547045934</v>
      </c>
      <c r="K211" t="str">
        <f>IF(J211&gt;$N$2/5*4, "1", IF(J211&gt;$N$2/5*3, "2", IF(J211&gt;$N$2/5*2, "3", IF(J211&gt;$N$2/5, "4", "5"))))</f>
        <v>4</v>
      </c>
    </row>
    <row r="212" spans="1:11" x14ac:dyDescent="0.55000000000000004">
      <c r="A212">
        <v>86</v>
      </c>
      <c r="B212">
        <f>climate_scores!H87*weights!$C$13</f>
        <v>6.8383844120913764E-2</v>
      </c>
      <c r="D212">
        <f>bird_scores!D87*weights!$C$14</f>
        <v>1.5001139925137769E-2</v>
      </c>
      <c r="F212">
        <f>size_scores!C87*weights!$C$15</f>
        <v>7.8387444000000001E-2</v>
      </c>
      <c r="H212">
        <f>estuary_data!Z87*weights!$C$16</f>
        <v>3.9445482046942607E-2</v>
      </c>
      <c r="J212">
        <f>SUM(B212:H212)</f>
        <v>0.20121791009299411</v>
      </c>
      <c r="K212" t="str">
        <f>IF(J212&gt;$N$2/5*4, "1", IF(J212&gt;$N$2/5*3, "2", IF(J212&gt;$N$2/5*2, "3", IF(J212&gt;$N$2/5, "4", "5"))))</f>
        <v>4</v>
      </c>
    </row>
    <row r="213" spans="1:11" x14ac:dyDescent="0.55000000000000004">
      <c r="A213">
        <v>87</v>
      </c>
      <c r="B213">
        <f>climate_scores!H88*weights!$C$13</f>
        <v>6.8734175551625643E-2</v>
      </c>
      <c r="D213">
        <f>bird_scores!D88*weights!$C$14</f>
        <v>2.635457350215329E-2</v>
      </c>
      <c r="F213">
        <f>size_scores!C88*weights!$C$15</f>
        <v>0.13717802699999998</v>
      </c>
      <c r="H213">
        <f>estuary_data!Z88*weights!$C$16</f>
        <v>1.9722741023471303E-2</v>
      </c>
      <c r="J213">
        <f>SUM(B213:H213)</f>
        <v>0.2519895170772502</v>
      </c>
      <c r="K213" t="str">
        <f>IF(J213&gt;$N$2/5*4, "1", IF(J213&gt;$N$2/5*3, "2", IF(J213&gt;$N$2/5*2, "3", IF(J213&gt;$N$2/5, "4", "5"))))</f>
        <v>4</v>
      </c>
    </row>
    <row r="214" spans="1:11" x14ac:dyDescent="0.55000000000000004">
      <c r="A214">
        <v>88</v>
      </c>
      <c r="B214">
        <f>climate_scores!H89*weights!$C$13</f>
        <v>7.1315718508978485E-2</v>
      </c>
      <c r="D214">
        <f>bird_scores!D89*weights!$C$14</f>
        <v>1.3558907423917396E-2</v>
      </c>
      <c r="F214">
        <f>size_scores!C89*weights!$C$15</f>
        <v>0.11758116599999999</v>
      </c>
      <c r="H214">
        <f>estuary_data!Z89*weights!$C$16</f>
        <v>3.9445482046942607E-2</v>
      </c>
      <c r="J214">
        <f>SUM(B214:H214)</f>
        <v>0.24190127397983846</v>
      </c>
      <c r="K214" t="str">
        <f>IF(J214&gt;$N$2/5*4, "1", IF(J214&gt;$N$2/5*3, "2", IF(J214&gt;$N$2/5*2, "3", IF(J214&gt;$N$2/5, "4", "5"))))</f>
        <v>4</v>
      </c>
    </row>
    <row r="215" spans="1:11" x14ac:dyDescent="0.55000000000000004">
      <c r="A215">
        <v>89</v>
      </c>
      <c r="B215">
        <f>climate_scores!H90*weights!$C$13</f>
        <v>6.3481152068469382E-2</v>
      </c>
      <c r="D215">
        <f>bird_scores!D90*weights!$C$14</f>
        <v>1.2846797134771906E-2</v>
      </c>
      <c r="F215">
        <f>size_scores!C90*weights!$C$15</f>
        <v>0.13717802699999998</v>
      </c>
      <c r="H215">
        <f>estuary_data!Z90*weights!$C$16</f>
        <v>1.5171339248824087E-2</v>
      </c>
      <c r="J215">
        <f>SUM(B215:H215)</f>
        <v>0.22867731545206535</v>
      </c>
      <c r="K215" t="str">
        <f>IF(J215&gt;$N$2/5*4, "1", IF(J215&gt;$N$2/5*3, "2", IF(J215&gt;$N$2/5*2, "3", IF(J215&gt;$N$2/5, "4", "5"))))</f>
        <v>4</v>
      </c>
    </row>
    <row r="216" spans="1:11" x14ac:dyDescent="0.55000000000000004">
      <c r="A216">
        <v>90</v>
      </c>
      <c r="B216">
        <f>climate_scores!H91*weights!$C$13</f>
        <v>5.5483546681449593E-2</v>
      </c>
      <c r="D216">
        <f>bird_scores!D91*weights!$C$14</f>
        <v>5.4746667694623247E-2</v>
      </c>
      <c r="F216">
        <f>size_scores!C91*weights!$C$15</f>
        <v>9.7984304999999994E-2</v>
      </c>
      <c r="H216">
        <f>estuary_data!Z91*weights!$C$16</f>
        <v>1.5171339248824087E-2</v>
      </c>
      <c r="J216">
        <f>SUM(B216:H216)</f>
        <v>0.2233858586248969</v>
      </c>
      <c r="K216" t="str">
        <f>IF(J216&gt;$N$2/5*4, "1", IF(J216&gt;$N$2/5*3, "2", IF(J216&gt;$N$2/5*2, "3", IF(J216&gt;$N$2/5, "4", "5"))))</f>
        <v>4</v>
      </c>
    </row>
    <row r="217" spans="1:11" x14ac:dyDescent="0.55000000000000004">
      <c r="A217">
        <v>91</v>
      </c>
      <c r="B217">
        <f>climate_scores!H92*weights!$C$13</f>
        <v>3.7003596611609874E-2</v>
      </c>
      <c r="D217">
        <f>bird_scores!D92*weights!$C$14</f>
        <v>1.3823124493302127E-2</v>
      </c>
      <c r="F217">
        <f>size_scores!C92*weights!$C$15</f>
        <v>0.13717802699999998</v>
      </c>
      <c r="H217">
        <f>estuary_data!Z92*weights!$C$16</f>
        <v>6.9351395349464395E-3</v>
      </c>
      <c r="J217">
        <f>SUM(B217:H217)</f>
        <v>0.19493988763985839</v>
      </c>
      <c r="K217" t="str">
        <f>IF(J217&gt;$N$2/5*4, "1", IF(J217&gt;$N$2/5*3, "2", IF(J217&gt;$N$2/5*2, "3", IF(J217&gt;$N$2/5, "4", "5"))))</f>
        <v>4</v>
      </c>
    </row>
    <row r="218" spans="1:11" x14ac:dyDescent="0.55000000000000004">
      <c r="A218">
        <v>92</v>
      </c>
      <c r="B218">
        <f>climate_scores!H93*weights!$C$13</f>
        <v>3.4500070768660476E-2</v>
      </c>
      <c r="D218">
        <f>bird_scores!D93*weights!$C$14</f>
        <v>3.5689113413603639E-2</v>
      </c>
      <c r="F218">
        <f>size_scores!C93*weights!$C$15</f>
        <v>7.8387444000000001E-2</v>
      </c>
      <c r="H218">
        <f>estuary_data!Z93*weights!$C$16</f>
        <v>1.3870279069892839E-2</v>
      </c>
      <c r="J218">
        <f>SUM(B218:H218)</f>
        <v>0.16244690725215694</v>
      </c>
      <c r="K218" t="str">
        <f>IF(J218&gt;$N$2/5*4, "1", IF(J218&gt;$N$2/5*3, "2", IF(J218&gt;$N$2/5*2, "3", IF(J218&gt;$N$2/5, "4", "5"))))</f>
        <v>4</v>
      </c>
    </row>
    <row r="219" spans="1:11" x14ac:dyDescent="0.55000000000000004">
      <c r="A219">
        <v>93</v>
      </c>
      <c r="B219">
        <f>climate_scores!H94*weights!$C$13</f>
        <v>4.5864545072853431E-2</v>
      </c>
      <c r="D219">
        <f>bird_scores!D94*weights!$C$14</f>
        <v>5.0139713208312342E-2</v>
      </c>
      <c r="F219">
        <f>size_scores!C94*weights!$C$15</f>
        <v>9.7984304999999994E-2</v>
      </c>
      <c r="H219">
        <f>estuary_data!Z94*weights!$C$16</f>
        <v>1.3870279069892839E-2</v>
      </c>
      <c r="J219">
        <f>SUM(B219:H219)</f>
        <v>0.20785884235105859</v>
      </c>
      <c r="K219" t="str">
        <f>IF(J219&gt;$N$2/5*4, "1", IF(J219&gt;$N$2/5*3, "2", IF(J219&gt;$N$2/5*2, "3", IF(J219&gt;$N$2/5, "4", "5"))))</f>
        <v>4</v>
      </c>
    </row>
    <row r="220" spans="1:11" x14ac:dyDescent="0.55000000000000004">
      <c r="A220">
        <v>94</v>
      </c>
      <c r="B220">
        <f>climate_scores!H95*weights!$C$13</f>
        <v>4.0751032717206377E-2</v>
      </c>
      <c r="D220">
        <f>bird_scores!D95*weights!$C$14</f>
        <v>0</v>
      </c>
      <c r="F220">
        <f>size_scores!C95*weights!$C$15</f>
        <v>3.9193722E-2</v>
      </c>
      <c r="H220">
        <f>estuary_data!Z95*weights!$C$16</f>
        <v>1.3870279069892839E-2</v>
      </c>
      <c r="J220">
        <f>SUM(B220:H220)</f>
        <v>9.3815033787099225E-2</v>
      </c>
      <c r="K220" t="str">
        <f>IF(J220&gt;$N$2/5*4, "1", IF(J220&gt;$N$2/5*3, "2", IF(J220&gt;$N$2/5*2, "3", IF(J220&gt;$N$2/5, "4", "5"))))</f>
        <v>5</v>
      </c>
    </row>
    <row r="221" spans="1:11" x14ac:dyDescent="0.55000000000000004">
      <c r="A221">
        <v>95</v>
      </c>
      <c r="B221">
        <f>climate_scores!H96*weights!$C$13</f>
        <v>4.4367005484708337E-2</v>
      </c>
      <c r="D221">
        <f>bird_scores!D96*weights!$C$14</f>
        <v>5.3704094926515726E-2</v>
      </c>
      <c r="F221">
        <f>size_scores!C96*weights!$C$15</f>
        <v>0.13717802699999998</v>
      </c>
      <c r="H221">
        <f>estuary_data!Z96*weights!$C$16</f>
        <v>6.9351395349464395E-3</v>
      </c>
      <c r="J221">
        <f>SUM(B221:H221)</f>
        <v>0.24218426694617048</v>
      </c>
      <c r="K221" t="str">
        <f>IF(J221&gt;$N$2/5*4, "1", IF(J221&gt;$N$2/5*3, "2", IF(J221&gt;$N$2/5*2, "3", IF(J221&gt;$N$2/5, "4", "5"))))</f>
        <v>4</v>
      </c>
    </row>
    <row r="222" spans="1:11" x14ac:dyDescent="0.55000000000000004">
      <c r="A222">
        <v>96</v>
      </c>
      <c r="B222">
        <f>climate_scores!H97*weights!$C$13</f>
        <v>5.543311676963622E-2</v>
      </c>
      <c r="D222">
        <f>bird_scores!D97*weights!$C$14</f>
        <v>4.2810649762384599E-2</v>
      </c>
      <c r="F222">
        <f>size_scores!C97*weights!$C$15</f>
        <v>5.8790582999999993E-2</v>
      </c>
      <c r="H222">
        <f>estuary_data!Z97*weights!$C$16</f>
        <v>0</v>
      </c>
      <c r="J222">
        <f>SUM(B222:H222)</f>
        <v>0.15703434953202083</v>
      </c>
      <c r="K222" t="str">
        <f>IF(J222&gt;$N$2/5*4, "1", IF(J222&gt;$N$2/5*3, "2", IF(J222&gt;$N$2/5*2, "3", IF(J222&gt;$N$2/5, "4", "5"))))</f>
        <v>5</v>
      </c>
    </row>
    <row r="223" spans="1:11" x14ac:dyDescent="0.55000000000000004">
      <c r="A223">
        <v>99</v>
      </c>
      <c r="B223">
        <f>climate_scores!H100*weights!$C$13</f>
        <v>4.9154722851589491E-2</v>
      </c>
      <c r="D223">
        <f>bird_scores!D100*weights!$C$14</f>
        <v>4.2983142634543205E-2</v>
      </c>
      <c r="F223">
        <f>size_scores!C100*weights!$C$15</f>
        <v>0.11758116599999999</v>
      </c>
      <c r="H223">
        <f>estuary_data!Z100*weights!$C$16</f>
        <v>3.6116005556669634E-2</v>
      </c>
      <c r="J223">
        <f>SUM(B223:H223)</f>
        <v>0.24583503704280232</v>
      </c>
      <c r="K223" t="str">
        <f>IF(J223&gt;$N$2/5*4, "1", IF(J223&gt;$N$2/5*3, "2", IF(J223&gt;$N$2/5*2, "3", IF(J223&gt;$N$2/5, "4", "5"))))</f>
        <v>4</v>
      </c>
    </row>
    <row r="224" spans="1:11" x14ac:dyDescent="0.55000000000000004">
      <c r="A224">
        <v>100</v>
      </c>
      <c r="B224">
        <f>climate_scores!H101*weights!$C$13</f>
        <v>4.8610587086565266E-2</v>
      </c>
      <c r="D224">
        <f>bird_scores!D101*weights!$C$14</f>
        <v>3.7575467686017959E-2</v>
      </c>
      <c r="F224">
        <f>size_scores!C101*weights!$C$15</f>
        <v>3.9193722E-2</v>
      </c>
      <c r="H224">
        <f>estuary_data!Z101*weights!$C$16</f>
        <v>3.5992249969382301E-2</v>
      </c>
      <c r="J224">
        <f>SUM(B224:H224)</f>
        <v>0.16137202674196552</v>
      </c>
      <c r="K224" t="str">
        <f>IF(J224&gt;$N$2/5*4, "1", IF(J224&gt;$N$2/5*3, "2", IF(J224&gt;$N$2/5*2, "3", IF(J224&gt;$N$2/5, "4", "5"))))</f>
        <v>4</v>
      </c>
    </row>
    <row r="225" spans="1:11" x14ac:dyDescent="0.55000000000000004">
      <c r="A225">
        <v>101</v>
      </c>
      <c r="B225">
        <f>climate_scores!H102*weights!$C$13</f>
        <v>4.5031541040910186E-2</v>
      </c>
      <c r="D225">
        <f>bird_scores!D102*weights!$C$14</f>
        <v>5.4865521337694421E-2</v>
      </c>
      <c r="F225">
        <f>size_scores!C102*weights!$C$15</f>
        <v>3.9193722E-2</v>
      </c>
      <c r="H225">
        <f>estuary_data!Z102*weights!$C$16</f>
        <v>3.5992249969382301E-2</v>
      </c>
      <c r="J225">
        <f>SUM(B225:H225)</f>
        <v>0.17508303434798692</v>
      </c>
      <c r="K225" t="str">
        <f>IF(J225&gt;$N$2/5*4, "1", IF(J225&gt;$N$2/5*3, "2", IF(J225&gt;$N$2/5*2, "3", IF(J225&gt;$N$2/5, "4", "5"))))</f>
        <v>4</v>
      </c>
    </row>
    <row r="226" spans="1:11" x14ac:dyDescent="0.55000000000000004">
      <c r="A226">
        <v>102</v>
      </c>
      <c r="B226">
        <f>climate_scores!H103*weights!$C$13</f>
        <v>4.7087557004851219E-2</v>
      </c>
      <c r="D226">
        <f>bird_scores!D103*weights!$C$14</f>
        <v>4.1148424394321849E-2</v>
      </c>
      <c r="F226">
        <f>size_scores!C103*weights!$C$15</f>
        <v>5.8790582999999993E-2</v>
      </c>
      <c r="H226">
        <f>estuary_data!Z103*weights!$C$16</f>
        <v>3.5992249969382301E-2</v>
      </c>
      <c r="J226">
        <f>SUM(B226:H226)</f>
        <v>0.18301881436855535</v>
      </c>
      <c r="K226" t="str">
        <f>IF(J226&gt;$N$2/5*4, "1", IF(J226&gt;$N$2/5*3, "2", IF(J226&gt;$N$2/5*2, "3", IF(J226&gt;$N$2/5, "4", "5"))))</f>
        <v>4</v>
      </c>
    </row>
    <row r="227" spans="1:11" x14ac:dyDescent="0.55000000000000004">
      <c r="A227">
        <v>104</v>
      </c>
      <c r="B227">
        <f>climate_scores!H105*weights!$C$13</f>
        <v>7.0791233472959875E-2</v>
      </c>
      <c r="D227">
        <f>bird_scores!D105*weights!$C$14</f>
        <v>4.4372311006895059E-2</v>
      </c>
      <c r="F227">
        <f>size_scores!C105*weights!$C$15</f>
        <v>0.156774888</v>
      </c>
      <c r="H227">
        <f>estuary_data!Z105*weights!$C$16</f>
        <v>9.8613705117356516E-3</v>
      </c>
      <c r="J227">
        <f>SUM(B227:H227)</f>
        <v>0.28179980299159058</v>
      </c>
      <c r="K227" t="str">
        <f>IF(J227&gt;$N$2/5*4, "1", IF(J227&gt;$N$2/5*3, "2", IF(J227&gt;$N$2/5*2, "3", IF(J227&gt;$N$2/5, "4", "5"))))</f>
        <v>4</v>
      </c>
    </row>
    <row r="228" spans="1:11" x14ac:dyDescent="0.55000000000000004">
      <c r="A228">
        <v>105</v>
      </c>
      <c r="B228">
        <f>climate_scores!H106*weights!$C$13</f>
        <v>6.4038873713526748E-2</v>
      </c>
      <c r="D228">
        <f>bird_scores!D106*weights!$C$14</f>
        <v>4.0680185486773823E-2</v>
      </c>
      <c r="F228">
        <f>size_scores!C106*weights!$C$15</f>
        <v>7.8387444000000001E-2</v>
      </c>
      <c r="H228">
        <f>estuary_data!Z106*weights!$C$16</f>
        <v>3.9445482046942607E-2</v>
      </c>
      <c r="J228">
        <f>SUM(B228:H228)</f>
        <v>0.22255198524724318</v>
      </c>
      <c r="K228" t="str">
        <f>IF(J228&gt;$N$2/5*4, "1", IF(J228&gt;$N$2/5*3, "2", IF(J228&gt;$N$2/5*2, "3", IF(J228&gt;$N$2/5, "4", "5"))))</f>
        <v>4</v>
      </c>
    </row>
    <row r="229" spans="1:11" x14ac:dyDescent="0.55000000000000004">
      <c r="A229">
        <v>107</v>
      </c>
      <c r="B229">
        <f>climate_scores!H108*weights!$C$13</f>
        <v>4.6895368178546122E-2</v>
      </c>
      <c r="D229">
        <f>bird_scores!D108*weights!$C$14</f>
        <v>5.0347603621464412E-2</v>
      </c>
      <c r="F229">
        <f>size_scores!C108*weights!$C$15</f>
        <v>0.13717802699999998</v>
      </c>
      <c r="H229">
        <f>estuary_data!Z108*weights!$C$16</f>
        <v>1.0213864453390479E-2</v>
      </c>
      <c r="J229">
        <f>SUM(B229:H229)</f>
        <v>0.244634863253401</v>
      </c>
      <c r="K229" t="str">
        <f>IF(J229&gt;$N$2/5*4, "1", IF(J229&gt;$N$2/5*3, "2", IF(J229&gt;$N$2/5*2, "3", IF(J229&gt;$N$2/5, "4", "5"))))</f>
        <v>4</v>
      </c>
    </row>
    <row r="230" spans="1:11" x14ac:dyDescent="0.55000000000000004">
      <c r="A230">
        <v>108</v>
      </c>
      <c r="B230">
        <f>climate_scores!H109*weights!$C$13</f>
        <v>4.2032907302407357E-2</v>
      </c>
      <c r="D230">
        <f>bird_scores!D109*weights!$C$14</f>
        <v>5.3039259869457442E-2</v>
      </c>
      <c r="F230">
        <f>size_scores!C109*weights!$C$15</f>
        <v>0.11758116599999999</v>
      </c>
      <c r="H230">
        <f>estuary_data!Z109*weights!$C$16</f>
        <v>2.0427728906780959E-2</v>
      </c>
      <c r="J230">
        <f>SUM(B230:H230)</f>
        <v>0.23308106207864576</v>
      </c>
      <c r="K230" t="str">
        <f>IF(J230&gt;$N$2/5*4, "1", IF(J230&gt;$N$2/5*3, "2", IF(J230&gt;$N$2/5*2, "3", IF(J230&gt;$N$2/5, "4", "5"))))</f>
        <v>4</v>
      </c>
    </row>
    <row r="231" spans="1:11" x14ac:dyDescent="0.55000000000000004">
      <c r="A231">
        <v>109</v>
      </c>
      <c r="B231">
        <f>climate_scores!H110*weights!$C$13</f>
        <v>3.5637584998224947E-2</v>
      </c>
      <c r="D231">
        <f>bird_scores!D110*weights!$C$14</f>
        <v>4.0909804020338988E-2</v>
      </c>
      <c r="F231">
        <f>size_scores!C110*weights!$C$15</f>
        <v>9.7984304999999994E-2</v>
      </c>
      <c r="H231">
        <f>estuary_data!Z110*weights!$C$16</f>
        <v>2.0427728906780959E-2</v>
      </c>
      <c r="J231">
        <f>SUM(B231:H231)</f>
        <v>0.19495942292534491</v>
      </c>
      <c r="K231" t="str">
        <f>IF(J231&gt;$N$2/5*4, "1", IF(J231&gt;$N$2/5*3, "2", IF(J231&gt;$N$2/5*2, "3", IF(J231&gt;$N$2/5, "4", "5"))))</f>
        <v>4</v>
      </c>
    </row>
    <row r="232" spans="1:11" x14ac:dyDescent="0.55000000000000004">
      <c r="A232">
        <v>110</v>
      </c>
      <c r="B232">
        <f>climate_scores!H111*weights!$C$13</f>
        <v>4.9831253837433122E-2</v>
      </c>
      <c r="D232">
        <f>bird_scores!D111*weights!$C$14</f>
        <v>5.322088416475957E-2</v>
      </c>
      <c r="F232">
        <f>size_scores!C111*weights!$C$15</f>
        <v>0.11758116599999999</v>
      </c>
      <c r="H232">
        <f>estuary_data!Z111*weights!$C$16</f>
        <v>1.0213864453390479E-2</v>
      </c>
      <c r="J232">
        <f>SUM(B232:H232)</f>
        <v>0.23084716845558315</v>
      </c>
      <c r="K232" t="str">
        <f>IF(J232&gt;$N$2/5*4, "1", IF(J232&gt;$N$2/5*3, "2", IF(J232&gt;$N$2/5*2, "3", IF(J232&gt;$N$2/5, "4", "5"))))</f>
        <v>4</v>
      </c>
    </row>
    <row r="233" spans="1:11" x14ac:dyDescent="0.55000000000000004">
      <c r="A233">
        <v>111</v>
      </c>
      <c r="B233">
        <f>climate_scores!H112*weights!$C$13</f>
        <v>3.4768358688740023E-2</v>
      </c>
      <c r="D233">
        <f>bird_scores!D112*weights!$C$14</f>
        <v>4.2812575032383303E-2</v>
      </c>
      <c r="F233">
        <f>size_scores!C112*weights!$C$15</f>
        <v>0.11758116599999999</v>
      </c>
      <c r="H233">
        <f>estuary_data!Z112*weights!$C$16</f>
        <v>1.3870279069892839E-2</v>
      </c>
      <c r="J233">
        <f>SUM(B233:H233)</f>
        <v>0.20903237879101613</v>
      </c>
      <c r="K233" t="str">
        <f>IF(J233&gt;$N$2/5*4, "1", IF(J233&gt;$N$2/5*3, "2", IF(J233&gt;$N$2/5*2, "3", IF(J233&gt;$N$2/5, "4", "5"))))</f>
        <v>4</v>
      </c>
    </row>
    <row r="234" spans="1:11" x14ac:dyDescent="0.55000000000000004">
      <c r="A234">
        <v>113</v>
      </c>
      <c r="B234">
        <f>climate_scores!H114*weights!$C$13</f>
        <v>5.8859497031054413E-2</v>
      </c>
      <c r="D234">
        <f>bird_scores!D114*weights!$C$14</f>
        <v>5.1796816913284714E-2</v>
      </c>
      <c r="F234">
        <f>size_scores!C114*weights!$C$15</f>
        <v>7.8387444000000001E-2</v>
      </c>
      <c r="H234">
        <f>estuary_data!Z114*weights!$C$16</f>
        <v>2.3754818811954917E-2</v>
      </c>
      <c r="J234">
        <f>SUM(B234:H234)</f>
        <v>0.21279857675629404</v>
      </c>
      <c r="K234" t="str">
        <f>IF(J234&gt;$N$2/5*4, "1", IF(J234&gt;$N$2/5*3, "2", IF(J234&gt;$N$2/5*2, "3", IF(J234&gt;$N$2/5, "4", "5"))))</f>
        <v>4</v>
      </c>
    </row>
    <row r="235" spans="1:11" x14ac:dyDescent="0.55000000000000004">
      <c r="A235">
        <v>114</v>
      </c>
      <c r="B235">
        <f>climate_scores!H115*weights!$C$13</f>
        <v>6.8836291100771954E-2</v>
      </c>
      <c r="D235">
        <f>bird_scores!D115*weights!$C$14</f>
        <v>5.4181859116465073E-2</v>
      </c>
      <c r="F235">
        <f>size_scores!C115*weights!$C$15</f>
        <v>3.9193722E-2</v>
      </c>
      <c r="H235">
        <f>estuary_data!Z115*weights!$C$16</f>
        <v>0</v>
      </c>
      <c r="J235">
        <f>SUM(B235:H235)</f>
        <v>0.16221187221723704</v>
      </c>
      <c r="K235" t="str">
        <f>IF(J235&gt;$N$2/5*4, "1", IF(J235&gt;$N$2/5*3, "2", IF(J235&gt;$N$2/5*2, "3", IF(J235&gt;$N$2/5, "4", "5"))))</f>
        <v>4</v>
      </c>
    </row>
    <row r="236" spans="1:11" x14ac:dyDescent="0.55000000000000004">
      <c r="A236">
        <v>115</v>
      </c>
      <c r="B236">
        <f>climate_scores!H116*weights!$C$13</f>
        <v>6.4665307125754592E-2</v>
      </c>
      <c r="D236">
        <f>bird_scores!D116*weights!$C$14</f>
        <v>4.6711843663739455E-2</v>
      </c>
      <c r="F236">
        <f>size_scores!C116*weights!$C$15</f>
        <v>7.8387444000000001E-2</v>
      </c>
      <c r="H236">
        <f>estuary_data!Z116*weights!$C$16</f>
        <v>0</v>
      </c>
      <c r="J236">
        <f>SUM(B236:H236)</f>
        <v>0.18976459478949403</v>
      </c>
      <c r="K236" t="str">
        <f>IF(J236&gt;$N$2/5*4, "1", IF(J236&gt;$N$2/5*3, "2", IF(J236&gt;$N$2/5*2, "3", IF(J236&gt;$N$2/5, "4", "5"))))</f>
        <v>4</v>
      </c>
    </row>
    <row r="237" spans="1:11" x14ac:dyDescent="0.55000000000000004">
      <c r="A237">
        <v>116</v>
      </c>
      <c r="B237">
        <f>climate_scores!H117*weights!$C$13</f>
        <v>7.2314270952324664E-2</v>
      </c>
      <c r="D237">
        <f>bird_scores!D117*weights!$C$14</f>
        <v>4.4793245475558102E-2</v>
      </c>
      <c r="F237">
        <f>size_scores!C117*weights!$C$15</f>
        <v>1.9596861E-2</v>
      </c>
      <c r="H237">
        <f>estuary_data!Z117*weights!$C$16</f>
        <v>1.9419314238494776E-2</v>
      </c>
      <c r="J237">
        <f>SUM(B237:H237)</f>
        <v>0.15612369166637755</v>
      </c>
      <c r="K237" t="str">
        <f>IF(J237&gt;$N$2/5*4, "1", IF(J237&gt;$N$2/5*3, "2", IF(J237&gt;$N$2/5*2, "3", IF(J237&gt;$N$2/5, "4", "5"))))</f>
        <v>5</v>
      </c>
    </row>
    <row r="238" spans="1:11" x14ac:dyDescent="0.55000000000000004">
      <c r="A238">
        <v>117</v>
      </c>
      <c r="B238">
        <f>climate_scores!H118*weights!$C$13</f>
        <v>7.0749865562670738E-2</v>
      </c>
      <c r="D238">
        <f>bird_scores!D118*weights!$C$14</f>
        <v>5.2685344951145505E-2</v>
      </c>
      <c r="F238">
        <f>size_scores!C118*weights!$C$15</f>
        <v>0.13717802699999998</v>
      </c>
      <c r="H238">
        <f>estuary_data!Z118*weights!$C$16</f>
        <v>3.0848361940698295E-2</v>
      </c>
      <c r="J238">
        <f>SUM(B238:H238)</f>
        <v>0.2914615994545145</v>
      </c>
      <c r="K238" t="str">
        <f>IF(J238&gt;$N$2/5*4, "1", IF(J238&gt;$N$2/5*3, "2", IF(J238&gt;$N$2/5*2, "3", IF(J238&gt;$N$2/5, "4", "5"))))</f>
        <v>4</v>
      </c>
    </row>
    <row r="239" spans="1:11" x14ac:dyDescent="0.55000000000000004">
      <c r="A239">
        <v>118</v>
      </c>
      <c r="B239">
        <f>climate_scores!H119*weights!$C$13</f>
        <v>7.772251255742163E-2</v>
      </c>
      <c r="D239">
        <f>bird_scores!D119*weights!$C$14</f>
        <v>5.0351471201592175E-2</v>
      </c>
      <c r="F239">
        <f>size_scores!C119*weights!$C$15</f>
        <v>0.11758116599999999</v>
      </c>
      <c r="H239">
        <f>estuary_data!Z119*weights!$C$16</f>
        <v>1.5424180970349147E-2</v>
      </c>
      <c r="J239">
        <f>SUM(B239:H239)</f>
        <v>0.26107933072936296</v>
      </c>
      <c r="K239" t="str">
        <f>IF(J239&gt;$N$2/5*4, "1", IF(J239&gt;$N$2/5*3, "2", IF(J239&gt;$N$2/5*2, "3", IF(J239&gt;$N$2/5, "4", "5"))))</f>
        <v>4</v>
      </c>
    </row>
    <row r="240" spans="1:11" x14ac:dyDescent="0.55000000000000004">
      <c r="A240">
        <v>119</v>
      </c>
      <c r="B240">
        <f>climate_scores!H120*weights!$C$13</f>
        <v>4.9996437066532812E-2</v>
      </c>
      <c r="D240">
        <f>bird_scores!D120*weights!$C$14</f>
        <v>2.8686800759818522E-2</v>
      </c>
      <c r="F240">
        <f>size_scores!C120*weights!$C$15</f>
        <v>5.8790582999999993E-2</v>
      </c>
      <c r="H240">
        <f>estuary_data!Z120*weights!$C$16</f>
        <v>3.0342678497648174E-2</v>
      </c>
      <c r="J240">
        <f>SUM(B240:H240)</f>
        <v>0.16781649932399953</v>
      </c>
      <c r="K240" t="str">
        <f>IF(J240&gt;$N$2/5*4, "1", IF(J240&gt;$N$2/5*3, "2", IF(J240&gt;$N$2/5*2, "3", IF(J240&gt;$N$2/5, "4", "5"))))</f>
        <v>4</v>
      </c>
    </row>
    <row r="241" spans="1:11" x14ac:dyDescent="0.55000000000000004">
      <c r="A241">
        <v>120</v>
      </c>
      <c r="B241">
        <f>climate_scores!H121*weights!$C$13</f>
        <v>7.5652917471325451E-2</v>
      </c>
      <c r="D241">
        <f>bird_scores!D121*weights!$C$14</f>
        <v>4.8602826185206949E-2</v>
      </c>
      <c r="F241">
        <f>size_scores!C121*weights!$C$15</f>
        <v>0.11758116599999999</v>
      </c>
      <c r="H241">
        <f>estuary_data!Z121*weights!$C$16</f>
        <v>1.9722741023471303E-2</v>
      </c>
      <c r="J241">
        <f>SUM(B241:H241)</f>
        <v>0.2615596506800037</v>
      </c>
      <c r="K241" t="str">
        <f>IF(J241&gt;$N$2/5*4, "1", IF(J241&gt;$N$2/5*3, "2", IF(J241&gt;$N$2/5*2, "3", IF(J241&gt;$N$2/5, "4", "5"))))</f>
        <v>4</v>
      </c>
    </row>
    <row r="242" spans="1:11" x14ac:dyDescent="0.55000000000000004">
      <c r="A242">
        <v>121</v>
      </c>
      <c r="B242">
        <f>climate_scores!H122*weights!$C$13</f>
        <v>8.2485381261054203E-2</v>
      </c>
      <c r="D242">
        <f>bird_scores!D122*weights!$C$14</f>
        <v>5.5104904137011829E-2</v>
      </c>
      <c r="F242">
        <f>size_scores!C122*weights!$C$15</f>
        <v>0.13717802699999998</v>
      </c>
      <c r="H242">
        <f>estuary_data!Z122*weights!$C$16</f>
        <v>1.6182761865412378E-2</v>
      </c>
      <c r="J242">
        <f>SUM(B242:H242)</f>
        <v>0.29095107426347838</v>
      </c>
      <c r="K242" t="str">
        <f>IF(J242&gt;$N$2/5*4, "1", IF(J242&gt;$N$2/5*3, "2", IF(J242&gt;$N$2/5*2, "3", IF(J242&gt;$N$2/5, "4", "5"))))</f>
        <v>4</v>
      </c>
    </row>
    <row r="243" spans="1:11" x14ac:dyDescent="0.55000000000000004">
      <c r="A243">
        <v>122</v>
      </c>
      <c r="B243">
        <f>climate_scores!H123*weights!$C$13</f>
        <v>7.0444654071275814E-2</v>
      </c>
      <c r="D243">
        <f>bird_scores!D123*weights!$C$14</f>
        <v>5.407749309625777E-2</v>
      </c>
      <c r="F243">
        <f>size_scores!C123*weights!$C$15</f>
        <v>7.8387444000000001E-2</v>
      </c>
      <c r="H243">
        <f>estuary_data!Z123*weights!$C$16</f>
        <v>1.9722741023471303E-2</v>
      </c>
      <c r="J243">
        <f>SUM(B243:H243)</f>
        <v>0.22263233219100489</v>
      </c>
      <c r="K243" t="str">
        <f>IF(J243&gt;$N$2/5*4, "1", IF(J243&gt;$N$2/5*3, "2", IF(J243&gt;$N$2/5*2, "3", IF(J243&gt;$N$2/5, "4", "5"))))</f>
        <v>4</v>
      </c>
    </row>
    <row r="244" spans="1:11" x14ac:dyDescent="0.55000000000000004">
      <c r="A244">
        <v>123</v>
      </c>
      <c r="B244">
        <f>climate_scores!H124*weights!$C$13</f>
        <v>7.0786292794487171E-2</v>
      </c>
      <c r="D244">
        <f>bird_scores!D124*weights!$C$14</f>
        <v>5.1992920684793303E-2</v>
      </c>
      <c r="F244">
        <f>size_scores!C124*weights!$C$15</f>
        <v>7.8387444000000001E-2</v>
      </c>
      <c r="H244">
        <f>estuary_data!Z124*weights!$C$16</f>
        <v>3.9445482046942607E-2</v>
      </c>
      <c r="J244">
        <f>SUM(B244:H244)</f>
        <v>0.24061213952622307</v>
      </c>
      <c r="K244" t="str">
        <f>IF(J244&gt;$N$2/5*4, "1", IF(J244&gt;$N$2/5*3, "2", IF(J244&gt;$N$2/5*2, "3", IF(J244&gt;$N$2/5, "4", "5"))))</f>
        <v>4</v>
      </c>
    </row>
    <row r="245" spans="1:11" x14ac:dyDescent="0.55000000000000004">
      <c r="A245">
        <v>124</v>
      </c>
      <c r="B245">
        <f>climate_scores!H125*weights!$C$13</f>
        <v>7.5586694466221044E-2</v>
      </c>
      <c r="D245">
        <f>bird_scores!D125*weights!$C$14</f>
        <v>5.4520207181602297E-2</v>
      </c>
      <c r="F245">
        <f>size_scores!C125*weights!$C$15</f>
        <v>0.13717802699999998</v>
      </c>
      <c r="H245">
        <f>estuary_data!Z125*weights!$C$16</f>
        <v>1.9722741023471303E-2</v>
      </c>
      <c r="J245">
        <f>SUM(B245:H245)</f>
        <v>0.28700766967129465</v>
      </c>
      <c r="K245" t="str">
        <f>IF(J245&gt;$N$2/5*4, "1", IF(J245&gt;$N$2/5*3, "2", IF(J245&gt;$N$2/5*2, "3", IF(J245&gt;$N$2/5, "4", "5"))))</f>
        <v>4</v>
      </c>
    </row>
    <row r="246" spans="1:11" x14ac:dyDescent="0.55000000000000004">
      <c r="A246">
        <v>125</v>
      </c>
      <c r="B246">
        <f>climate_scores!H126*weights!$C$13</f>
        <v>7.0597549229091117E-2</v>
      </c>
      <c r="D246">
        <f>bird_scores!D126*weights!$C$14</f>
        <v>5.2276345062567182E-2</v>
      </c>
      <c r="F246">
        <f>size_scores!C126*weights!$C$15</f>
        <v>7.8387444000000001E-2</v>
      </c>
      <c r="H246">
        <f>estuary_data!Z126*weights!$C$16</f>
        <v>3.9445482046942607E-2</v>
      </c>
      <c r="J246">
        <f>SUM(B246:H246)</f>
        <v>0.24070682033860091</v>
      </c>
      <c r="K246" t="str">
        <f>IF(J246&gt;$N$2/5*4, "1", IF(J246&gt;$N$2/5*3, "2", IF(J246&gt;$N$2/5*2, "3", IF(J246&gt;$N$2/5, "4", "5"))))</f>
        <v>4</v>
      </c>
    </row>
    <row r="247" spans="1:11" x14ac:dyDescent="0.55000000000000004">
      <c r="A247">
        <v>126</v>
      </c>
      <c r="B247">
        <f>climate_scores!H127*weights!$C$13</f>
        <v>6.6542953269403626E-2</v>
      </c>
      <c r="D247">
        <f>bird_scores!D127*weights!$C$14</f>
        <v>4.8932986961129937E-2</v>
      </c>
      <c r="F247">
        <f>size_scores!C127*weights!$C$15</f>
        <v>0.156774888</v>
      </c>
      <c r="H247">
        <f>estuary_data!Z127*weights!$C$16</f>
        <v>6.0685356995296338E-3</v>
      </c>
      <c r="J247">
        <f>SUM(B247:H247)</f>
        <v>0.27831936393006323</v>
      </c>
      <c r="K247" t="str">
        <f>IF(J247&gt;$N$2/5*4, "1", IF(J247&gt;$N$2/5*3, "2", IF(J247&gt;$N$2/5*2, "3", IF(J247&gt;$N$2/5, "4", "5"))))</f>
        <v>4</v>
      </c>
    </row>
    <row r="248" spans="1:11" x14ac:dyDescent="0.55000000000000004">
      <c r="A248">
        <v>127</v>
      </c>
      <c r="B248">
        <f>climate_scores!H128*weights!$C$13</f>
        <v>6.1444440865259894E-2</v>
      </c>
      <c r="D248">
        <f>bird_scores!D128*weights!$C$14</f>
        <v>5.4200771140947651E-2</v>
      </c>
      <c r="F248">
        <f>size_scores!C128*weights!$C$15</f>
        <v>0.156774888</v>
      </c>
      <c r="H248">
        <f>estuary_data!Z128*weights!$C$16</f>
        <v>1.0114226165882723E-2</v>
      </c>
      <c r="J248">
        <f>SUM(B248:H248)</f>
        <v>0.28253432617209023</v>
      </c>
      <c r="K248" t="str">
        <f>IF(J248&gt;$N$2/5*4, "1", IF(J248&gt;$N$2/5*3, "2", IF(J248&gt;$N$2/5*2, "3", IF(J248&gt;$N$2/5, "4", "5"))))</f>
        <v>4</v>
      </c>
    </row>
    <row r="249" spans="1:11" x14ac:dyDescent="0.55000000000000004">
      <c r="A249">
        <v>128</v>
      </c>
      <c r="B249">
        <f>climate_scores!H129*weights!$C$13</f>
        <v>5.5920493984384492E-2</v>
      </c>
      <c r="D249">
        <f>bird_scores!D129*weights!$C$14</f>
        <v>5.3723668221156734E-2</v>
      </c>
      <c r="F249">
        <f>size_scores!C129*weights!$C$15</f>
        <v>0.156774888</v>
      </c>
      <c r="H249">
        <f>estuary_data!Z129*weights!$C$16</f>
        <v>1.5171339248824087E-2</v>
      </c>
      <c r="J249">
        <f>SUM(B249:H249)</f>
        <v>0.28159038945436532</v>
      </c>
      <c r="K249" t="str">
        <f>IF(J249&gt;$N$2/5*4, "1", IF(J249&gt;$N$2/5*3, "2", IF(J249&gt;$N$2/5*2, "3", IF(J249&gt;$N$2/5, "4", "5"))))</f>
        <v>4</v>
      </c>
    </row>
    <row r="250" spans="1:11" x14ac:dyDescent="0.55000000000000004">
      <c r="A250">
        <v>129</v>
      </c>
      <c r="B250">
        <f>climate_scores!H130*weights!$C$13</f>
        <v>5.5411242726952213E-2</v>
      </c>
      <c r="D250">
        <f>bird_scores!D130*weights!$C$14</f>
        <v>5.0376009261156665E-2</v>
      </c>
      <c r="F250">
        <f>size_scores!C130*weights!$C$15</f>
        <v>9.7984304999999994E-2</v>
      </c>
      <c r="H250">
        <f>estuary_data!Z130*weights!$C$16</f>
        <v>1.5171339248824087E-2</v>
      </c>
      <c r="J250">
        <f>SUM(B250:H250)</f>
        <v>0.21894289623693294</v>
      </c>
      <c r="K250" t="str">
        <f>IF(J250&gt;$N$2/5*4, "1", IF(J250&gt;$N$2/5*3, "2", IF(J250&gt;$N$2/5*2, "3", IF(J250&gt;$N$2/5, "4", "5"))))</f>
        <v>4</v>
      </c>
    </row>
    <row r="251" spans="1:11" x14ac:dyDescent="0.55000000000000004">
      <c r="A251">
        <v>130</v>
      </c>
      <c r="B251">
        <f>climate_scores!H131*weights!$C$13</f>
        <v>6.3524456477993416E-2</v>
      </c>
      <c r="D251">
        <f>bird_scores!D131*weights!$C$14</f>
        <v>4.9294236170872904E-2</v>
      </c>
      <c r="F251">
        <f>size_scores!C131*weights!$C$15</f>
        <v>0.13717802699999998</v>
      </c>
      <c r="H251">
        <f>estuary_data!Z131*weights!$C$16</f>
        <v>1.5171339248824087E-2</v>
      </c>
      <c r="J251">
        <f>SUM(B251:H251)</f>
        <v>0.26516805889769041</v>
      </c>
      <c r="K251" t="str">
        <f>IF(J251&gt;$N$2/5*4, "1", IF(J251&gt;$N$2/5*3, "2", IF(J251&gt;$N$2/5*2, "3", IF(J251&gt;$N$2/5, "4", "5"))))</f>
        <v>4</v>
      </c>
    </row>
    <row r="252" spans="1:11" x14ac:dyDescent="0.55000000000000004">
      <c r="A252">
        <v>131</v>
      </c>
      <c r="B252">
        <f>climate_scores!H132*weights!$C$13</f>
        <v>3.7572029506598319E-2</v>
      </c>
      <c r="D252">
        <f>bird_scores!D132*weights!$C$14</f>
        <v>4.0181849381226847E-2</v>
      </c>
      <c r="F252">
        <f>size_scores!C132*weights!$C$15</f>
        <v>7.8387444000000001E-2</v>
      </c>
      <c r="H252">
        <f>estuary_data!Z132*weights!$C$16</f>
        <v>2.0719553605449255E-2</v>
      </c>
      <c r="J252">
        <f>SUM(B252:H252)</f>
        <v>0.17686087649327442</v>
      </c>
      <c r="K252" t="str">
        <f>IF(J252&gt;$N$2/5*4, "1", IF(J252&gt;$N$2/5*3, "2", IF(J252&gt;$N$2/5*2, "3", IF(J252&gt;$N$2/5, "4", "5"))))</f>
        <v>4</v>
      </c>
    </row>
    <row r="253" spans="1:11" x14ac:dyDescent="0.55000000000000004">
      <c r="A253">
        <v>133</v>
      </c>
      <c r="B253">
        <f>climate_scores!H134*weights!$C$13</f>
        <v>5.8357143557773127E-2</v>
      </c>
      <c r="D253">
        <f>bird_scores!D134*weights!$C$14</f>
        <v>4.7355748635652666E-2</v>
      </c>
      <c r="F253">
        <f>size_scores!C134*weights!$C$15</f>
        <v>5.8790582999999993E-2</v>
      </c>
      <c r="H253">
        <f>estuary_data!Z134*weights!$C$16</f>
        <v>4.6838732446132465E-2</v>
      </c>
      <c r="J253">
        <f>SUM(B253:H253)</f>
        <v>0.21134220763955824</v>
      </c>
      <c r="K253" t="str">
        <f>IF(J253&gt;$N$2/5*4, "1", IF(J253&gt;$N$2/5*3, "2", IF(J253&gt;$N$2/5*2, "3", IF(J253&gt;$N$2/5, "4", "5"))))</f>
        <v>4</v>
      </c>
    </row>
    <row r="254" spans="1:11" x14ac:dyDescent="0.55000000000000004">
      <c r="A254">
        <v>134</v>
      </c>
      <c r="B254">
        <f>climate_scores!H135*weights!$C$13</f>
        <v>6.2323348091008E-2</v>
      </c>
      <c r="D254">
        <f>bird_scores!D135*weights!$C$14</f>
        <v>5.1350982292775765E-2</v>
      </c>
      <c r="F254">
        <f>size_scores!C135*weights!$C$15</f>
        <v>3.9193722E-2</v>
      </c>
      <c r="H254">
        <f>estuary_data!Z135*weights!$C$16</f>
        <v>3.8462322541902079E-2</v>
      </c>
      <c r="J254">
        <f>SUM(B254:H254)</f>
        <v>0.19133037492568583</v>
      </c>
      <c r="K254" t="str">
        <f>IF(J254&gt;$N$2/5*4, "1", IF(J254&gt;$N$2/5*3, "2", IF(J254&gt;$N$2/5*2, "3", IF(J254&gt;$N$2/5, "4", "5"))))</f>
        <v>4</v>
      </c>
    </row>
    <row r="255" spans="1:11" x14ac:dyDescent="0.55000000000000004">
      <c r="A255">
        <v>135</v>
      </c>
      <c r="B255">
        <f>climate_scores!H136*weights!$C$13</f>
        <v>6.2821736737028927E-2</v>
      </c>
      <c r="D255">
        <f>bird_scores!D136*weights!$C$14</f>
        <v>9.8749957545837281E-3</v>
      </c>
      <c r="F255">
        <f>size_scores!C136*weights!$C$15</f>
        <v>5.8790582999999993E-2</v>
      </c>
      <c r="H255">
        <f>estuary_data!Z136*weights!$C$16</f>
        <v>3.8462322541902079E-2</v>
      </c>
      <c r="J255">
        <f>SUM(B255:H255)</f>
        <v>0.1699496380335147</v>
      </c>
      <c r="K255" t="str">
        <f>IF(J255&gt;$N$2/5*4, "1", IF(J255&gt;$N$2/5*3, "2", IF(J255&gt;$N$2/5*2, "3", IF(J255&gt;$N$2/5, "4", "5"))))</f>
        <v>4</v>
      </c>
    </row>
    <row r="256" spans="1:11" x14ac:dyDescent="0.55000000000000004">
      <c r="A256">
        <v>136</v>
      </c>
      <c r="B256">
        <f>climate_scores!H137*weights!$C$13</f>
        <v>6.025148466075983E-2</v>
      </c>
      <c r="D256">
        <f>bird_scores!D137*weights!$C$14</f>
        <v>5.4087365689434133E-2</v>
      </c>
      <c r="F256">
        <f>size_scores!C137*weights!$C$15</f>
        <v>0.156774888</v>
      </c>
      <c r="H256">
        <f>estuary_data!Z137*weights!$C$16</f>
        <v>8.8428557980392095E-3</v>
      </c>
      <c r="J256">
        <f>SUM(B256:H256)</f>
        <v>0.27995659414823321</v>
      </c>
      <c r="K256" t="str">
        <f>IF(J256&gt;$N$2/5*4, "1", IF(J256&gt;$N$2/5*3, "2", IF(J256&gt;$N$2/5*2, "3", IF(J256&gt;$N$2/5, "4", "5"))))</f>
        <v>4</v>
      </c>
    </row>
    <row r="257" spans="1:11" x14ac:dyDescent="0.55000000000000004">
      <c r="A257">
        <v>137</v>
      </c>
      <c r="B257">
        <f>climate_scores!H138*weights!$C$13</f>
        <v>5.9642964563711848E-2</v>
      </c>
      <c r="D257">
        <f>bird_scores!D138*weights!$C$14</f>
        <v>4.9531786040345187E-2</v>
      </c>
      <c r="F257">
        <f>size_scores!C138*weights!$C$15</f>
        <v>0.13717802699999998</v>
      </c>
      <c r="H257">
        <f>estuary_data!Z138*weights!$C$16</f>
        <v>2.2107139495098023E-2</v>
      </c>
      <c r="J257">
        <f>SUM(B257:H257)</f>
        <v>0.26845991709915507</v>
      </c>
      <c r="K257" t="str">
        <f>IF(J257&gt;$N$2/5*4, "1", IF(J257&gt;$N$2/5*3, "2", IF(J257&gt;$N$2/5*2, "3", IF(J257&gt;$N$2/5, "4", "5"))))</f>
        <v>4</v>
      </c>
    </row>
    <row r="258" spans="1:11" x14ac:dyDescent="0.55000000000000004">
      <c r="A258">
        <v>138</v>
      </c>
      <c r="B258">
        <f>climate_scores!H139*weights!$C$13</f>
        <v>5.9778327847236148E-2</v>
      </c>
      <c r="D258">
        <f>bird_scores!D139*weights!$C$14</f>
        <v>4.1645362245478691E-2</v>
      </c>
      <c r="F258">
        <f>size_scores!C139*weights!$C$15</f>
        <v>5.8790582999999993E-2</v>
      </c>
      <c r="H258">
        <f>estuary_data!Z139*weights!$C$16</f>
        <v>4.2698870234483689E-2</v>
      </c>
      <c r="J258">
        <f>SUM(B258:H258)</f>
        <v>0.20291314332719854</v>
      </c>
      <c r="K258" t="str">
        <f>IF(J258&gt;$N$2/5*4, "1", IF(J258&gt;$N$2/5*3, "2", IF(J258&gt;$N$2/5*2, "3", IF(J258&gt;$N$2/5, "4", "5"))))</f>
        <v>4</v>
      </c>
    </row>
    <row r="259" spans="1:11" x14ac:dyDescent="0.55000000000000004">
      <c r="A259">
        <v>139</v>
      </c>
      <c r="B259">
        <f>climate_scores!H140*weights!$C$13</f>
        <v>5.9605637517095758E-2</v>
      </c>
      <c r="D259">
        <f>bird_scores!D140*weights!$C$14</f>
        <v>3.8995857690464965E-2</v>
      </c>
      <c r="F259">
        <f>size_scores!C140*weights!$C$15</f>
        <v>5.8790582999999993E-2</v>
      </c>
      <c r="H259">
        <f>estuary_data!Z140*weights!$C$16</f>
        <v>2.152771850026677E-2</v>
      </c>
      <c r="J259">
        <f>SUM(B259:H259)</f>
        <v>0.17891979670782751</v>
      </c>
      <c r="K259" t="str">
        <f>IF(J259&gt;$N$2/5*4, "1", IF(J259&gt;$N$2/5*3, "2", IF(J259&gt;$N$2/5*2, "3", IF(J259&gt;$N$2/5, "4", "5"))))</f>
        <v>4</v>
      </c>
    </row>
    <row r="260" spans="1:11" x14ac:dyDescent="0.55000000000000004">
      <c r="A260">
        <v>140</v>
      </c>
      <c r="B260">
        <f>climate_scores!H141*weights!$C$13</f>
        <v>6.5250299327852535E-2</v>
      </c>
      <c r="D260">
        <f>bird_scores!D141*weights!$C$14</f>
        <v>4.3846676842553042E-2</v>
      </c>
      <c r="F260">
        <f>size_scores!C141*weights!$C$15</f>
        <v>3.9193722E-2</v>
      </c>
      <c r="H260">
        <f>estuary_data!Z141*weights!$C$16</f>
        <v>4.4214278990196046E-2</v>
      </c>
      <c r="J260">
        <f>SUM(B260:H260)</f>
        <v>0.19250497716060161</v>
      </c>
      <c r="K260" t="str">
        <f>IF(J260&gt;$N$2/5*4, "1", IF(J260&gt;$N$2/5*3, "2", IF(J260&gt;$N$2/5*2, "3", IF(J260&gt;$N$2/5, "4", "5"))))</f>
        <v>4</v>
      </c>
    </row>
    <row r="261" spans="1:11" x14ac:dyDescent="0.55000000000000004">
      <c r="A261">
        <v>141</v>
      </c>
      <c r="B261">
        <f>climate_scores!H142*weights!$C$13</f>
        <v>6.6395627020070194E-2</v>
      </c>
      <c r="D261">
        <f>bird_scores!D142*weights!$C$14</f>
        <v>5.0800442171745869E-2</v>
      </c>
      <c r="F261">
        <f>size_scores!C142*weights!$C$15</f>
        <v>5.8790582999999993E-2</v>
      </c>
      <c r="H261">
        <f>estuary_data!Z142*weights!$C$16</f>
        <v>4.4214278990196046E-2</v>
      </c>
      <c r="J261">
        <f>SUM(B261:H261)</f>
        <v>0.22020093118201212</v>
      </c>
      <c r="K261" t="str">
        <f>IF(J261&gt;$N$2/5*4, "1", IF(J261&gt;$N$2/5*3, "2", IF(J261&gt;$N$2/5*2, "3", IF(J261&gt;$N$2/5, "4", "5"))))</f>
        <v>4</v>
      </c>
    </row>
    <row r="262" spans="1:11" x14ac:dyDescent="0.55000000000000004">
      <c r="A262">
        <v>142</v>
      </c>
      <c r="B262">
        <f>climate_scores!H143*weights!$C$13</f>
        <v>6.6597243620645175E-2</v>
      </c>
      <c r="D262">
        <f>bird_scores!D143*weights!$C$14</f>
        <v>4.9524281775794349E-2</v>
      </c>
      <c r="F262">
        <f>size_scores!C143*weights!$C$15</f>
        <v>7.8387444000000001E-2</v>
      </c>
      <c r="H262">
        <f>estuary_data!Z143*weights!$C$16</f>
        <v>4.4214278990196046E-2</v>
      </c>
      <c r="J262">
        <f>SUM(B262:H262)</f>
        <v>0.23872324838663556</v>
      </c>
      <c r="K262" t="str">
        <f>IF(J262&gt;$N$2/5*4, "1", IF(J262&gt;$N$2/5*3, "2", IF(J262&gt;$N$2/5*2, "3", IF(J262&gt;$N$2/5, "4", "5"))))</f>
        <v>4</v>
      </c>
    </row>
    <row r="263" spans="1:11" x14ac:dyDescent="0.55000000000000004">
      <c r="A263">
        <v>143</v>
      </c>
      <c r="B263">
        <f>climate_scores!H144*weights!$C$13</f>
        <v>6.6110325246976229E-2</v>
      </c>
      <c r="D263">
        <f>bird_scores!D144*weights!$C$14</f>
        <v>0.44320443742306775</v>
      </c>
      <c r="F263">
        <f>size_scores!C144*weights!$C$15</f>
        <v>7.8387444000000001E-2</v>
      </c>
      <c r="H263">
        <f>estuary_data!Z144*weights!$C$16</f>
        <v>4.4214278990196046E-2</v>
      </c>
      <c r="J263">
        <f>SUM(B263:H263)</f>
        <v>0.63191648566023995</v>
      </c>
      <c r="K263" t="str">
        <f>IF(J263&gt;$N$2/5*4, "1", IF(J263&gt;$N$2/5*3, "2", IF(J263&gt;$N$2/5*2, "3", IF(J263&gt;$N$2/5, "4", "5"))))</f>
        <v>2</v>
      </c>
    </row>
    <row r="264" spans="1:11" x14ac:dyDescent="0.55000000000000004">
      <c r="A264">
        <v>144</v>
      </c>
      <c r="B264">
        <f>climate_scores!H145*weights!$C$13</f>
        <v>6.4048859887828449E-2</v>
      </c>
      <c r="D264">
        <f>bird_scores!D145*weights!$C$14</f>
        <v>0.4206718523963579</v>
      </c>
      <c r="F264">
        <f>size_scores!C145*weights!$C$15</f>
        <v>7.8387444000000001E-2</v>
      </c>
      <c r="H264">
        <f>estuary_data!Z145*weights!$C$16</f>
        <v>4.433313457887933E-2</v>
      </c>
      <c r="J264">
        <f>SUM(B264:H264)</f>
        <v>0.60744129086306564</v>
      </c>
      <c r="K264" t="str">
        <f>IF(J264&gt;$N$2/5*4, "1", IF(J264&gt;$N$2/5*3, "2", IF(J264&gt;$N$2/5*2, "3", IF(J264&gt;$N$2/5, "4", "5"))))</f>
        <v>2</v>
      </c>
    </row>
    <row r="265" spans="1:11" x14ac:dyDescent="0.55000000000000004">
      <c r="A265">
        <v>145</v>
      </c>
      <c r="B265">
        <f>climate_scores!H146*weights!$C$13</f>
        <v>5.9873042336282024E-2</v>
      </c>
      <c r="D265">
        <f>bird_scores!D146*weights!$C$14</f>
        <v>0.37303057105904031</v>
      </c>
      <c r="F265">
        <f>size_scores!C146*weights!$C$15</f>
        <v>0.11758116599999999</v>
      </c>
      <c r="H265">
        <f>estuary_data!Z146*weights!$C$16</f>
        <v>1.6599405695325829E-2</v>
      </c>
      <c r="J265">
        <f>SUM(B265:H265)</f>
        <v>0.56708418509064817</v>
      </c>
      <c r="K265" t="str">
        <f>IF(J265&gt;$N$2/5*4, "1", IF(J265&gt;$N$2/5*3, "2", IF(J265&gt;$N$2/5*2, "3", IF(J265&gt;$N$2/5, "4", "5"))))</f>
        <v>2</v>
      </c>
    </row>
    <row r="266" spans="1:11" x14ac:dyDescent="0.55000000000000004">
      <c r="A266">
        <v>146</v>
      </c>
      <c r="B266">
        <f>climate_scores!H147*weights!$C$13</f>
        <v>5.8407000195043753E-2</v>
      </c>
      <c r="D266">
        <f>bird_scores!D147*weights!$C$14</f>
        <v>0.33994743325594667</v>
      </c>
      <c r="F266">
        <f>size_scores!C147*weights!$C$15</f>
        <v>3.9193722E-2</v>
      </c>
      <c r="H266">
        <f>estuary_data!Z147*weights!$C$16</f>
        <v>3.3645250174633462E-2</v>
      </c>
      <c r="J266">
        <f>SUM(B266:H266)</f>
        <v>0.47119340562562384</v>
      </c>
      <c r="K266" t="str">
        <f>IF(J266&gt;$N$2/5*4, "1", IF(J266&gt;$N$2/5*3, "2", IF(J266&gt;$N$2/5*2, "3", IF(J266&gt;$N$2/5, "4", "5"))))</f>
        <v>3</v>
      </c>
    </row>
    <row r="267" spans="1:11" x14ac:dyDescent="0.55000000000000004">
      <c r="A267">
        <v>147</v>
      </c>
      <c r="B267">
        <f>climate_scores!H148*weights!$C$13</f>
        <v>7.1116139993966931E-2</v>
      </c>
      <c r="D267">
        <f>bird_scores!D148*weights!$C$14</f>
        <v>0.35584997075593217</v>
      </c>
      <c r="F267">
        <f>size_scores!C148*weights!$C$15</f>
        <v>0.13717802699999998</v>
      </c>
      <c r="H267">
        <f>estuary_data!Z148*weights!$C$16</f>
        <v>7.9414937287349725E-3</v>
      </c>
      <c r="J267">
        <f>SUM(B267:H267)</f>
        <v>0.572085631478634</v>
      </c>
      <c r="K267" t="str">
        <f>IF(J267&gt;$N$2/5*4, "1", IF(J267&gt;$N$2/5*3, "2", IF(J267&gt;$N$2/5*2, "3", IF(J267&gt;$N$2/5, "4", "5"))))</f>
        <v>2</v>
      </c>
    </row>
    <row r="268" spans="1:11" x14ac:dyDescent="0.55000000000000004">
      <c r="A268">
        <v>148</v>
      </c>
      <c r="B268">
        <f>climate_scores!H149*weights!$C$13</f>
        <v>7.1116139993966931E-2</v>
      </c>
      <c r="D268">
        <f>bird_scores!D149*weights!$C$14</f>
        <v>0.34165136191933293</v>
      </c>
      <c r="F268">
        <f>size_scores!C149*weights!$C$15</f>
        <v>5.8790582999999993E-2</v>
      </c>
      <c r="H268">
        <f>estuary_data!Z149*weights!$C$16</f>
        <v>3.4457660476243226E-2</v>
      </c>
      <c r="J268">
        <f>SUM(B268:H268)</f>
        <v>0.50601574538954308</v>
      </c>
      <c r="K268" t="str">
        <f>IF(J268&gt;$N$2/5*4, "1", IF(J268&gt;$N$2/5*3, "2", IF(J268&gt;$N$2/5*2, "3", IF(J268&gt;$N$2/5, "4", "5"))))</f>
        <v>2</v>
      </c>
    </row>
    <row r="269" spans="1:11" x14ac:dyDescent="0.55000000000000004">
      <c r="A269">
        <v>149</v>
      </c>
      <c r="B269">
        <f>climate_scores!H150*weights!$C$13</f>
        <v>6.9342217368407372E-2</v>
      </c>
      <c r="D269">
        <f>bird_scores!D150*weights!$C$14</f>
        <v>0.29731142203414207</v>
      </c>
      <c r="F269">
        <f>size_scores!C150*weights!$C$15</f>
        <v>7.8387444000000001E-2</v>
      </c>
      <c r="H269">
        <f>estuary_data!Z150*weights!$C$16</f>
        <v>4.0149990336699061E-2</v>
      </c>
      <c r="J269">
        <f>SUM(B269:H269)</f>
        <v>0.48519107373924852</v>
      </c>
      <c r="K269" t="str">
        <f>IF(J269&gt;$N$2/5*4, "1", IF(J269&gt;$N$2/5*3, "2", IF(J269&gt;$N$2/5*2, "3", IF(J269&gt;$N$2/5, "4", "5"))))</f>
        <v>2</v>
      </c>
    </row>
    <row r="270" spans="1:11" x14ac:dyDescent="0.55000000000000004">
      <c r="A270">
        <v>150</v>
      </c>
      <c r="B270">
        <f>climate_scores!H151*weights!$C$13</f>
        <v>4.6056607380767355E-2</v>
      </c>
      <c r="D270">
        <f>bird_scores!D151*weights!$C$14</f>
        <v>0.29731142203414207</v>
      </c>
      <c r="F270">
        <f>size_scores!C151*weights!$C$15</f>
        <v>0.156774888</v>
      </c>
      <c r="H270">
        <f>estuary_data!Z151*weights!$C$16</f>
        <v>1.7228830238121565E-2</v>
      </c>
      <c r="J270">
        <f>SUM(B270:H270)</f>
        <v>0.51737174765303107</v>
      </c>
      <c r="K270" t="str">
        <f>IF(J270&gt;$N$2/5*4, "1", IF(J270&gt;$N$2/5*3, "2", IF(J270&gt;$N$2/5*2, "3", IF(J270&gt;$N$2/5, "4", "5"))))</f>
        <v>2</v>
      </c>
    </row>
    <row r="271" spans="1:11" x14ac:dyDescent="0.55000000000000004">
      <c r="A271">
        <v>152</v>
      </c>
      <c r="B271">
        <f>climate_scores!H153*weights!$C$13</f>
        <v>5.6923666531409532E-2</v>
      </c>
      <c r="D271">
        <f>bird_scores!D153*weights!$C$14</f>
        <v>0.28515501424323375</v>
      </c>
      <c r="F271">
        <f>size_scores!C153*weights!$C$15</f>
        <v>3.9193722E-2</v>
      </c>
      <c r="H271">
        <f>estuary_data!Z153*weights!$C$16</f>
        <v>3.5065737214575732E-2</v>
      </c>
      <c r="J271">
        <f>SUM(B271:H271)</f>
        <v>0.41633813998921898</v>
      </c>
      <c r="K271" t="str">
        <f>IF(J271&gt;$N$2/5*4, "1", IF(J271&gt;$N$2/5*3, "2", IF(J271&gt;$N$2/5*2, "3", IF(J271&gt;$N$2/5, "4", "5"))))</f>
        <v>3</v>
      </c>
    </row>
    <row r="272" spans="1:11" x14ac:dyDescent="0.55000000000000004">
      <c r="A272">
        <v>153</v>
      </c>
      <c r="B272">
        <f>climate_scores!H154*weights!$C$13</f>
        <v>4.4117368829747684E-2</v>
      </c>
      <c r="D272">
        <f>bird_scores!D154*weights!$C$14</f>
        <v>0.27806595683590957</v>
      </c>
      <c r="F272">
        <f>size_scores!C154*weights!$C$15</f>
        <v>0.17637174899999999</v>
      </c>
      <c r="H272">
        <f>estuary_data!Z154*weights!$C$16</f>
        <v>1.0509610227524096E-2</v>
      </c>
      <c r="J272">
        <f>SUM(B272:H272)</f>
        <v>0.50906468489318135</v>
      </c>
      <c r="K272" t="str">
        <f>IF(J272&gt;$N$2/5*4, "1", IF(J272&gt;$N$2/5*3, "2", IF(J272&gt;$N$2/5*2, "3", IF(J272&gt;$N$2/5, "4", "5"))))</f>
        <v>2</v>
      </c>
    </row>
    <row r="273" spans="1:11" x14ac:dyDescent="0.55000000000000004">
      <c r="A273">
        <v>154</v>
      </c>
      <c r="B273">
        <f>climate_scores!H155*weights!$C$13</f>
        <v>4.328944786307333E-2</v>
      </c>
      <c r="D273">
        <f>bird_scores!D155*weights!$C$14</f>
        <v>0.28874632138050399</v>
      </c>
      <c r="F273">
        <f>size_scores!C155*weights!$C$15</f>
        <v>0.156774888</v>
      </c>
      <c r="H273">
        <f>estuary_data!Z155*weights!$C$16</f>
        <v>1.5764415341286048E-2</v>
      </c>
      <c r="J273">
        <f>SUM(B273:H273)</f>
        <v>0.50457507258486334</v>
      </c>
      <c r="K273" t="str">
        <f>IF(J273&gt;$N$2/5*4, "1", IF(J273&gt;$N$2/5*3, "2", IF(J273&gt;$N$2/5*2, "3", IF(J273&gt;$N$2/5, "4", "5"))))</f>
        <v>2</v>
      </c>
    </row>
    <row r="274" spans="1:11" x14ac:dyDescent="0.55000000000000004">
      <c r="A274">
        <v>155</v>
      </c>
      <c r="B274">
        <f>climate_scores!H156*weights!$C$13</f>
        <v>4.3892982259868943E-2</v>
      </c>
      <c r="D274">
        <f>bird_scores!D156*weights!$C$14</f>
        <v>0.31205471102898508</v>
      </c>
      <c r="F274">
        <f>size_scores!C156*weights!$C$15</f>
        <v>0.13717802699999998</v>
      </c>
      <c r="H274">
        <f>estuary_data!Z156*weights!$C$16</f>
        <v>2.8466363317474978E-2</v>
      </c>
      <c r="J274">
        <f>SUM(B274:H274)</f>
        <v>0.52159208360632892</v>
      </c>
      <c r="K274" t="str">
        <f>IF(J274&gt;$N$2/5*4, "1", IF(J274&gt;$N$2/5*3, "2", IF(J274&gt;$N$2/5*2, "3", IF(J274&gt;$N$2/5, "4", "5"))))</f>
        <v>2</v>
      </c>
    </row>
    <row r="275" spans="1:11" x14ac:dyDescent="0.55000000000000004">
      <c r="A275">
        <v>156</v>
      </c>
      <c r="B275">
        <f>climate_scores!H157*weights!$C$13</f>
        <v>4.8688319882001799E-2</v>
      </c>
      <c r="D275">
        <f>bird_scores!D157*weights!$C$14</f>
        <v>0.23804910523290473</v>
      </c>
      <c r="F275">
        <f>size_scores!C157*weights!$C$15</f>
        <v>0.13717802699999998</v>
      </c>
      <c r="H275">
        <f>estuary_data!Z157*weights!$C$16</f>
        <v>2.6580272305319882E-2</v>
      </c>
      <c r="J275">
        <f>SUM(B275:H275)</f>
        <v>0.4504957244202264</v>
      </c>
      <c r="K275" t="str">
        <f>IF(J275&gt;$N$2/5*4, "1", IF(J275&gt;$N$2/5*3, "2", IF(J275&gt;$N$2/5*2, "3", IF(J275&gt;$N$2/5, "4", "5"))))</f>
        <v>3</v>
      </c>
    </row>
    <row r="276" spans="1:11" x14ac:dyDescent="0.55000000000000004">
      <c r="A276">
        <v>157</v>
      </c>
      <c r="B276">
        <f>climate_scores!H158*weights!$C$13</f>
        <v>4.1465345276450578E-2</v>
      </c>
      <c r="D276">
        <f>bird_scores!D158*weights!$C$14</f>
        <v>0.22938947990998468</v>
      </c>
      <c r="F276">
        <f>size_scores!C158*weights!$C$15</f>
        <v>0.11758116599999999</v>
      </c>
      <c r="H276">
        <f>estuary_data!Z158*weights!$C$16</f>
        <v>2.6278886628119839E-2</v>
      </c>
      <c r="J276">
        <f>SUM(B276:H276)</f>
        <v>0.41471487781455507</v>
      </c>
      <c r="K276" t="str">
        <f>IF(J276&gt;$N$2/5*4, "1", IF(J276&gt;$N$2/5*3, "2", IF(J276&gt;$N$2/5*2, "3", IF(J276&gt;$N$2/5, "4", "5"))))</f>
        <v>3</v>
      </c>
    </row>
    <row r="277" spans="1:11" x14ac:dyDescent="0.55000000000000004">
      <c r="A277">
        <v>158</v>
      </c>
      <c r="B277">
        <f>climate_scores!H159*weights!$C$13</f>
        <v>4.3594939685800527E-2</v>
      </c>
      <c r="D277">
        <f>bird_scores!D159*weights!$C$14</f>
        <v>0.22761420981178862</v>
      </c>
      <c r="F277">
        <f>size_scores!C159*weights!$C$15</f>
        <v>5.8790582999999993E-2</v>
      </c>
      <c r="H277">
        <f>estuary_data!Z159*weights!$C$16</f>
        <v>5.255777325623958E-2</v>
      </c>
      <c r="J277">
        <f>SUM(B277:H277)</f>
        <v>0.38255750575382869</v>
      </c>
      <c r="K277" t="str">
        <f>IF(J277&gt;$N$2/5*4, "1", IF(J277&gt;$N$2/5*3, "2", IF(J277&gt;$N$2/5*2, "3", IF(J277&gt;$N$2/5, "4", "5"))))</f>
        <v>3</v>
      </c>
    </row>
    <row r="278" spans="1:11" x14ac:dyDescent="0.55000000000000004">
      <c r="A278">
        <v>159</v>
      </c>
      <c r="B278">
        <f>climate_scores!H160*weights!$C$13</f>
        <v>4.8312715113061691E-2</v>
      </c>
      <c r="D278">
        <f>bird_scores!D160*weights!$C$14</f>
        <v>0.23301612382317269</v>
      </c>
      <c r="F278">
        <f>size_scores!C160*weights!$C$15</f>
        <v>9.7984304999999994E-2</v>
      </c>
      <c r="H278">
        <f>estuary_data!Z160*weights!$C$16</f>
        <v>3.5757952281992147E-2</v>
      </c>
      <c r="J278">
        <f>SUM(B278:H278)</f>
        <v>0.41507109621822652</v>
      </c>
      <c r="K278" t="str">
        <f>IF(J278&gt;$N$2/5*4, "1", IF(J278&gt;$N$2/5*3, "2", IF(J278&gt;$N$2/5*2, "3", IF(J278&gt;$N$2/5, "4", "5"))))</f>
        <v>3</v>
      </c>
    </row>
    <row r="279" spans="1:11" x14ac:dyDescent="0.55000000000000004">
      <c r="A279">
        <v>160</v>
      </c>
      <c r="B279">
        <f>climate_scores!H161*weights!$C$13</f>
        <v>5.2692441835395364E-2</v>
      </c>
      <c r="D279">
        <f>bird_scores!D161*weights!$C$14</f>
        <v>0.26341189604229537</v>
      </c>
      <c r="F279">
        <f>size_scores!C161*weights!$C$15</f>
        <v>9.7984304999999994E-2</v>
      </c>
      <c r="H279">
        <f>estuary_data!Z161*weights!$C$16</f>
        <v>2.6947403138266213E-2</v>
      </c>
      <c r="J279">
        <f>SUM(B279:H279)</f>
        <v>0.44103604601595692</v>
      </c>
      <c r="K279" t="str">
        <f>IF(J279&gt;$N$2/5*4, "1", IF(J279&gt;$N$2/5*3, "2", IF(J279&gt;$N$2/5*2, "3", IF(J279&gt;$N$2/5, "4", "5"))))</f>
        <v>3</v>
      </c>
    </row>
    <row r="280" spans="1:11" x14ac:dyDescent="0.55000000000000004">
      <c r="A280">
        <v>161</v>
      </c>
      <c r="B280">
        <f>climate_scores!H162*weights!$C$13</f>
        <v>5.4168882377847845E-2</v>
      </c>
      <c r="D280">
        <f>bird_scores!D162*weights!$C$14</f>
        <v>0.25560753587615753</v>
      </c>
      <c r="F280">
        <f>size_scores!C162*weights!$C$15</f>
        <v>3.9193722E-2</v>
      </c>
      <c r="H280">
        <f>estuary_data!Z162*weights!$C$16</f>
        <v>7.6998212624775436E-2</v>
      </c>
      <c r="J280">
        <f>SUM(B280:H280)</f>
        <v>0.42596835287878076</v>
      </c>
      <c r="K280" t="str">
        <f>IF(J280&gt;$N$2/5*4, "1", IF(J280&gt;$N$2/5*3, "2", IF(J280&gt;$N$2/5*2, "3", IF(J280&gt;$N$2/5, "4", "5"))))</f>
        <v>3</v>
      </c>
    </row>
    <row r="281" spans="1:11" x14ac:dyDescent="0.55000000000000004">
      <c r="A281">
        <v>162</v>
      </c>
      <c r="B281">
        <f>climate_scores!H163*weights!$C$13</f>
        <v>5.6927578992258455E-2</v>
      </c>
      <c r="D281">
        <f>bird_scores!D163*weights!$C$14</f>
        <v>0.2296273690042544</v>
      </c>
      <c r="F281">
        <f>size_scores!C163*weights!$C$15</f>
        <v>1.9596861E-2</v>
      </c>
      <c r="H281">
        <f>estuary_data!Z163*weights!$C$16</f>
        <v>8.0842209414798735E-2</v>
      </c>
      <c r="J281">
        <f>SUM(B281:H281)</f>
        <v>0.38699401841131165</v>
      </c>
      <c r="K281" t="str">
        <f>IF(J281&gt;$N$2/5*4, "1", IF(J281&gt;$N$2/5*3, "2", IF(J281&gt;$N$2/5*2, "3", IF(J281&gt;$N$2/5, "4", "5"))))</f>
        <v>3</v>
      </c>
    </row>
    <row r="282" spans="1:11" x14ac:dyDescent="0.55000000000000004">
      <c r="A282">
        <v>163</v>
      </c>
      <c r="B282">
        <f>climate_scores!H164*weights!$C$13</f>
        <v>5.5497470572866116E-2</v>
      </c>
      <c r="D282">
        <f>bird_scores!D164*weights!$C$14</f>
        <v>0.26789796190929543</v>
      </c>
      <c r="F282">
        <f>size_scores!C164*weights!$C$15</f>
        <v>9.7984304999999994E-2</v>
      </c>
      <c r="H282">
        <f>estuary_data!Z164*weights!$C$16</f>
        <v>8.0842209414798735E-2</v>
      </c>
      <c r="J282">
        <f>SUM(B282:H282)</f>
        <v>0.50222194689696031</v>
      </c>
      <c r="K282" t="str">
        <f>IF(J282&gt;$N$2/5*4, "1", IF(J282&gt;$N$2/5*3, "2", IF(J282&gt;$N$2/5*2, "3", IF(J282&gt;$N$2/5, "4", "5"))))</f>
        <v>2</v>
      </c>
    </row>
    <row r="283" spans="1:11" x14ac:dyDescent="0.55000000000000004">
      <c r="A283">
        <v>164</v>
      </c>
      <c r="B283">
        <f>climate_scores!H165*weights!$C$13</f>
        <v>6.0924263149976648E-2</v>
      </c>
      <c r="D283">
        <f>bird_scores!D165*weights!$C$14</f>
        <v>0.25573437788327685</v>
      </c>
      <c r="F283">
        <f>size_scores!C165*weights!$C$15</f>
        <v>5.8790582999999993E-2</v>
      </c>
      <c r="H283">
        <f>estuary_data!Z165*weights!$C$16</f>
        <v>8.3680853198200567E-2</v>
      </c>
      <c r="J283">
        <f>SUM(B283:H283)</f>
        <v>0.45913007723145405</v>
      </c>
      <c r="K283" t="str">
        <f>IF(J283&gt;$N$2/5*4, "1", IF(J283&gt;$N$2/5*3, "2", IF(J283&gt;$N$2/5*2, "3", IF(J283&gt;$N$2/5, "4", "5"))))</f>
        <v>3</v>
      </c>
    </row>
    <row r="284" spans="1:11" x14ac:dyDescent="0.55000000000000004">
      <c r="A284">
        <v>165</v>
      </c>
      <c r="B284">
        <f>climate_scores!H166*weights!$C$13</f>
        <v>5.4811771461694907E-2</v>
      </c>
      <c r="D284">
        <f>bird_scores!D166*weights!$C$14</f>
        <v>0.25559838628089615</v>
      </c>
      <c r="F284">
        <f>size_scores!C166*weights!$C$15</f>
        <v>0.11758116599999999</v>
      </c>
      <c r="H284">
        <f>estuary_data!Z166*weights!$C$16</f>
        <v>6.6824904160757287E-2</v>
      </c>
      <c r="J284">
        <f>SUM(B284:H284)</f>
        <v>0.49481622790334834</v>
      </c>
      <c r="K284" t="str">
        <f>IF(J284&gt;$N$2/5*4, "1", IF(J284&gt;$N$2/5*3, "2", IF(J284&gt;$N$2/5*2, "3", IF(J284&gt;$N$2/5, "4", "5"))))</f>
        <v>2</v>
      </c>
    </row>
    <row r="285" spans="1:11" x14ac:dyDescent="0.55000000000000004">
      <c r="A285">
        <v>166</v>
      </c>
      <c r="B285">
        <f>climate_scores!H167*weights!$C$13</f>
        <v>5.607683635667926E-2</v>
      </c>
      <c r="D285">
        <f>bird_scores!D167*weights!$C$14</f>
        <v>0.21476912485637534</v>
      </c>
      <c r="F285">
        <f>size_scores!C167*weights!$C$15</f>
        <v>9.7984304999999994E-2</v>
      </c>
      <c r="H285">
        <f>estuary_data!Z167*weights!$C$16</f>
        <v>7.2066999116124117E-2</v>
      </c>
      <c r="J285">
        <f>SUM(B285:H285)</f>
        <v>0.44089726532917872</v>
      </c>
      <c r="K285" t="str">
        <f>IF(J285&gt;$N$2/5*4, "1", IF(J285&gt;$N$2/5*3, "2", IF(J285&gt;$N$2/5*2, "3", IF(J285&gt;$N$2/5, "4", "5"))))</f>
        <v>3</v>
      </c>
    </row>
    <row r="286" spans="1:11" x14ac:dyDescent="0.55000000000000004">
      <c r="A286">
        <v>167</v>
      </c>
      <c r="B286">
        <f>climate_scores!H168*weights!$C$13</f>
        <v>5.1876084490658586E-2</v>
      </c>
      <c r="D286">
        <f>bird_scores!D168*weights!$C$14</f>
        <v>0.17468693815919367</v>
      </c>
      <c r="F286">
        <f>size_scores!C168*weights!$C$15</f>
        <v>3.9193722E-2</v>
      </c>
      <c r="H286">
        <f>estuary_data!Z168*weights!$C$16</f>
        <v>7.7923033120317689E-2</v>
      </c>
      <c r="J286">
        <f>SUM(B286:H286)</f>
        <v>0.34367977777016995</v>
      </c>
      <c r="K286" t="str">
        <f>IF(J286&gt;$N$2/5*4, "1", IF(J286&gt;$N$2/5*3, "2", IF(J286&gt;$N$2/5*2, "3", IF(J286&gt;$N$2/5, "4", "5"))))</f>
        <v>3</v>
      </c>
    </row>
    <row r="287" spans="1:11" x14ac:dyDescent="0.55000000000000004">
      <c r="A287">
        <v>168</v>
      </c>
      <c r="B287">
        <f>climate_scores!H169*weights!$C$13</f>
        <v>5.0171519130566819E-2</v>
      </c>
      <c r="D287">
        <f>bird_scores!D169*weights!$C$14</f>
        <v>0.18902524122763165</v>
      </c>
      <c r="F287">
        <f>size_scores!C169*weights!$C$15</f>
        <v>5.8790582999999993E-2</v>
      </c>
      <c r="H287">
        <f>estuary_data!Z169*weights!$C$16</f>
        <v>7.7923033120317689E-2</v>
      </c>
      <c r="J287">
        <f>SUM(B287:H287)</f>
        <v>0.37591037647851616</v>
      </c>
      <c r="K287" t="str">
        <f>IF(J287&gt;$N$2/5*4, "1", IF(J287&gt;$N$2/5*3, "2", IF(J287&gt;$N$2/5*2, "3", IF(J287&gt;$N$2/5, "4", "5"))))</f>
        <v>3</v>
      </c>
    </row>
    <row r="288" spans="1:11" x14ac:dyDescent="0.55000000000000004">
      <c r="A288">
        <v>169</v>
      </c>
      <c r="B288">
        <f>climate_scores!H170*weights!$C$13</f>
        <v>5.0042030397804554E-2</v>
      </c>
      <c r="D288">
        <f>bird_scores!D170*weights!$C$14</f>
        <v>0.21359476876886616</v>
      </c>
      <c r="F288">
        <f>size_scores!C170*weights!$C$15</f>
        <v>7.8387444000000001E-2</v>
      </c>
      <c r="H288">
        <f>estuary_data!Z170*weights!$C$16</f>
        <v>7.7923033120317689E-2</v>
      </c>
      <c r="J288">
        <f>SUM(B288:H288)</f>
        <v>0.41994727628698836</v>
      </c>
      <c r="K288" t="str">
        <f>IF(J288&gt;$N$2/5*4, "1", IF(J288&gt;$N$2/5*3, "2", IF(J288&gt;$N$2/5*2, "3", IF(J288&gt;$N$2/5, "4", "5"))))</f>
        <v>3</v>
      </c>
    </row>
    <row r="289" spans="1:11" x14ac:dyDescent="0.55000000000000004">
      <c r="A289">
        <v>170</v>
      </c>
      <c r="B289">
        <f>climate_scores!H171*weights!$C$13</f>
        <v>4.869211640066886E-2</v>
      </c>
      <c r="D289">
        <f>bird_scores!D171*weights!$C$14</f>
        <v>0.20354707597539934</v>
      </c>
      <c r="F289">
        <f>size_scores!C171*weights!$C$15</f>
        <v>7.8387444000000001E-2</v>
      </c>
      <c r="H289">
        <f>estuary_data!Z171*weights!$C$16</f>
        <v>8.1134406606488435E-2</v>
      </c>
      <c r="J289">
        <f>SUM(B289:H289)</f>
        <v>0.41176104298255656</v>
      </c>
      <c r="K289" t="str">
        <f>IF(J289&gt;$N$2/5*4, "1", IF(J289&gt;$N$2/5*3, "2", IF(J289&gt;$N$2/5*2, "3", IF(J289&gt;$N$2/5, "4", "5"))))</f>
        <v>3</v>
      </c>
    </row>
    <row r="290" spans="1:11" x14ac:dyDescent="0.55000000000000004">
      <c r="A290">
        <v>171</v>
      </c>
      <c r="B290">
        <f>climate_scores!H172*weights!$C$13</f>
        <v>5.4567582624951573E-2</v>
      </c>
      <c r="D290">
        <f>bird_scores!D172*weights!$C$14</f>
        <v>0.16829856022873629</v>
      </c>
      <c r="F290">
        <f>size_scores!C172*weights!$C$15</f>
        <v>5.8790582999999993E-2</v>
      </c>
      <c r="H290">
        <f>estuary_data!Z172*weights!$C$16</f>
        <v>9.1994876018626312E-2</v>
      </c>
      <c r="J290">
        <f>SUM(B290:H290)</f>
        <v>0.37365160187231417</v>
      </c>
      <c r="K290" t="str">
        <f>IF(J290&gt;$N$2/5*4, "1", IF(J290&gt;$N$2/5*3, "2", IF(J290&gt;$N$2/5*2, "3", IF(J290&gt;$N$2/5, "4", "5"))))</f>
        <v>3</v>
      </c>
    </row>
    <row r="291" spans="1:11" x14ac:dyDescent="0.55000000000000004">
      <c r="A291">
        <v>172</v>
      </c>
      <c r="B291">
        <f>climate_scores!H173*weights!$C$13</f>
        <v>8.1222316719319371E-2</v>
      </c>
      <c r="D291">
        <f>bird_scores!D173*weights!$C$14</f>
        <v>0.18639311994407837</v>
      </c>
      <c r="F291">
        <f>size_scores!C173*weights!$C$15</f>
        <v>9.7984304999999994E-2</v>
      </c>
      <c r="H291">
        <f>estuary_data!Z173*weights!$C$16</f>
        <v>4.7893089999999999E-2</v>
      </c>
      <c r="J291">
        <f>SUM(B291:H291)</f>
        <v>0.41349283166339768</v>
      </c>
      <c r="K291" t="str">
        <f>IF(J291&gt;$N$2/5*4, "1", IF(J291&gt;$N$2/5*3, "2", IF(J291&gt;$N$2/5*2, "3", IF(J291&gt;$N$2/5, "4", "5"))))</f>
        <v>3</v>
      </c>
    </row>
    <row r="292" spans="1:11" x14ac:dyDescent="0.55000000000000004">
      <c r="A292">
        <v>173</v>
      </c>
      <c r="B292">
        <f>climate_scores!H174*weights!$C$13</f>
        <v>7.4954261518053802E-2</v>
      </c>
      <c r="D292">
        <f>bird_scores!D174*weights!$C$14</f>
        <v>0.20354707597539934</v>
      </c>
      <c r="F292">
        <f>size_scores!C174*weights!$C$15</f>
        <v>0.13717802699999998</v>
      </c>
      <c r="H292">
        <f>estuary_data!Z174*weights!$C$16</f>
        <v>4.7893089999999999E-2</v>
      </c>
      <c r="J292">
        <f>SUM(B292:H292)</f>
        <v>0.46357245449345308</v>
      </c>
      <c r="K292" t="str">
        <f>IF(J292&gt;$N$2/5*4, "1", IF(J292&gt;$N$2/5*3, "2", IF(J292&gt;$N$2/5*2, "3", IF(J292&gt;$N$2/5, "4", "5"))))</f>
        <v>3</v>
      </c>
    </row>
    <row r="293" spans="1:11" x14ac:dyDescent="0.55000000000000004">
      <c r="A293">
        <v>174</v>
      </c>
      <c r="B293">
        <f>climate_scores!H175*weights!$C$13</f>
        <v>7.4915658888129497E-2</v>
      </c>
      <c r="D293">
        <f>bird_scores!D175*weights!$C$14</f>
        <v>0.20354707597539934</v>
      </c>
      <c r="F293">
        <f>size_scores!C175*weights!$C$15</f>
        <v>0.156774888</v>
      </c>
      <c r="H293">
        <f>estuary_data!Z175*weights!$C$16</f>
        <v>2.2147093641618501E-2</v>
      </c>
      <c r="J293">
        <f>SUM(B293:H293)</f>
        <v>0.45738471650514734</v>
      </c>
      <c r="K293" t="str">
        <f>IF(J293&gt;$N$2/5*4, "1", IF(J293&gt;$N$2/5*3, "2", IF(J293&gt;$N$2/5*2, "3", IF(J293&gt;$N$2/5, "4", "5"))))</f>
        <v>3</v>
      </c>
    </row>
    <row r="294" spans="1:11" x14ac:dyDescent="0.55000000000000004">
      <c r="A294">
        <v>176</v>
      </c>
      <c r="B294">
        <f>climate_scores!H177*weights!$C$13</f>
        <v>4.597069884147912E-2</v>
      </c>
      <c r="D294">
        <f>bird_scores!D177*weights!$C$14</f>
        <v>0.19638383962158087</v>
      </c>
      <c r="F294">
        <f>size_scores!C177*weights!$C$15</f>
        <v>0.17637174899999999</v>
      </c>
      <c r="H294">
        <f>estuary_data!Z177*weights!$C$16</f>
        <v>1.3666425113919071E-2</v>
      </c>
      <c r="J294">
        <f>SUM(B294:H294)</f>
        <v>0.43239271257697903</v>
      </c>
      <c r="K294" t="str">
        <f>IF(J294&gt;$N$2/5*4, "1", IF(J294&gt;$N$2/5*3, "2", IF(J294&gt;$N$2/5*2, "3", IF(J294&gt;$N$2/5, "4", "5"))))</f>
        <v>3</v>
      </c>
    </row>
    <row r="295" spans="1:11" x14ac:dyDescent="0.55000000000000004">
      <c r="A295">
        <v>177</v>
      </c>
      <c r="B295">
        <f>climate_scores!H178*weights!$C$13</f>
        <v>4.6666019166227E-2</v>
      </c>
      <c r="D295">
        <f>bird_scores!D178*weights!$C$14</f>
        <v>0.18056267154992225</v>
      </c>
      <c r="F295">
        <f>size_scores!C178*weights!$C$15</f>
        <v>0.19596860999999999</v>
      </c>
      <c r="H295">
        <f>estuary_data!Z178*weights!$C$16</f>
        <v>6.3075808218087913E-3</v>
      </c>
      <c r="J295">
        <f>SUM(B295:H295)</f>
        <v>0.42950488153795802</v>
      </c>
      <c r="K295" t="str">
        <f>IF(J295&gt;$N$2/5*4, "1", IF(J295&gt;$N$2/5*3, "2", IF(J295&gt;$N$2/5*2, "3", IF(J295&gt;$N$2/5, "4", "5"))))</f>
        <v>3</v>
      </c>
    </row>
    <row r="296" spans="1:11" x14ac:dyDescent="0.55000000000000004">
      <c r="A296">
        <v>178</v>
      </c>
      <c r="B296">
        <f>climate_scores!H179*weights!$C$13</f>
        <v>4.6700716580383959E-2</v>
      </c>
      <c r="D296">
        <f>bird_scores!D179*weights!$C$14</f>
        <v>0.20741807197537521</v>
      </c>
      <c r="F296">
        <f>size_scores!C179*weights!$C$15</f>
        <v>0.17637174899999999</v>
      </c>
      <c r="H296">
        <f>estuary_data!Z179*weights!$C$16</f>
        <v>5.8570393345367278E-3</v>
      </c>
      <c r="J296">
        <f>SUM(B296:H296)</f>
        <v>0.43634757689029591</v>
      </c>
      <c r="K296" t="str">
        <f>IF(J296&gt;$N$2/5*4, "1", IF(J296&gt;$N$2/5*3, "2", IF(J296&gt;$N$2/5*2, "3", IF(J296&gt;$N$2/5, "4", "5"))))</f>
        <v>3</v>
      </c>
    </row>
    <row r="297" spans="1:11" x14ac:dyDescent="0.55000000000000004">
      <c r="A297">
        <v>179</v>
      </c>
      <c r="B297">
        <f>climate_scores!H180*weights!$C$13</f>
        <v>4.4266180354239008E-2</v>
      </c>
      <c r="D297">
        <f>bird_scores!D180*weights!$C$14</f>
        <v>0.16888946932264973</v>
      </c>
      <c r="F297">
        <f>size_scores!C180*weights!$C$15</f>
        <v>0.156774888</v>
      </c>
      <c r="H297">
        <f>estuary_data!Z180*weights!$C$16</f>
        <v>1.4926003465432285E-2</v>
      </c>
      <c r="J297">
        <f>SUM(B297:H297)</f>
        <v>0.38485654114232104</v>
      </c>
      <c r="K297" t="str">
        <f>IF(J297&gt;$N$2/5*4, "1", IF(J297&gt;$N$2/5*3, "2", IF(J297&gt;$N$2/5*2, "3", IF(J297&gt;$N$2/5, "4", "5"))))</f>
        <v>3</v>
      </c>
    </row>
    <row r="298" spans="1:11" x14ac:dyDescent="0.55000000000000004">
      <c r="A298">
        <v>180</v>
      </c>
      <c r="B298">
        <f>climate_scores!H181*weights!$C$13</f>
        <v>5.1303447516034162E-2</v>
      </c>
      <c r="D298">
        <f>bird_scores!D181*weights!$C$14</f>
        <v>0.16662396978712526</v>
      </c>
      <c r="F298">
        <f>size_scores!C181*weights!$C$15</f>
        <v>0.13717802699999998</v>
      </c>
      <c r="H298">
        <f>estuary_data!Z181*weights!$C$16</f>
        <v>2.744602428270539E-2</v>
      </c>
      <c r="J298">
        <f>SUM(B298:H298)</f>
        <v>0.38255146858586475</v>
      </c>
      <c r="K298" t="str">
        <f>IF(J298&gt;$N$2/5*4, "1", IF(J298&gt;$N$2/5*3, "2", IF(J298&gt;$N$2/5*2, "3", IF(J298&gt;$N$2/5, "4", "5"))))</f>
        <v>3</v>
      </c>
    </row>
    <row r="299" spans="1:11" x14ac:dyDescent="0.55000000000000004">
      <c r="A299">
        <v>183</v>
      </c>
      <c r="B299">
        <f>climate_scores!H184*weights!$C$13</f>
        <v>8.1887584320439216E-2</v>
      </c>
      <c r="D299">
        <f>bird_scores!D184*weights!$C$14</f>
        <v>0.16970051132071778</v>
      </c>
      <c r="F299">
        <f>size_scores!C184*weights!$C$15</f>
        <v>5.8790582999999993E-2</v>
      </c>
      <c r="H299">
        <f>estuary_data!Z184*weights!$C$16</f>
        <v>8.8588374566474004E-2</v>
      </c>
      <c r="J299">
        <f>SUM(B299:H299)</f>
        <v>0.39896705320763104</v>
      </c>
      <c r="K299" t="str">
        <f>IF(J299&gt;$N$2/5*4, "1", IF(J299&gt;$N$2/5*3, "2", IF(J299&gt;$N$2/5*2, "3", IF(J299&gt;$N$2/5, "4", "5"))))</f>
        <v>3</v>
      </c>
    </row>
    <row r="300" spans="1:11" x14ac:dyDescent="0.55000000000000004">
      <c r="A300">
        <v>185</v>
      </c>
      <c r="B300">
        <f>climate_scores!H186*weights!$C$13</f>
        <v>5.0825897470279532E-2</v>
      </c>
      <c r="D300">
        <f>bird_scores!D186*weights!$C$14</f>
        <v>0.18073418587118542</v>
      </c>
      <c r="F300">
        <f>size_scores!C186*weights!$C$15</f>
        <v>1.9596861E-2</v>
      </c>
      <c r="H300">
        <f>estuary_data!Z186*weights!$C$16</f>
        <v>8.2221085144508627E-2</v>
      </c>
      <c r="J300">
        <f>SUM(B300:H300)</f>
        <v>0.33337802948597361</v>
      </c>
      <c r="K300" t="str">
        <f>IF(J300&gt;$N$2/5*4, "1", IF(J300&gt;$N$2/5*3, "2", IF(J300&gt;$N$2/5*2, "3", IF(J300&gt;$N$2/5, "4", "5"))))</f>
        <v>3</v>
      </c>
    </row>
    <row r="301" spans="1:11" x14ac:dyDescent="0.55000000000000004">
      <c r="A301">
        <v>187</v>
      </c>
      <c r="B301">
        <f>climate_scores!H188*weights!$C$13</f>
        <v>7.3780594491507881E-2</v>
      </c>
      <c r="D301">
        <f>bird_scores!D188*weights!$C$14</f>
        <v>0.18728397607461131</v>
      </c>
      <c r="F301">
        <f>size_scores!C188*weights!$C$15</f>
        <v>7.8387444000000001E-2</v>
      </c>
      <c r="H301">
        <f>estuary_data!Z188*weights!$C$16</f>
        <v>8.8588374566474004E-2</v>
      </c>
      <c r="J301">
        <f>SUM(B301:H301)</f>
        <v>0.42804038913259318</v>
      </c>
      <c r="K301" t="str">
        <f>IF(J301&gt;$N$2/5*4, "1", IF(J301&gt;$N$2/5*3, "2", IF(J301&gt;$N$2/5*2, "3", IF(J301&gt;$N$2/5, "4", "5"))))</f>
        <v>3</v>
      </c>
    </row>
    <row r="302" spans="1:11" x14ac:dyDescent="0.55000000000000004">
      <c r="A302">
        <v>188</v>
      </c>
      <c r="B302">
        <f>climate_scores!H189*weights!$C$13</f>
        <v>8.0314449384139536E-2</v>
      </c>
      <c r="D302">
        <f>bird_scores!D189*weights!$C$14</f>
        <v>0.19752060099323374</v>
      </c>
      <c r="F302">
        <f>size_scores!C189*weights!$C$15</f>
        <v>0.11758116599999999</v>
      </c>
      <c r="H302">
        <f>estuary_data!Z189*weights!$C$16</f>
        <v>4.4294187283237002E-2</v>
      </c>
      <c r="J302">
        <f>SUM(B302:H302)</f>
        <v>0.43971040366061021</v>
      </c>
      <c r="K302" t="str">
        <f>IF(J302&gt;$N$2/5*4, "1", IF(J302&gt;$N$2/5*3, "2", IF(J302&gt;$N$2/5*2, "3", IF(J302&gt;$N$2/5, "4", "5"))))</f>
        <v>3</v>
      </c>
    </row>
    <row r="303" spans="1:11" x14ac:dyDescent="0.55000000000000004">
      <c r="A303">
        <v>189</v>
      </c>
      <c r="B303">
        <f>climate_scores!H190*weights!$C$13</f>
        <v>6.1745109923616037E-2</v>
      </c>
      <c r="D303">
        <f>bird_scores!D190*weights!$C$14</f>
        <v>0.18714648958552443</v>
      </c>
      <c r="F303">
        <f>size_scores!C190*weights!$C$15</f>
        <v>7.8387444000000001E-2</v>
      </c>
      <c r="H303">
        <f>estuary_data!Z190*weights!$C$16</f>
        <v>4.4294187283237002E-2</v>
      </c>
      <c r="J303">
        <f>SUM(B303:H303)</f>
        <v>0.37157323079237747</v>
      </c>
      <c r="K303" t="str">
        <f>IF(J303&gt;$N$2/5*4, "1", IF(J303&gt;$N$2/5*3, "2", IF(J303&gt;$N$2/5*2, "3", IF(J303&gt;$N$2/5, "4", "5"))))</f>
        <v>3</v>
      </c>
    </row>
    <row r="304" spans="1:11" x14ac:dyDescent="0.55000000000000004">
      <c r="A304">
        <v>190</v>
      </c>
      <c r="B304">
        <f>climate_scores!H191*weights!$C$13</f>
        <v>5.4717342519021731E-2</v>
      </c>
      <c r="D304">
        <f>bird_scores!D191*weights!$C$14</f>
        <v>0.17465508079123318</v>
      </c>
      <c r="F304">
        <f>size_scores!C191*weights!$C$15</f>
        <v>7.8387444000000001E-2</v>
      </c>
      <c r="H304">
        <f>estuary_data!Z191*weights!$C$16</f>
        <v>9.5786179999999999E-2</v>
      </c>
      <c r="J304">
        <f>SUM(B304:H304)</f>
        <v>0.40354604731025495</v>
      </c>
      <c r="K304" t="str">
        <f>IF(J304&gt;$N$2/5*4, "1", IF(J304&gt;$N$2/5*3, "2", IF(J304&gt;$N$2/5*2, "3", IF(J304&gt;$N$2/5, "4", "5"))))</f>
        <v>3</v>
      </c>
    </row>
    <row r="305" spans="1:11" x14ac:dyDescent="0.55000000000000004">
      <c r="A305">
        <v>191</v>
      </c>
      <c r="B305">
        <f>climate_scores!H192*weights!$C$13</f>
        <v>4.6717685316178176E-2</v>
      </c>
      <c r="D305">
        <f>bird_scores!D192*weights!$C$14</f>
        <v>0.212929873904254</v>
      </c>
      <c r="F305">
        <f>size_scores!C192*weights!$C$15</f>
        <v>1.9596861E-2</v>
      </c>
      <c r="H305">
        <f>estuary_data!Z192*weights!$C$16</f>
        <v>8.1134406606488435E-2</v>
      </c>
      <c r="J305">
        <f>SUM(B305:H305)</f>
        <v>0.36037882682692057</v>
      </c>
      <c r="K305" t="str">
        <f>IF(J305&gt;$N$2/5*4, "1", IF(J305&gt;$N$2/5*3, "2", IF(J305&gt;$N$2/5*2, "3", IF(J305&gt;$N$2/5, "4", "5"))))</f>
        <v>3</v>
      </c>
    </row>
    <row r="306" spans="1:11" x14ac:dyDescent="0.55000000000000004">
      <c r="A306">
        <v>192</v>
      </c>
      <c r="B306">
        <f>climate_scores!H193*weights!$C$13</f>
        <v>4.3563624286001176E-2</v>
      </c>
      <c r="D306">
        <f>bird_scores!D193*weights!$C$14</f>
        <v>0.17053831294696589</v>
      </c>
      <c r="F306">
        <f>size_scores!C193*weights!$C$15</f>
        <v>0.13717802699999998</v>
      </c>
      <c r="H306">
        <f>estuary_data!Z193*weights!$C$16</f>
        <v>3.9433777366948662E-2</v>
      </c>
      <c r="J306">
        <f>SUM(B306:H306)</f>
        <v>0.39071374159991568</v>
      </c>
      <c r="K306" t="str">
        <f>IF(J306&gt;$N$2/5*4, "1", IF(J306&gt;$N$2/5*3, "2", IF(J306&gt;$N$2/5*2, "3", IF(J306&gt;$N$2/5, "4", "5"))))</f>
        <v>3</v>
      </c>
    </row>
    <row r="307" spans="1:11" x14ac:dyDescent="0.55000000000000004">
      <c r="A307">
        <v>193</v>
      </c>
      <c r="B307">
        <f>climate_scores!H194*weights!$C$13</f>
        <v>3.8976370854458063E-2</v>
      </c>
      <c r="D307">
        <f>bird_scores!D194*weights!$C$14</f>
        <v>0.14422961349206945</v>
      </c>
      <c r="F307">
        <f>size_scores!C194*weights!$C$15</f>
        <v>0.17637174899999999</v>
      </c>
      <c r="H307">
        <f>estuary_data!Z194*weights!$C$16</f>
        <v>7.6106495144008576E-3</v>
      </c>
      <c r="J307">
        <f>SUM(B307:H307)</f>
        <v>0.36718838286092842</v>
      </c>
      <c r="K307" t="str">
        <f>IF(J307&gt;$N$2/5*4, "1", IF(J307&gt;$N$2/5*3, "2", IF(J307&gt;$N$2/5*2, "3", IF(J307&gt;$N$2/5, "4", "5"))))</f>
        <v>3</v>
      </c>
    </row>
    <row r="308" spans="1:11" x14ac:dyDescent="0.55000000000000004">
      <c r="A308">
        <v>194</v>
      </c>
      <c r="B308">
        <f>climate_scores!H195*weights!$C$13</f>
        <v>3.7930240226260008E-2</v>
      </c>
      <c r="D308">
        <f>bird_scores!D195*weights!$C$14</f>
        <v>0.12698831372733274</v>
      </c>
      <c r="F308">
        <f>size_scores!C195*weights!$C$15</f>
        <v>1.9596861E-2</v>
      </c>
      <c r="H308">
        <f>estuary_data!Z195*weights!$C$16</f>
        <v>6.8044675388933662E-2</v>
      </c>
      <c r="J308">
        <f>SUM(B308:H308)</f>
        <v>0.25256009034252641</v>
      </c>
      <c r="K308" t="str">
        <f>IF(J308&gt;$N$2/5*4, "1", IF(J308&gt;$N$2/5*3, "2", IF(J308&gt;$N$2/5*2, "3", IF(J308&gt;$N$2/5, "4", "5"))))</f>
        <v>4</v>
      </c>
    </row>
    <row r="309" spans="1:11" x14ac:dyDescent="0.55000000000000004">
      <c r="A309">
        <v>195</v>
      </c>
      <c r="B309">
        <f>climate_scores!H196*weights!$C$13</f>
        <v>4.4552902272049652E-2</v>
      </c>
      <c r="D309">
        <f>bird_scores!D196*weights!$C$14</f>
        <v>0.1561637225558333</v>
      </c>
      <c r="F309">
        <f>size_scores!C196*weights!$C$15</f>
        <v>9.7984304999999994E-2</v>
      </c>
      <c r="H309">
        <f>estuary_data!Z196*weights!$C$16</f>
        <v>7.8348067846428573E-2</v>
      </c>
      <c r="J309">
        <f>SUM(B309:H309)</f>
        <v>0.37704899767431149</v>
      </c>
      <c r="K309" t="str">
        <f>IF(J309&gt;$N$2/5*4, "1", IF(J309&gt;$N$2/5*3, "2", IF(J309&gt;$N$2/5*2, "3", IF(J309&gt;$N$2/5, "4", "5"))))</f>
        <v>3</v>
      </c>
    </row>
    <row r="310" spans="1:11" x14ac:dyDescent="0.55000000000000004">
      <c r="A310">
        <v>196</v>
      </c>
      <c r="B310">
        <f>climate_scores!H197*weights!$C$13</f>
        <v>4.9564603375739501E-2</v>
      </c>
      <c r="D310">
        <f>bird_scores!D197*weights!$C$14</f>
        <v>0.11723234209770365</v>
      </c>
      <c r="F310">
        <f>size_scores!C197*weights!$C$15</f>
        <v>0.11758116599999999</v>
      </c>
      <c r="H310">
        <f>estuary_data!Z197*weights!$C$16</f>
        <v>2.4085301146279998E-2</v>
      </c>
      <c r="J310">
        <f>SUM(B310:H310)</f>
        <v>0.30846341261972315</v>
      </c>
      <c r="K310" t="str">
        <f>IF(J310&gt;$N$2/5*4, "1", IF(J310&gt;$N$2/5*3, "2", IF(J310&gt;$N$2/5*2, "3", IF(J310&gt;$N$2/5, "4", "5"))))</f>
        <v>4</v>
      </c>
    </row>
    <row r="311" spans="1:11" x14ac:dyDescent="0.55000000000000004">
      <c r="A311">
        <v>200</v>
      </c>
      <c r="B311">
        <f>climate_scores!H201*weights!$C$13</f>
        <v>5.4475962496324186E-2</v>
      </c>
      <c r="D311">
        <f>bird_scores!D201*weights!$C$14</f>
        <v>0.1557023008237727</v>
      </c>
      <c r="F311">
        <f>size_scores!C201*weights!$C$15</f>
        <v>9.7984304999999994E-2</v>
      </c>
      <c r="H311">
        <f>estuary_data!Z201*weights!$C$16</f>
        <v>2.69664713819672E-2</v>
      </c>
      <c r="J311">
        <f>SUM(B311:H311)</f>
        <v>0.33512903970206409</v>
      </c>
      <c r="K311" t="str">
        <f>IF(J311&gt;$N$2/5*4, "1", IF(J311&gt;$N$2/5*3, "2", IF(J311&gt;$N$2/5*2, "3", IF(J311&gt;$N$2/5, "4", "5"))))</f>
        <v>3</v>
      </c>
    </row>
    <row r="312" spans="1:11" x14ac:dyDescent="0.55000000000000004">
      <c r="A312">
        <v>201</v>
      </c>
      <c r="B312">
        <f>climate_scores!H202*weights!$C$13</f>
        <v>5.5869718209195167E-2</v>
      </c>
      <c r="D312">
        <f>bird_scores!D202*weights!$C$14</f>
        <v>0.15010621450815981</v>
      </c>
      <c r="F312">
        <f>size_scores!C202*weights!$C$15</f>
        <v>0.13717802699999998</v>
      </c>
      <c r="H312">
        <f>estuary_data!Z202*weights!$C$16</f>
        <v>2.6862697165543972E-2</v>
      </c>
      <c r="J312">
        <f>SUM(B312:H312)</f>
        <v>0.37001665688289892</v>
      </c>
      <c r="K312" t="str">
        <f>IF(J312&gt;$N$2/5*4, "1", IF(J312&gt;$N$2/5*3, "2", IF(J312&gt;$N$2/5*2, "3", IF(J312&gt;$N$2/5, "4", "5"))))</f>
        <v>3</v>
      </c>
    </row>
    <row r="313" spans="1:11" x14ac:dyDescent="0.55000000000000004">
      <c r="A313">
        <v>202</v>
      </c>
      <c r="B313">
        <f>climate_scores!H203*weights!$C$13</f>
        <v>5.8310143352459376E-2</v>
      </c>
      <c r="D313">
        <f>bird_scores!D203*weights!$C$14</f>
        <v>0.13146330426639027</v>
      </c>
      <c r="F313">
        <f>size_scores!C203*weights!$C$15</f>
        <v>1.9596861E-2</v>
      </c>
      <c r="H313">
        <f>estuary_data!Z203*weights!$C$16</f>
        <v>5.3725394331088042E-2</v>
      </c>
      <c r="J313">
        <f>SUM(B313:H313)</f>
        <v>0.26309570294993767</v>
      </c>
      <c r="K313" t="str">
        <f>IF(J313&gt;$N$2/5*4, "1", IF(J313&gt;$N$2/5*3, "2", IF(J313&gt;$N$2/5*2, "3", IF(J313&gt;$N$2/5, "4", "5"))))</f>
        <v>4</v>
      </c>
    </row>
    <row r="314" spans="1:11" x14ac:dyDescent="0.55000000000000004">
      <c r="A314">
        <v>203</v>
      </c>
      <c r="B314">
        <f>climate_scores!H204*weights!$C$13</f>
        <v>5.2306853984055358E-2</v>
      </c>
      <c r="D314">
        <f>bird_scores!D204*weights!$C$14</f>
        <v>0.11456123272137606</v>
      </c>
      <c r="F314">
        <f>size_scores!C204*weights!$C$15</f>
        <v>7.8387444000000001E-2</v>
      </c>
      <c r="H314">
        <f>estuary_data!Z204*weights!$C$16</f>
        <v>5.3725394331088042E-2</v>
      </c>
      <c r="J314">
        <f>SUM(B314:H314)</f>
        <v>0.29898092503651946</v>
      </c>
      <c r="K314" t="str">
        <f>IF(J314&gt;$N$2/5*4, "1", IF(J314&gt;$N$2/5*3, "2", IF(J314&gt;$N$2/5*2, "3", IF(J314&gt;$N$2/5, "4", "5"))))</f>
        <v>4</v>
      </c>
    </row>
    <row r="315" spans="1:11" x14ac:dyDescent="0.55000000000000004">
      <c r="A315">
        <v>204</v>
      </c>
      <c r="B315">
        <f>climate_scores!H205*weights!$C$13</f>
        <v>5.5710095005455949E-2</v>
      </c>
      <c r="D315">
        <f>bird_scores!D205*weights!$C$14</f>
        <v>0.12643495242746355</v>
      </c>
      <c r="F315">
        <f>size_scores!C205*weights!$C$15</f>
        <v>0.17637174899999999</v>
      </c>
      <c r="H315">
        <f>estuary_data!Z205*weights!$C$16</f>
        <v>4.9978770065888132E-3</v>
      </c>
      <c r="J315">
        <f>SUM(B315:H315)</f>
        <v>0.36351467343950833</v>
      </c>
      <c r="K315" t="str">
        <f>IF(J315&gt;$N$2/5*4, "1", IF(J315&gt;$N$2/5*3, "2", IF(J315&gt;$N$2/5*2, "3", IF(J315&gt;$N$2/5, "4", "5"))))</f>
        <v>3</v>
      </c>
    </row>
    <row r="316" spans="1:11" x14ac:dyDescent="0.55000000000000004">
      <c r="A316">
        <v>205</v>
      </c>
      <c r="B316">
        <f>climate_scores!H206*weights!$C$13</f>
        <v>5.775905121363023E-2</v>
      </c>
      <c r="D316">
        <f>bird_scores!D206*weights!$C$14</f>
        <v>0.15861342835142864</v>
      </c>
      <c r="F316">
        <f>size_scores!C206*weights!$C$15</f>
        <v>0.17637174899999999</v>
      </c>
      <c r="H316">
        <f>estuary_data!Z206*weights!$C$16</f>
        <v>4.66849202194684E-3</v>
      </c>
      <c r="J316">
        <f>SUM(B316:H316)</f>
        <v>0.39741272058700572</v>
      </c>
      <c r="K316" t="str">
        <f>IF(J316&gt;$N$2/5*4, "1", IF(J316&gt;$N$2/5*3, "2", IF(J316&gt;$N$2/5*2, "3", IF(J316&gt;$N$2/5, "4", "5"))))</f>
        <v>3</v>
      </c>
    </row>
    <row r="317" spans="1:11" x14ac:dyDescent="0.55000000000000004">
      <c r="A317">
        <v>206</v>
      </c>
      <c r="B317">
        <f>climate_scores!H207*weights!$C$13</f>
        <v>5.3179700656618485E-2</v>
      </c>
      <c r="D317">
        <f>bird_scores!D207*weights!$C$14</f>
        <v>0.11218932883402705</v>
      </c>
      <c r="F317">
        <f>size_scores!C207*weights!$C$15</f>
        <v>0.156774888</v>
      </c>
      <c r="H317">
        <f>estuary_data!Z207*weights!$C$16</f>
        <v>1.1452226026701293E-2</v>
      </c>
      <c r="J317">
        <f>SUM(B317:H317)</f>
        <v>0.33359614351734684</v>
      </c>
      <c r="K317" t="str">
        <f>IF(J317&gt;$N$2/5*4, "1", IF(J317&gt;$N$2/5*3, "2", IF(J317&gt;$N$2/5*2, "3", IF(J317&gt;$N$2/5, "4", "5"))))</f>
        <v>3</v>
      </c>
    </row>
    <row r="318" spans="1:11" x14ac:dyDescent="0.55000000000000004">
      <c r="A318">
        <v>207</v>
      </c>
      <c r="B318">
        <f>climate_scores!H208*weights!$C$13</f>
        <v>5.1600566685350256E-2</v>
      </c>
      <c r="D318">
        <f>bird_scores!D208*weights!$C$14</f>
        <v>0.11482286701921468</v>
      </c>
      <c r="F318">
        <f>size_scores!C208*weights!$C$15</f>
        <v>3.9193722E-2</v>
      </c>
      <c r="H318">
        <f>estuary_data!Z208*weights!$C$16</f>
        <v>1.0353663000771897E-2</v>
      </c>
      <c r="J318">
        <f>SUM(B318:H318)</f>
        <v>0.21597081870533685</v>
      </c>
      <c r="K318" t="str">
        <f>IF(J318&gt;$N$2/5*4, "1", IF(J318&gt;$N$2/5*3, "2", IF(J318&gt;$N$2/5*2, "3", IF(J318&gt;$N$2/5, "4", "5"))))</f>
        <v>4</v>
      </c>
    </row>
    <row r="319" spans="1:11" x14ac:dyDescent="0.55000000000000004">
      <c r="A319">
        <v>208</v>
      </c>
      <c r="B319">
        <f>climate_scores!H209*weights!$C$13</f>
        <v>5.1773610778817272E-2</v>
      </c>
      <c r="D319">
        <f>bird_scores!D209*weights!$C$14</f>
        <v>0.11574550798366405</v>
      </c>
      <c r="F319">
        <f>size_scores!C209*weights!$C$15</f>
        <v>3.9193722E-2</v>
      </c>
      <c r="H319">
        <f>estuary_data!Z209*weights!$C$16</f>
        <v>1.0353663000771897E-2</v>
      </c>
      <c r="J319">
        <f>SUM(B319:H319)</f>
        <v>0.2170665037632532</v>
      </c>
      <c r="K319" t="str">
        <f>IF(J319&gt;$N$2/5*4, "1", IF(J319&gt;$N$2/5*3, "2", IF(J319&gt;$N$2/5*2, "3", IF(J319&gt;$N$2/5, "4", "5"))))</f>
        <v>4</v>
      </c>
    </row>
    <row r="320" spans="1:11" x14ac:dyDescent="0.55000000000000004">
      <c r="A320">
        <v>209</v>
      </c>
      <c r="B320">
        <f>climate_scores!H210*weights!$C$13</f>
        <v>5.2214816245237959E-2</v>
      </c>
      <c r="D320">
        <f>bird_scores!D210*weights!$C$14</f>
        <v>0.11961368346112715</v>
      </c>
      <c r="F320">
        <f>size_scores!C210*weights!$C$15</f>
        <v>0.17637174899999999</v>
      </c>
      <c r="H320">
        <f>estuary_data!Z210*weights!$C$16</f>
        <v>3.9434202240809643E-3</v>
      </c>
      <c r="J320">
        <f>SUM(B320:H320)</f>
        <v>0.35214366893044607</v>
      </c>
      <c r="K320" t="str">
        <f>IF(J320&gt;$N$2/5*4, "1", IF(J320&gt;$N$2/5*3, "2", IF(J320&gt;$N$2/5*2, "3", IF(J320&gt;$N$2/5, "4", "5"))))</f>
        <v>3</v>
      </c>
    </row>
    <row r="321" spans="1:11" x14ac:dyDescent="0.55000000000000004">
      <c r="A321">
        <v>210</v>
      </c>
      <c r="B321">
        <f>climate_scores!H211*weights!$C$13</f>
        <v>5.3378708196536034E-2</v>
      </c>
      <c r="D321">
        <f>bird_scores!D211*weights!$C$14</f>
        <v>0.13916162555038195</v>
      </c>
      <c r="F321">
        <f>size_scores!C211*weights!$C$15</f>
        <v>9.7984304999999994E-2</v>
      </c>
      <c r="H321">
        <f>estuary_data!Z211*weights!$C$16</f>
        <v>1.5773680896323878E-2</v>
      </c>
      <c r="J321">
        <f>SUM(B321:H321)</f>
        <v>0.30629831964324183</v>
      </c>
      <c r="K321" t="str">
        <f>IF(J321&gt;$N$2/5*4, "1", IF(J321&gt;$N$2/5*3, "2", IF(J321&gt;$N$2/5*2, "3", IF(J321&gt;$N$2/5, "4", "5"))))</f>
        <v>4</v>
      </c>
    </row>
    <row r="322" spans="1:11" x14ac:dyDescent="0.55000000000000004">
      <c r="A322">
        <v>211</v>
      </c>
      <c r="B322">
        <f>climate_scores!H212*weights!$C$13</f>
        <v>5.7609216184102766E-2</v>
      </c>
      <c r="D322">
        <f>bird_scores!D212*weights!$C$14</f>
        <v>0.11272857902493436</v>
      </c>
      <c r="F322">
        <f>size_scores!C212*weights!$C$15</f>
        <v>5.8790582999999993E-2</v>
      </c>
      <c r="H322">
        <f>estuary_data!Z212*weights!$C$16</f>
        <v>2.7616188215225348E-2</v>
      </c>
      <c r="J322">
        <f>SUM(B322:H322)</f>
        <v>0.25674456642426247</v>
      </c>
      <c r="K322" t="str">
        <f>IF(J322&gt;$N$2/5*4, "1", IF(J322&gt;$N$2/5*3, "2", IF(J322&gt;$N$2/5*2, "3", IF(J322&gt;$N$2/5, "4", "5"))))</f>
        <v>4</v>
      </c>
    </row>
    <row r="323" spans="1:11" x14ac:dyDescent="0.55000000000000004">
      <c r="A323">
        <v>212</v>
      </c>
      <c r="B323">
        <f>climate_scores!H213*weights!$C$13</f>
        <v>5.3530741556301643E-2</v>
      </c>
      <c r="D323">
        <f>bird_scores!D213*weights!$C$14</f>
        <v>0.12548331110545843</v>
      </c>
      <c r="F323">
        <f>size_scores!C213*weights!$C$15</f>
        <v>9.7984304999999994E-2</v>
      </c>
      <c r="H323">
        <f>estuary_data!Z213*weights!$C$16</f>
        <v>2.9906311140390447E-2</v>
      </c>
      <c r="J323">
        <f>SUM(B323:H323)</f>
        <v>0.3069046688021505</v>
      </c>
      <c r="K323" t="str">
        <f>IF(J323&gt;$N$2/5*4, "1", IF(J323&gt;$N$2/5*3, "2", IF(J323&gt;$N$2/5*2, "3", IF(J323&gt;$N$2/5, "4", "5"))))</f>
        <v>4</v>
      </c>
    </row>
    <row r="324" spans="1:11" x14ac:dyDescent="0.55000000000000004">
      <c r="A324">
        <v>213</v>
      </c>
      <c r="B324">
        <f>climate_scores!H214*weights!$C$13</f>
        <v>5.3491488203525048E-2</v>
      </c>
      <c r="D324">
        <f>bird_scores!D214*weights!$C$14</f>
        <v>0.1305253702190009</v>
      </c>
      <c r="F324">
        <f>size_scores!C214*weights!$C$15</f>
        <v>9.7984304999999994E-2</v>
      </c>
      <c r="H324">
        <f>estuary_data!Z214*weights!$C$16</f>
        <v>3.0984016046350444E-2</v>
      </c>
      <c r="J324">
        <f>SUM(B324:H324)</f>
        <v>0.31298517946887638</v>
      </c>
      <c r="K324" t="str">
        <f>IF(J324&gt;$N$2/5*4, "1", IF(J324&gt;$N$2/5*3, "2", IF(J324&gt;$N$2/5*2, "3", IF(J324&gt;$N$2/5, "4", "5"))))</f>
        <v>4</v>
      </c>
    </row>
    <row r="325" spans="1:11" x14ac:dyDescent="0.55000000000000004">
      <c r="A325">
        <v>214</v>
      </c>
      <c r="B325">
        <f>climate_scores!H215*weights!$C$13</f>
        <v>5.3514207579523458E-2</v>
      </c>
      <c r="D325">
        <f>bird_scores!D215*weights!$C$14</f>
        <v>0.13860645224329832</v>
      </c>
      <c r="F325">
        <f>size_scores!C215*weights!$C$15</f>
        <v>0.13717802699999998</v>
      </c>
      <c r="H325">
        <f>estuary_data!Z215*weights!$C$16</f>
        <v>1.6777905922332078E-2</v>
      </c>
      <c r="J325">
        <f>SUM(B325:H325)</f>
        <v>0.34607659274515384</v>
      </c>
      <c r="K325" t="str">
        <f>IF(J325&gt;$N$2/5*4, "1", IF(J325&gt;$N$2/5*3, "2", IF(J325&gt;$N$2/5*2, "3", IF(J325&gt;$N$2/5, "4", "5"))))</f>
        <v>3</v>
      </c>
    </row>
    <row r="326" spans="1:11" x14ac:dyDescent="0.55000000000000004">
      <c r="A326">
        <v>215</v>
      </c>
      <c r="B326">
        <f>climate_scores!H216*weights!$C$13</f>
        <v>5.1743355764793178E-2</v>
      </c>
      <c r="D326">
        <f>bird_scores!D216*weights!$C$14</f>
        <v>0.12195597278653468</v>
      </c>
      <c r="F326">
        <f>size_scores!C216*weights!$C$15</f>
        <v>5.8790582999999993E-2</v>
      </c>
      <c r="H326">
        <f>estuary_data!Z216*weights!$C$16</f>
        <v>1.4181616830701103E-2</v>
      </c>
      <c r="J326">
        <f>SUM(B326:H326)</f>
        <v>0.24667152838202897</v>
      </c>
      <c r="K326" t="str">
        <f>IF(J326&gt;$N$2/5*4, "1", IF(J326&gt;$N$2/5*3, "2", IF(J326&gt;$N$2/5*2, "3", IF(J326&gt;$N$2/5, "4", "5"))))</f>
        <v>4</v>
      </c>
    </row>
    <row r="327" spans="1:11" x14ac:dyDescent="0.55000000000000004">
      <c r="A327">
        <v>216</v>
      </c>
      <c r="B327">
        <f>climate_scores!H217*weights!$C$13</f>
        <v>4.925632964774912E-2</v>
      </c>
      <c r="D327">
        <f>bird_scores!D217*weights!$C$14</f>
        <v>0.13388092882523903</v>
      </c>
      <c r="F327">
        <f>size_scores!C217*weights!$C$15</f>
        <v>7.8387444000000001E-2</v>
      </c>
      <c r="H327">
        <f>estuary_data!Z217*weights!$C$16</f>
        <v>1.4181616830701103E-2</v>
      </c>
      <c r="J327">
        <f>SUM(B327:H327)</f>
        <v>0.27570631930368927</v>
      </c>
      <c r="K327" t="str">
        <f>IF(J327&gt;$N$2/5*4, "1", IF(J327&gt;$N$2/5*3, "2", IF(J327&gt;$N$2/5*2, "3", IF(J327&gt;$N$2/5, "4", "5"))))</f>
        <v>4</v>
      </c>
    </row>
    <row r="328" spans="1:11" x14ac:dyDescent="0.55000000000000004">
      <c r="A328">
        <v>217</v>
      </c>
      <c r="B328">
        <f>climate_scores!H218*weights!$C$13</f>
        <v>5.1013782093207553E-2</v>
      </c>
      <c r="D328">
        <f>bird_scores!D218*weights!$C$14</f>
        <v>0.11947876927445022</v>
      </c>
      <c r="F328">
        <f>size_scores!C218*weights!$C$15</f>
        <v>9.7984304999999994E-2</v>
      </c>
      <c r="H328">
        <f>estuary_data!Z218*weights!$C$16</f>
        <v>5.3369597017637093E-3</v>
      </c>
      <c r="J328">
        <f>SUM(B328:H328)</f>
        <v>0.27381381606942151</v>
      </c>
      <c r="K328" t="str">
        <f>IF(J328&gt;$N$2/5*4, "1", IF(J328&gt;$N$2/5*3, "2", IF(J328&gt;$N$2/5*2, "3", IF(J328&gt;$N$2/5, "4", "5"))))</f>
        <v>4</v>
      </c>
    </row>
    <row r="329" spans="1:11" x14ac:dyDescent="0.55000000000000004">
      <c r="A329">
        <v>219</v>
      </c>
      <c r="B329">
        <f>climate_scores!H220*weights!$C$13</f>
        <v>4.769458361619227E-2</v>
      </c>
      <c r="D329">
        <f>bird_scores!D220*weights!$C$14</f>
        <v>0.12242057331360122</v>
      </c>
      <c r="F329">
        <f>size_scores!C220*weights!$C$15</f>
        <v>0.156774888</v>
      </c>
      <c r="H329">
        <f>estuary_data!Z220*weights!$C$16</f>
        <v>7.7047061091334908E-3</v>
      </c>
      <c r="J329">
        <f>SUM(B329:H329)</f>
        <v>0.33459475103892694</v>
      </c>
      <c r="K329" t="str">
        <f>IF(J329&gt;$N$2/5*4, "1", IF(J329&gt;$N$2/5*3, "2", IF(J329&gt;$N$2/5*2, "3", IF(J329&gt;$N$2/5, "4", "5"))))</f>
        <v>3</v>
      </c>
    </row>
    <row r="330" spans="1:11" x14ac:dyDescent="0.55000000000000004">
      <c r="A330">
        <v>220</v>
      </c>
      <c r="B330">
        <f>climate_scores!H221*weights!$C$13</f>
        <v>4.9870353429961517E-2</v>
      </c>
      <c r="D330">
        <f>bird_scores!D221*weights!$C$14</f>
        <v>0.13533901607431473</v>
      </c>
      <c r="F330">
        <f>size_scores!C221*weights!$C$15</f>
        <v>0.156774888</v>
      </c>
      <c r="H330">
        <f>estuary_data!Z221*weights!$C$16</f>
        <v>1.0552097497291501E-2</v>
      </c>
      <c r="J330">
        <f>SUM(B330:H330)</f>
        <v>0.35253635500156777</v>
      </c>
      <c r="K330" t="str">
        <f>IF(J330&gt;$N$2/5*4, "1", IF(J330&gt;$N$2/5*3, "2", IF(J330&gt;$N$2/5*2, "3", IF(J330&gt;$N$2/5, "4", "5"))))</f>
        <v>3</v>
      </c>
    </row>
    <row r="331" spans="1:11" x14ac:dyDescent="0.55000000000000004">
      <c r="A331">
        <v>221</v>
      </c>
      <c r="B331">
        <f>climate_scores!H222*weights!$C$13</f>
        <v>4.3456703318348021E-2</v>
      </c>
      <c r="D331">
        <f>bird_scores!D222*weights!$C$14</f>
        <v>0.11600337738497325</v>
      </c>
      <c r="F331">
        <f>size_scores!C222*weights!$C$15</f>
        <v>0.11758116599999999</v>
      </c>
      <c r="H331">
        <f>estuary_data!Z222*weights!$C$16</f>
        <v>2.69664713819672E-2</v>
      </c>
      <c r="J331">
        <f>SUM(B331:H331)</f>
        <v>0.30400771808528848</v>
      </c>
      <c r="K331" t="str">
        <f>IF(J331&gt;$N$2/5*4, "1", IF(J331&gt;$N$2/5*3, "2", IF(J331&gt;$N$2/5*2, "3", IF(J331&gt;$N$2/5, "4", "5"))))</f>
        <v>4</v>
      </c>
    </row>
    <row r="332" spans="1:11" x14ac:dyDescent="0.55000000000000004">
      <c r="A332">
        <v>222</v>
      </c>
      <c r="B332">
        <f>climate_scores!H223*weights!$C$13</f>
        <v>4.4644157109463553E-2</v>
      </c>
      <c r="D332">
        <f>bird_scores!D223*weights!$C$14</f>
        <v>0.15618400974174293</v>
      </c>
      <c r="F332">
        <f>size_scores!C223*weights!$C$15</f>
        <v>5.8790582999999993E-2</v>
      </c>
      <c r="H332">
        <f>estuary_data!Z223*weights!$C$16</f>
        <v>6.5052253369625931E-2</v>
      </c>
      <c r="J332">
        <f>SUM(B332:H332)</f>
        <v>0.32467100322083242</v>
      </c>
      <c r="K332" t="str">
        <f>IF(J332&gt;$N$2/5*4, "1", IF(J332&gt;$N$2/5*3, "2", IF(J332&gt;$N$2/5*2, "3", IF(J332&gt;$N$2/5, "4", "5"))))</f>
        <v>3</v>
      </c>
    </row>
    <row r="333" spans="1:11" x14ac:dyDescent="0.55000000000000004">
      <c r="A333">
        <v>225</v>
      </c>
      <c r="B333">
        <f>climate_scores!H226*weights!$C$13</f>
        <v>6.1980733150249809E-2</v>
      </c>
      <c r="D333">
        <f>bird_scores!D226*weights!$C$14</f>
        <v>0.12509369093725958</v>
      </c>
      <c r="F333">
        <f>size_scores!C226*weights!$C$15</f>
        <v>5.8790582999999993E-2</v>
      </c>
      <c r="H333">
        <f>estuary_data!Z226*weights!$C$16</f>
        <v>6.5052253369625931E-2</v>
      </c>
      <c r="J333">
        <f>SUM(B333:H333)</f>
        <v>0.31091726045713536</v>
      </c>
      <c r="K333" t="str">
        <f>IF(J333&gt;$N$2/5*4, "1", IF(J333&gt;$N$2/5*3, "2", IF(J333&gt;$N$2/5*2, "3", IF(J333&gt;$N$2/5, "4", "5"))))</f>
        <v>4</v>
      </c>
    </row>
    <row r="334" spans="1:11" x14ac:dyDescent="0.55000000000000004">
      <c r="A334">
        <v>226</v>
      </c>
      <c r="B334">
        <f>climate_scores!H227*weights!$C$13</f>
        <v>4.4596783515366847E-2</v>
      </c>
      <c r="D334">
        <f>bird_scores!D227*weights!$C$14</f>
        <v>0.12551882419506724</v>
      </c>
      <c r="F334">
        <f>size_scores!C227*weights!$C$15</f>
        <v>0.11758116599999999</v>
      </c>
      <c r="H334">
        <f>estuary_data!Z227*weights!$C$16</f>
        <v>2.225129756494203E-2</v>
      </c>
      <c r="J334">
        <f>SUM(B334:H334)</f>
        <v>0.30994807127537616</v>
      </c>
      <c r="K334" t="str">
        <f>IF(J334&gt;$N$2/5*4, "1", IF(J334&gt;$N$2/5*3, "2", IF(J334&gt;$N$2/5*2, "3", IF(J334&gt;$N$2/5, "4", "5"))))</f>
        <v>4</v>
      </c>
    </row>
    <row r="335" spans="1:11" x14ac:dyDescent="0.55000000000000004">
      <c r="A335">
        <v>227</v>
      </c>
      <c r="B335">
        <f>climate_scores!H228*weights!$C$13</f>
        <v>6.3137557947007039E-2</v>
      </c>
      <c r="D335">
        <f>bird_scores!D228*weights!$C$14</f>
        <v>0.14311456758678195</v>
      </c>
      <c r="F335">
        <f>size_scores!C228*weights!$C$15</f>
        <v>5.8790582999999993E-2</v>
      </c>
      <c r="H335">
        <f>estuary_data!Z228*weights!$C$16</f>
        <v>2.8522117787789306E-2</v>
      </c>
      <c r="J335">
        <f>SUM(B335:H335)</f>
        <v>0.29356482632157826</v>
      </c>
      <c r="K335" t="str">
        <f>IF(J335&gt;$N$2/5*4, "1", IF(J335&gt;$N$2/5*3, "2", IF(J335&gt;$N$2/5*2, "3", IF(J335&gt;$N$2/5, "4", "5"))))</f>
        <v>4</v>
      </c>
    </row>
    <row r="336" spans="1:11" x14ac:dyDescent="0.55000000000000004">
      <c r="A336">
        <v>228</v>
      </c>
      <c r="B336">
        <f>climate_scores!H229*weights!$C$13</f>
        <v>4.2581784580619911E-2</v>
      </c>
      <c r="D336">
        <f>bird_scores!D229*weights!$C$14</f>
        <v>0.12351421503692737</v>
      </c>
      <c r="F336">
        <f>size_scores!C229*weights!$C$15</f>
        <v>0.11758116599999999</v>
      </c>
      <c r="H336">
        <f>estuary_data!Z229*weights!$C$16</f>
        <v>0</v>
      </c>
      <c r="J336">
        <f>SUM(B336:H336)</f>
        <v>0.2836771656175473</v>
      </c>
      <c r="K336" t="str">
        <f>IF(J336&gt;$N$2/5*4, "1", IF(J336&gt;$N$2/5*3, "2", IF(J336&gt;$N$2/5*2, "3", IF(J336&gt;$N$2/5, "4", "5"))))</f>
        <v>4</v>
      </c>
    </row>
    <row r="337" spans="1:11" x14ac:dyDescent="0.55000000000000004">
      <c r="A337">
        <v>229</v>
      </c>
      <c r="B337">
        <f>climate_scores!H230*weights!$C$13</f>
        <v>5.7531478195854399E-2</v>
      </c>
      <c r="D337">
        <f>bird_scores!D230*weights!$C$14</f>
        <v>0.11257557059456423</v>
      </c>
      <c r="F337">
        <f>size_scores!C230*weights!$C$15</f>
        <v>0.11758116599999999</v>
      </c>
      <c r="H337">
        <f>estuary_data!Z230*weights!$C$16</f>
        <v>1.4802247878145051E-2</v>
      </c>
      <c r="J337">
        <f>SUM(B337:H337)</f>
        <v>0.30249046266856366</v>
      </c>
      <c r="K337" t="str">
        <f>IF(J337&gt;$N$2/5*4, "1", IF(J337&gt;$N$2/5*3, "2", IF(J337&gt;$N$2/5*2, "3", IF(J337&gt;$N$2/5, "4", "5"))))</f>
        <v>4</v>
      </c>
    </row>
    <row r="338" spans="1:11" x14ac:dyDescent="0.55000000000000004">
      <c r="A338">
        <v>230</v>
      </c>
      <c r="B338">
        <f>climate_scores!H231*weights!$C$13</f>
        <v>5.7037379606571778E-2</v>
      </c>
      <c r="D338">
        <f>bird_scores!D231*weights!$C$14</f>
        <v>0.13266217146006828</v>
      </c>
      <c r="F338">
        <f>size_scores!C231*weights!$C$15</f>
        <v>7.8387444000000001E-2</v>
      </c>
      <c r="H338">
        <f>estuary_data!Z231*weights!$C$16</f>
        <v>2.9604495756290101E-2</v>
      </c>
      <c r="J338">
        <f>SUM(B338:H338)</f>
        <v>0.29769149082293012</v>
      </c>
      <c r="K338" t="str">
        <f>IF(J338&gt;$N$2/5*4, "1", IF(J338&gt;$N$2/5*3, "2", IF(J338&gt;$N$2/5*2, "3", IF(J338&gt;$N$2/5, "4", "5"))))</f>
        <v>4</v>
      </c>
    </row>
    <row r="339" spans="1:11" x14ac:dyDescent="0.55000000000000004">
      <c r="A339">
        <v>231</v>
      </c>
      <c r="B339">
        <f>climate_scores!H232*weights!$C$13</f>
        <v>5.7057600563477674E-2</v>
      </c>
      <c r="D339">
        <f>bird_scores!D232*weights!$C$14</f>
        <v>0.1205890997254353</v>
      </c>
      <c r="F339">
        <f>size_scores!C232*weights!$C$15</f>
        <v>0.11758116599999999</v>
      </c>
      <c r="H339">
        <f>estuary_data!Z232*weights!$C$16</f>
        <v>2.9604495756290101E-2</v>
      </c>
      <c r="J339">
        <f>SUM(B339:H339)</f>
        <v>0.32483236204520305</v>
      </c>
      <c r="K339" t="str">
        <f>IF(J339&gt;$N$2/5*4, "1", IF(J339&gt;$N$2/5*3, "2", IF(J339&gt;$N$2/5*2, "3", IF(J339&gt;$N$2/5, "4", "5"))))</f>
        <v>3</v>
      </c>
    </row>
    <row r="340" spans="1:11" x14ac:dyDescent="0.55000000000000004">
      <c r="A340">
        <v>232</v>
      </c>
      <c r="B340">
        <f>climate_scores!H233*weights!$C$13</f>
        <v>6.1256210555834321E-2</v>
      </c>
      <c r="D340">
        <f>bird_scores!D233*weights!$C$14</f>
        <v>0.11854292771157962</v>
      </c>
      <c r="F340">
        <f>size_scores!C233*weights!$C$15</f>
        <v>0.11758116599999999</v>
      </c>
      <c r="H340">
        <f>estuary_data!Z233*weights!$C$16</f>
        <v>1.8466170620260101E-2</v>
      </c>
      <c r="J340">
        <f>SUM(B340:H340)</f>
        <v>0.31584647488767403</v>
      </c>
      <c r="K340" t="str">
        <f>IF(J340&gt;$N$2/5*4, "1", IF(J340&gt;$N$2/5*3, "2", IF(J340&gt;$N$2/5*2, "3", IF(J340&gt;$N$2/5, "4", "5"))))</f>
        <v>4</v>
      </c>
    </row>
    <row r="341" spans="1:11" x14ac:dyDescent="0.55000000000000004">
      <c r="A341">
        <v>233</v>
      </c>
      <c r="B341">
        <f>climate_scores!H234*weights!$C$13</f>
        <v>6.0999047668222367E-2</v>
      </c>
      <c r="D341">
        <f>bird_scores!D234*weights!$C$14</f>
        <v>0.11906341000165116</v>
      </c>
      <c r="F341">
        <f>size_scores!C234*weights!$C$15</f>
        <v>1.9596861E-2</v>
      </c>
      <c r="H341">
        <f>estuary_data!Z234*weights!$C$16</f>
        <v>3.6961507596378368E-2</v>
      </c>
      <c r="J341">
        <f>SUM(B341:H341)</f>
        <v>0.23662082626625189</v>
      </c>
      <c r="K341" t="str">
        <f>IF(J341&gt;$N$2/5*4, "1", IF(J341&gt;$N$2/5*3, "2", IF(J341&gt;$N$2/5*2, "3", IF(J341&gt;$N$2/5, "4", "5"))))</f>
        <v>4</v>
      </c>
    </row>
    <row r="342" spans="1:11" x14ac:dyDescent="0.55000000000000004">
      <c r="A342">
        <v>235</v>
      </c>
      <c r="B342">
        <f>climate_scores!H236*weights!$C$13</f>
        <v>6.086794528285968E-2</v>
      </c>
      <c r="D342">
        <f>bird_scores!D236*weights!$C$14</f>
        <v>0.11906341000165116</v>
      </c>
      <c r="F342">
        <f>size_scores!C236*weights!$C$15</f>
        <v>9.7984304999999994E-2</v>
      </c>
      <c r="H342">
        <f>estuary_data!Z236*weights!$C$16</f>
        <v>4.6727724886378171E-2</v>
      </c>
      <c r="J342">
        <f>SUM(B342:H342)</f>
        <v>0.32464338517088903</v>
      </c>
      <c r="K342" t="str">
        <f>IF(J342&gt;$N$2/5*4, "1", IF(J342&gt;$N$2/5*3, "2", IF(J342&gt;$N$2/5*2, "3", IF(J342&gt;$N$2/5, "4", "5"))))</f>
        <v>3</v>
      </c>
    </row>
    <row r="343" spans="1:11" x14ac:dyDescent="0.55000000000000004">
      <c r="A343">
        <v>238</v>
      </c>
      <c r="B343">
        <f>climate_scores!H239*weights!$C$13</f>
        <v>6.2860786865991641E-2</v>
      </c>
      <c r="D343">
        <f>bird_scores!D239*weights!$C$14</f>
        <v>0.1443966480821913</v>
      </c>
      <c r="F343">
        <f>size_scores!C239*weights!$C$15</f>
        <v>3.9193722E-2</v>
      </c>
      <c r="H343">
        <f>estuary_data!Z239*weights!$C$16</f>
        <v>3.6961507596378368E-2</v>
      </c>
      <c r="J343">
        <f>SUM(B343:H343)</f>
        <v>0.28341266454456127</v>
      </c>
      <c r="K343" t="str">
        <f>IF(J343&gt;$N$2/5*4, "1", IF(J343&gt;$N$2/5*3, "2", IF(J343&gt;$N$2/5*2, "3", IF(J343&gt;$N$2/5, "4", "5"))))</f>
        <v>4</v>
      </c>
    </row>
    <row r="344" spans="1:11" x14ac:dyDescent="0.55000000000000004">
      <c r="A344">
        <v>239</v>
      </c>
      <c r="B344">
        <f>climate_scores!H240*weights!$C$13</f>
        <v>6.1509994718419253E-2</v>
      </c>
      <c r="D344">
        <f>bird_scores!D240*weights!$C$14</f>
        <v>0.12947710343608984</v>
      </c>
      <c r="F344">
        <f>size_scores!C240*weights!$C$15</f>
        <v>7.8387444000000001E-2</v>
      </c>
      <c r="H344">
        <f>estuary_data!Z240*weights!$C$16</f>
        <v>3.6961507596378368E-2</v>
      </c>
      <c r="J344">
        <f>SUM(B344:H344)</f>
        <v>0.30633604975088746</v>
      </c>
      <c r="K344" t="str">
        <f>IF(J344&gt;$N$2/5*4, "1", IF(J344&gt;$N$2/5*3, "2", IF(J344&gt;$N$2/5*2, "3", IF(J344&gt;$N$2/5, "4", "5"))))</f>
        <v>4</v>
      </c>
    </row>
    <row r="345" spans="1:11" x14ac:dyDescent="0.55000000000000004">
      <c r="A345">
        <v>240</v>
      </c>
      <c r="B345">
        <f>climate_scores!H241*weights!$C$13</f>
        <v>4.7544090632841964E-2</v>
      </c>
      <c r="D345">
        <f>bird_scores!D241*weights!$C$14</f>
        <v>0.12510213183604832</v>
      </c>
      <c r="F345">
        <f>size_scores!C241*weights!$C$15</f>
        <v>9.7984304999999994E-2</v>
      </c>
      <c r="H345">
        <f>estuary_data!Z241*weights!$C$16</f>
        <v>5.3932942763934399E-2</v>
      </c>
      <c r="J345">
        <f>SUM(B345:H345)</f>
        <v>0.32456347023282467</v>
      </c>
      <c r="K345" t="str">
        <f>IF(J345&gt;$N$2/5*4, "1", IF(J345&gt;$N$2/5*3, "2", IF(J345&gt;$N$2/5*2, "3", IF(J345&gt;$N$2/5, "4", "5"))))</f>
        <v>3</v>
      </c>
    </row>
    <row r="346" spans="1:11" x14ac:dyDescent="0.55000000000000004">
      <c r="A346">
        <v>241</v>
      </c>
      <c r="B346">
        <f>climate_scores!H242*weights!$C$13</f>
        <v>4.3762018555546928E-2</v>
      </c>
      <c r="D346">
        <f>bird_scores!D242*weights!$C$14</f>
        <v>0.1158883488195593</v>
      </c>
      <c r="F346">
        <f>size_scores!C242*weights!$C$15</f>
        <v>7.8387444000000001E-2</v>
      </c>
      <c r="H346">
        <f>estuary_data!Z242*weights!$C$16</f>
        <v>5.3932942763934399E-2</v>
      </c>
      <c r="J346">
        <f>SUM(B346:H346)</f>
        <v>0.29197075413904061</v>
      </c>
      <c r="K346" t="str">
        <f>IF(J346&gt;$N$2/5*4, "1", IF(J346&gt;$N$2/5*3, "2", IF(J346&gt;$N$2/5*2, "3", IF(J346&gt;$N$2/5, "4", "5"))))</f>
        <v>4</v>
      </c>
    </row>
    <row r="347" spans="1:11" x14ac:dyDescent="0.55000000000000004">
      <c r="A347">
        <v>242</v>
      </c>
      <c r="B347">
        <f>climate_scores!H243*weights!$C$13</f>
        <v>6.1620072743069777E-2</v>
      </c>
      <c r="D347">
        <f>bird_scores!D243*weights!$C$14</f>
        <v>0.14922637235052413</v>
      </c>
      <c r="F347">
        <f>size_scores!C243*weights!$C$15</f>
        <v>1.9596861E-2</v>
      </c>
      <c r="H347">
        <f>estuary_data!Z243*weights!$C$16</f>
        <v>4.6727724886378171E-2</v>
      </c>
      <c r="J347">
        <f>SUM(B347:H347)</f>
        <v>0.27717103097997209</v>
      </c>
      <c r="K347" t="str">
        <f>IF(J347&gt;$N$2/5*4, "1", IF(J347&gt;$N$2/5*3, "2", IF(J347&gt;$N$2/5*2, "3", IF(J347&gt;$N$2/5, "4", "5"))))</f>
        <v>4</v>
      </c>
    </row>
    <row r="348" spans="1:11" x14ac:dyDescent="0.55000000000000004">
      <c r="A348">
        <v>243</v>
      </c>
      <c r="B348">
        <f>climate_scores!H244*weights!$C$13</f>
        <v>6.2584000288870956E-2</v>
      </c>
      <c r="D348">
        <f>bird_scores!D244*weights!$C$14</f>
        <v>0.12364801909732327</v>
      </c>
      <c r="F348">
        <f>size_scores!C244*weights!$C$15</f>
        <v>5.8790582999999993E-2</v>
      </c>
      <c r="H348">
        <f>estuary_data!Z244*weights!$C$16</f>
        <v>3.7928348122060168E-2</v>
      </c>
      <c r="J348">
        <f>SUM(B348:H348)</f>
        <v>0.28295095050825436</v>
      </c>
      <c r="K348" t="str">
        <f>IF(J348&gt;$N$2/5*4, "1", IF(J348&gt;$N$2/5*3, "2", IF(J348&gt;$N$2/5*2, "3", IF(J348&gt;$N$2/5, "4", "5"))))</f>
        <v>4</v>
      </c>
    </row>
    <row r="349" spans="1:11" x14ac:dyDescent="0.55000000000000004">
      <c r="A349">
        <v>244</v>
      </c>
      <c r="B349">
        <f>climate_scores!H245*weights!$C$13</f>
        <v>6.0137597736677685E-2</v>
      </c>
      <c r="D349">
        <f>bird_scores!D245*weights!$C$14</f>
        <v>0.11582175639649334</v>
      </c>
      <c r="F349">
        <f>size_scores!C245*weights!$C$15</f>
        <v>3.9193722E-2</v>
      </c>
      <c r="H349">
        <f>estuary_data!Z245*weights!$C$16</f>
        <v>3.7928348122060168E-2</v>
      </c>
      <c r="J349">
        <f>SUM(B349:H349)</f>
        <v>0.25308142425523117</v>
      </c>
      <c r="K349" t="str">
        <f>IF(J349&gt;$N$2/5*4, "1", IF(J349&gt;$N$2/5*3, "2", IF(J349&gt;$N$2/5*2, "3", IF(J349&gt;$N$2/5, "4", "5"))))</f>
        <v>4</v>
      </c>
    </row>
    <row r="350" spans="1:11" x14ac:dyDescent="0.55000000000000004">
      <c r="A350">
        <v>245</v>
      </c>
      <c r="B350">
        <f>climate_scores!H246*weights!$C$13</f>
        <v>6.0992313030096251E-2</v>
      </c>
      <c r="D350">
        <f>bird_scores!D246*weights!$C$14</f>
        <v>0.11942604862529975</v>
      </c>
      <c r="F350">
        <f>size_scores!C246*weights!$C$15</f>
        <v>7.8387444000000001E-2</v>
      </c>
      <c r="H350">
        <f>estuary_data!Z246*weights!$C$16</f>
        <v>2.3363862443189037E-2</v>
      </c>
      <c r="J350">
        <f>SUM(B350:H350)</f>
        <v>0.28216966809858507</v>
      </c>
      <c r="K350" t="str">
        <f>IF(J350&gt;$N$2/5*4, "1", IF(J350&gt;$N$2/5*3, "2", IF(J350&gt;$N$2/5*2, "3", IF(J350&gt;$N$2/5, "4", "5"))))</f>
        <v>4</v>
      </c>
    </row>
    <row r="351" spans="1:11" x14ac:dyDescent="0.55000000000000004">
      <c r="A351">
        <v>246</v>
      </c>
      <c r="B351">
        <f>climate_scores!H247*weights!$C$13</f>
        <v>6.5481670222075183E-2</v>
      </c>
      <c r="D351">
        <f>bird_scores!D247*weights!$C$14</f>
        <v>0.1114897467995675</v>
      </c>
      <c r="F351">
        <f>size_scores!C247*weights!$C$15</f>
        <v>5.8790582999999993E-2</v>
      </c>
      <c r="H351">
        <f>estuary_data!Z247*weights!$C$16</f>
        <v>4.6727724886378171E-2</v>
      </c>
      <c r="J351">
        <f>SUM(B351:H351)</f>
        <v>0.28248972490802082</v>
      </c>
      <c r="K351" t="str">
        <f>IF(J351&gt;$N$2/5*4, "1", IF(J351&gt;$N$2/5*3, "2", IF(J351&gt;$N$2/5*2, "3", IF(J351&gt;$N$2/5, "4", "5"))))</f>
        <v>4</v>
      </c>
    </row>
    <row r="352" spans="1:11" x14ac:dyDescent="0.55000000000000004">
      <c r="A352">
        <v>247</v>
      </c>
      <c r="B352">
        <f>climate_scores!H248*weights!$C$13</f>
        <v>5.9151829207447673E-2</v>
      </c>
      <c r="D352">
        <f>bird_scores!D248*weights!$C$14</f>
        <v>0.12401975300755963</v>
      </c>
      <c r="F352">
        <f>size_scores!C248*weights!$C$15</f>
        <v>5.8790582999999993E-2</v>
      </c>
      <c r="H352">
        <f>estuary_data!Z248*weights!$C$16</f>
        <v>3.7928348122060168E-2</v>
      </c>
      <c r="J352">
        <f>SUM(B352:H352)</f>
        <v>0.27989051333706749</v>
      </c>
      <c r="K352" t="str">
        <f>IF(J352&gt;$N$2/5*4, "1", IF(J352&gt;$N$2/5*3, "2", IF(J352&gt;$N$2/5*2, "3", IF(J352&gt;$N$2/5, "4", "5"))))</f>
        <v>4</v>
      </c>
    </row>
    <row r="353" spans="1:11" x14ac:dyDescent="0.55000000000000004">
      <c r="A353">
        <v>248</v>
      </c>
      <c r="B353">
        <f>climate_scores!H249*weights!$C$13</f>
        <v>5.8399030668196149E-2</v>
      </c>
      <c r="D353">
        <f>bird_scores!D249*weights!$C$14</f>
        <v>0.12069803723374295</v>
      </c>
      <c r="F353">
        <f>size_scores!C249*weights!$C$15</f>
        <v>9.7984304999999994E-2</v>
      </c>
      <c r="H353">
        <f>estuary_data!Z249*weights!$C$16</f>
        <v>1.8964174061030084E-2</v>
      </c>
      <c r="J353">
        <f>SUM(B353:H353)</f>
        <v>0.2960455469629692</v>
      </c>
      <c r="K353" t="str">
        <f>IF(J353&gt;$N$2/5*4, "1", IF(J353&gt;$N$2/5*3, "2", IF(J353&gt;$N$2/5*2, "3", IF(J353&gt;$N$2/5, "4", "5"))))</f>
        <v>4</v>
      </c>
    </row>
    <row r="354" spans="1:11" x14ac:dyDescent="0.55000000000000004">
      <c r="A354">
        <v>249</v>
      </c>
      <c r="B354">
        <f>climate_scores!H250*weights!$C$13</f>
        <v>5.9497122239032182E-2</v>
      </c>
      <c r="D354">
        <f>bird_scores!D250*weights!$C$14</f>
        <v>0.11111765126142314</v>
      </c>
      <c r="F354">
        <f>size_scores!C250*weights!$C$15</f>
        <v>9.7984304999999994E-2</v>
      </c>
      <c r="H354">
        <f>estuary_data!Z250*weights!$C$16</f>
        <v>3.0342678497648174E-2</v>
      </c>
      <c r="J354">
        <f>SUM(B354:H354)</f>
        <v>0.29894175699810349</v>
      </c>
      <c r="K354" t="str">
        <f>IF(J354&gt;$N$2/5*4, "1", IF(J354&gt;$N$2/5*3, "2", IF(J354&gt;$N$2/5*2, "3", IF(J354&gt;$N$2/5, "4", "5"))))</f>
        <v>4</v>
      </c>
    </row>
    <row r="355" spans="1:11" x14ac:dyDescent="0.55000000000000004">
      <c r="A355">
        <v>250</v>
      </c>
      <c r="B355">
        <f>climate_scores!H251*weights!$C$13</f>
        <v>6.5448752423445944E-2</v>
      </c>
      <c r="D355">
        <f>bird_scores!D251*weights!$C$14</f>
        <v>0.11474934026403703</v>
      </c>
      <c r="F355">
        <f>size_scores!C251*weights!$C$15</f>
        <v>1.9596861E-2</v>
      </c>
      <c r="H355">
        <f>estuary_data!Z251*weights!$C$16</f>
        <v>3.0342678497648174E-2</v>
      </c>
      <c r="J355">
        <f>SUM(B355:H355)</f>
        <v>0.23013763218513117</v>
      </c>
      <c r="K355" t="str">
        <f>IF(J355&gt;$N$2/5*4, "1", IF(J355&gt;$N$2/5*3, "2", IF(J355&gt;$N$2/5*2, "3", IF(J355&gt;$N$2/5, "4", "5"))))</f>
        <v>4</v>
      </c>
    </row>
    <row r="356" spans="1:11" x14ac:dyDescent="0.55000000000000004">
      <c r="A356">
        <v>251</v>
      </c>
      <c r="B356">
        <f>climate_scores!H252*weights!$C$13</f>
        <v>6.1680390389095716E-2</v>
      </c>
      <c r="D356">
        <f>bird_scores!D252*weights!$C$14</f>
        <v>0.11244248113170505</v>
      </c>
      <c r="F356">
        <f>size_scores!C252*weights!$C$15</f>
        <v>0.156774888</v>
      </c>
      <c r="H356">
        <f>estuary_data!Z252*weights!$C$16</f>
        <v>1.5171339248824087E-2</v>
      </c>
      <c r="J356">
        <f>SUM(B356:H356)</f>
        <v>0.34606909876962483</v>
      </c>
      <c r="K356" t="str">
        <f>IF(J356&gt;$N$2/5*4, "1", IF(J356&gt;$N$2/5*3, "2", IF(J356&gt;$N$2/5*2, "3", IF(J356&gt;$N$2/5, "4", "5"))))</f>
        <v>3</v>
      </c>
    </row>
    <row r="357" spans="1:11" x14ac:dyDescent="0.55000000000000004">
      <c r="A357">
        <v>252</v>
      </c>
      <c r="B357">
        <f>climate_scores!H253*weights!$C$13</f>
        <v>6.1770318583272761E-2</v>
      </c>
      <c r="D357">
        <f>bird_scores!D253*weights!$C$14</f>
        <v>0.13288708973478433</v>
      </c>
      <c r="F357">
        <f>size_scores!C253*weights!$C$15</f>
        <v>7.8387444000000001E-2</v>
      </c>
      <c r="H357">
        <f>estuary_data!Z253*weights!$C$16</f>
        <v>1.5171339248824087E-2</v>
      </c>
      <c r="J357">
        <f>SUM(B357:H357)</f>
        <v>0.28821619156688116</v>
      </c>
      <c r="K357" t="str">
        <f>IF(J357&gt;$N$2/5*4, "1", IF(J357&gt;$N$2/5*3, "2", IF(J357&gt;$N$2/5*2, "3", IF(J357&gt;$N$2/5, "4", "5"))))</f>
        <v>4</v>
      </c>
    </row>
    <row r="358" spans="1:11" x14ac:dyDescent="0.55000000000000004">
      <c r="A358">
        <v>253</v>
      </c>
      <c r="B358">
        <f>climate_scores!H254*weights!$C$13</f>
        <v>6.1655717671529997E-2</v>
      </c>
      <c r="D358">
        <f>bird_scores!D254*weights!$C$14</f>
        <v>0.13653139218229882</v>
      </c>
      <c r="F358">
        <f>size_scores!C254*weights!$C$15</f>
        <v>3.9193722E-2</v>
      </c>
      <c r="H358">
        <f>estuary_data!Z254*weights!$C$16</f>
        <v>3.0342678497648174E-2</v>
      </c>
      <c r="J358">
        <f>SUM(B358:H358)</f>
        <v>0.26772351035147696</v>
      </c>
      <c r="K358" t="str">
        <f>IF(J358&gt;$N$2/5*4, "1", IF(J358&gt;$N$2/5*3, "2", IF(J358&gt;$N$2/5*2, "3", IF(J358&gt;$N$2/5, "4", "5"))))</f>
        <v>4</v>
      </c>
    </row>
    <row r="359" spans="1:11" x14ac:dyDescent="0.55000000000000004">
      <c r="A359">
        <v>255</v>
      </c>
      <c r="B359">
        <f>climate_scores!H256*weights!$C$13</f>
        <v>6.1827715550857656E-2</v>
      </c>
      <c r="D359">
        <f>bird_scores!D256*weights!$C$14</f>
        <v>0.15246159073921772</v>
      </c>
      <c r="F359">
        <f>size_scores!C256*weights!$C$15</f>
        <v>5.8790582999999993E-2</v>
      </c>
      <c r="H359">
        <f>estuary_data!Z256*weights!$C$16</f>
        <v>2.0633021378400784E-2</v>
      </c>
      <c r="J359">
        <f>SUM(B359:H359)</f>
        <v>0.29371291066847616</v>
      </c>
      <c r="K359" t="str">
        <f>IF(J359&gt;$N$2/5*4, "1", IF(J359&gt;$N$2/5*3, "2", IF(J359&gt;$N$2/5*2, "3", IF(J359&gt;$N$2/5, "4", "5"))))</f>
        <v>4</v>
      </c>
    </row>
    <row r="360" spans="1:11" x14ac:dyDescent="0.55000000000000004">
      <c r="A360">
        <v>257</v>
      </c>
      <c r="B360">
        <f>climate_scores!H258*weights!$C$13</f>
        <v>6.4248898324414036E-2</v>
      </c>
      <c r="D360">
        <f>bird_scores!D258*weights!$C$14</f>
        <v>0.13724353633007516</v>
      </c>
      <c r="F360">
        <f>size_scores!C258*weights!$C$15</f>
        <v>9.7984304999999994E-2</v>
      </c>
      <c r="H360">
        <f>estuary_data!Z258*weights!$C$16</f>
        <v>2.0633021378400784E-2</v>
      </c>
      <c r="J360">
        <f>SUM(B360:H360)</f>
        <v>0.32010976103288996</v>
      </c>
      <c r="K360" t="str">
        <f>IF(J360&gt;$N$2/5*4, "1", IF(J360&gt;$N$2/5*3, "2", IF(J360&gt;$N$2/5*2, "3", IF(J360&gt;$N$2/5, "4", "5"))))</f>
        <v>3</v>
      </c>
    </row>
    <row r="361" spans="1:11" x14ac:dyDescent="0.55000000000000004">
      <c r="A361">
        <v>259</v>
      </c>
      <c r="B361">
        <f>climate_scores!H260*weights!$C$13</f>
        <v>6.1178442803702361E-2</v>
      </c>
      <c r="D361">
        <f>bird_scores!D260*weights!$C$14</f>
        <v>0.14561369372152189</v>
      </c>
      <c r="F361">
        <f>size_scores!C260*weights!$C$15</f>
        <v>9.7984304999999994E-2</v>
      </c>
      <c r="H361">
        <f>estuary_data!Z260*weights!$C$16</f>
        <v>3.7928348122060168E-2</v>
      </c>
      <c r="J361">
        <f>SUM(B361:H361)</f>
        <v>0.34270478964728435</v>
      </c>
      <c r="K361" t="str">
        <f>IF(J361&gt;$N$2/5*4, "1", IF(J361&gt;$N$2/5*3, "2", IF(J361&gt;$N$2/5*2, "3", IF(J361&gt;$N$2/5, "4", "5"))))</f>
        <v>3</v>
      </c>
    </row>
    <row r="362" spans="1:11" x14ac:dyDescent="0.55000000000000004">
      <c r="A362">
        <v>260</v>
      </c>
      <c r="B362">
        <f>climate_scores!H261*weights!$C$13</f>
        <v>5.6230993988701114E-2</v>
      </c>
      <c r="D362">
        <f>bird_scores!D261*weights!$C$14</f>
        <v>0.14561369372152189</v>
      </c>
      <c r="F362">
        <f>size_scores!C261*weights!$C$15</f>
        <v>0.11758116599999999</v>
      </c>
      <c r="H362">
        <f>estuary_data!Z261*weights!$C$16</f>
        <v>1.3957632108918174E-2</v>
      </c>
      <c r="J362">
        <f>SUM(B362:H362)</f>
        <v>0.33338348581914118</v>
      </c>
      <c r="K362" t="str">
        <f>IF(J362&gt;$N$2/5*4, "1", IF(J362&gt;$N$2/5*3, "2", IF(J362&gt;$N$2/5*2, "3", IF(J362&gt;$N$2/5, "4", "5"))))</f>
        <v>3</v>
      </c>
    </row>
    <row r="363" spans="1:11" x14ac:dyDescent="0.55000000000000004">
      <c r="A363">
        <v>261</v>
      </c>
      <c r="B363">
        <f>climate_scores!H262*weights!$C$13</f>
        <v>5.7859615167747687E-2</v>
      </c>
      <c r="D363">
        <f>bird_scores!D262*weights!$C$14</f>
        <v>0.13938800374950278</v>
      </c>
      <c r="F363">
        <f>size_scores!C262*weights!$C$15</f>
        <v>7.8387444000000001E-2</v>
      </c>
      <c r="H363">
        <f>estuary_data!Z262*weights!$C$16</f>
        <v>2.7915264217836348E-2</v>
      </c>
      <c r="J363">
        <f>SUM(B363:H363)</f>
        <v>0.30355032713508684</v>
      </c>
      <c r="K363" t="str">
        <f>IF(J363&gt;$N$2/5*4, "1", IF(J363&gt;$N$2/5*3, "2", IF(J363&gt;$N$2/5*2, "3", IF(J363&gt;$N$2/5, "4", "5"))))</f>
        <v>4</v>
      </c>
    </row>
    <row r="364" spans="1:11" x14ac:dyDescent="0.55000000000000004">
      <c r="A364">
        <v>262</v>
      </c>
      <c r="B364">
        <f>climate_scores!H263*weights!$C$13</f>
        <v>5.4884488443839023E-2</v>
      </c>
      <c r="D364">
        <f>bird_scores!D263*weights!$C$14</f>
        <v>0.13402332426355681</v>
      </c>
      <c r="F364">
        <f>size_scores!C263*weights!$C$15</f>
        <v>5.8790582999999993E-2</v>
      </c>
      <c r="H364">
        <f>estuary_data!Z263*weights!$C$16</f>
        <v>2.7915264217836348E-2</v>
      </c>
      <c r="J364">
        <f>SUM(B364:H364)</f>
        <v>0.27561365992523218</v>
      </c>
      <c r="K364" t="str">
        <f>IF(J364&gt;$N$2/5*4, "1", IF(J364&gt;$N$2/5*3, "2", IF(J364&gt;$N$2/5*2, "3", IF(J364&gt;$N$2/5, "4", "5"))))</f>
        <v>4</v>
      </c>
    </row>
    <row r="365" spans="1:11" x14ac:dyDescent="0.55000000000000004">
      <c r="A365">
        <v>263</v>
      </c>
      <c r="B365">
        <f>climate_scores!H264*weights!$C$13</f>
        <v>5.4508350828187911E-2</v>
      </c>
      <c r="D365">
        <f>bird_scores!D264*weights!$C$14</f>
        <v>0.14213155293431179</v>
      </c>
      <c r="F365">
        <f>size_scores!C264*weights!$C$15</f>
        <v>3.9193722E-2</v>
      </c>
      <c r="H365">
        <f>estuary_data!Z264*weights!$C$16</f>
        <v>2.7915264217836348E-2</v>
      </c>
      <c r="J365">
        <f>SUM(B365:H365)</f>
        <v>0.26374888998033608</v>
      </c>
      <c r="K365" t="str">
        <f>IF(J365&gt;$N$2/5*4, "1", IF(J365&gt;$N$2/5*3, "2", IF(J365&gt;$N$2/5*2, "3", IF(J365&gt;$N$2/5, "4", "5"))))</f>
        <v>4</v>
      </c>
    </row>
    <row r="366" spans="1:11" x14ac:dyDescent="0.55000000000000004">
      <c r="A366">
        <v>264</v>
      </c>
      <c r="B366">
        <f>climate_scores!H265*weights!$C$13</f>
        <v>5.4226922958536102E-2</v>
      </c>
      <c r="D366">
        <f>bird_scores!D265*weights!$C$14</f>
        <v>0.11595535466208073</v>
      </c>
      <c r="F366">
        <f>size_scores!C265*weights!$C$15</f>
        <v>9.7984304999999994E-2</v>
      </c>
      <c r="H366">
        <f>estuary_data!Z265*weights!$C$16</f>
        <v>3.7624921337083735E-2</v>
      </c>
      <c r="J366">
        <f>SUM(B366:H366)</f>
        <v>0.30579150395770055</v>
      </c>
      <c r="K366" t="str">
        <f>IF(J366&gt;$N$2/5*4, "1", IF(J366&gt;$N$2/5*3, "2", IF(J366&gt;$N$2/5*2, "3", IF(J366&gt;$N$2/5, "4", "5"))))</f>
        <v>4</v>
      </c>
    </row>
    <row r="367" spans="1:11" x14ac:dyDescent="0.55000000000000004">
      <c r="A367">
        <v>265</v>
      </c>
      <c r="B367">
        <f>climate_scores!H266*weights!$C$13</f>
        <v>5.6281035614766543E-2</v>
      </c>
      <c r="D367">
        <f>bird_scores!D266*weights!$C$14</f>
        <v>0.11090295017588019</v>
      </c>
      <c r="F367">
        <f>size_scores!C266*weights!$C$15</f>
        <v>7.8387444000000001E-2</v>
      </c>
      <c r="H367">
        <f>estuary_data!Z266*weights!$C$16</f>
        <v>2.7915264217836348E-2</v>
      </c>
      <c r="J367">
        <f>SUM(B367:H367)</f>
        <v>0.27348669400848308</v>
      </c>
      <c r="K367" t="str">
        <f>IF(J367&gt;$N$2/5*4, "1", IF(J367&gt;$N$2/5*3, "2", IF(J367&gt;$N$2/5*2, "3", IF(J367&gt;$N$2/5, "4", "5"))))</f>
        <v>4</v>
      </c>
    </row>
    <row r="368" spans="1:11" x14ac:dyDescent="0.55000000000000004">
      <c r="A368">
        <v>266</v>
      </c>
      <c r="B368">
        <f>climate_scores!H267*weights!$C$13</f>
        <v>5.3523213598422319E-2</v>
      </c>
      <c r="D368">
        <f>bird_scores!D267*weights!$C$14</f>
        <v>0.11101841115021702</v>
      </c>
      <c r="F368">
        <f>size_scores!C267*weights!$C$15</f>
        <v>0.156774888</v>
      </c>
      <c r="H368">
        <f>estuary_data!Z267*weights!$C$16</f>
        <v>9.4062303342709302E-3</v>
      </c>
      <c r="J368">
        <f>SUM(B368:H368)</f>
        <v>0.33072274308291028</v>
      </c>
      <c r="K368" t="str">
        <f>IF(J368&gt;$N$2/5*4, "1", IF(J368&gt;$N$2/5*3, "2", IF(J368&gt;$N$2/5*2, "3", IF(J368&gt;$N$2/5, "4", "5"))))</f>
        <v>3</v>
      </c>
    </row>
    <row r="369" spans="1:11" x14ac:dyDescent="0.55000000000000004">
      <c r="A369">
        <v>267</v>
      </c>
      <c r="B369">
        <f>climate_scores!H268*weights!$C$13</f>
        <v>5.6653919481822038E-2</v>
      </c>
      <c r="D369">
        <f>bird_scores!D268*weights!$C$14</f>
        <v>0.1129121052872307</v>
      </c>
      <c r="F369">
        <f>size_scores!C268*weights!$C$15</f>
        <v>1.9596861E-2</v>
      </c>
      <c r="H369">
        <f>estuary_data!Z268*weights!$C$16</f>
        <v>4.0149990336699061E-2</v>
      </c>
      <c r="J369">
        <f>SUM(B369:H369)</f>
        <v>0.2293128761057518</v>
      </c>
      <c r="K369" t="str">
        <f>IF(J369&gt;$N$2/5*4, "1", IF(J369&gt;$N$2/5*3, "2", IF(J369&gt;$N$2/5*2, "3", IF(J369&gt;$N$2/5, "4", "5"))))</f>
        <v>4</v>
      </c>
    </row>
    <row r="370" spans="1:11" x14ac:dyDescent="0.55000000000000004">
      <c r="A370">
        <v>268</v>
      </c>
      <c r="B370">
        <f>climate_scores!H269*weights!$C$13</f>
        <v>6.0159617420407242E-2</v>
      </c>
      <c r="D370">
        <f>bird_scores!D269*weights!$C$14</f>
        <v>0.14698331825484176</v>
      </c>
      <c r="F370">
        <f>size_scores!C269*weights!$C$15</f>
        <v>1.9596861E-2</v>
      </c>
      <c r="H370">
        <f>estuary_data!Z269*weights!$C$16</f>
        <v>3.9445482046942607E-2</v>
      </c>
      <c r="J370">
        <f>SUM(B370:H370)</f>
        <v>0.26618527872219161</v>
      </c>
      <c r="K370" t="str">
        <f>IF(J370&gt;$N$2/5*4, "1", IF(J370&gt;$N$2/5*3, "2", IF(J370&gt;$N$2/5*2, "3", IF(J370&gt;$N$2/5, "4", "5"))))</f>
        <v>4</v>
      </c>
    </row>
    <row r="371" spans="1:11" x14ac:dyDescent="0.55000000000000004">
      <c r="A371">
        <v>269</v>
      </c>
      <c r="B371">
        <f>climate_scores!H270*weights!$C$13</f>
        <v>5.9214549753132041E-2</v>
      </c>
      <c r="D371">
        <f>bird_scores!D270*weights!$C$14</f>
        <v>0.12596220823440563</v>
      </c>
      <c r="F371">
        <f>size_scores!C270*weights!$C$15</f>
        <v>3.9193722E-2</v>
      </c>
      <c r="H371">
        <f>estuary_data!Z270*weights!$C$16</f>
        <v>2.7915264217836348E-2</v>
      </c>
      <c r="J371">
        <f>SUM(B371:H371)</f>
        <v>0.25228574420537403</v>
      </c>
      <c r="K371" t="str">
        <f>IF(J371&gt;$N$2/5*4, "1", IF(J371&gt;$N$2/5*3, "2", IF(J371&gt;$N$2/5*2, "3", IF(J371&gt;$N$2/5, "4", "5"))))</f>
        <v>4</v>
      </c>
    </row>
    <row r="372" spans="1:11" x14ac:dyDescent="0.55000000000000004">
      <c r="A372">
        <v>270</v>
      </c>
      <c r="B372">
        <f>climate_scores!H271*weights!$C$13</f>
        <v>5.5789639511988447E-2</v>
      </c>
      <c r="D372">
        <f>bird_scores!D271*weights!$C$14</f>
        <v>0.11996617926548059</v>
      </c>
      <c r="F372">
        <f>size_scores!C271*weights!$C$15</f>
        <v>3.9193722E-2</v>
      </c>
      <c r="H372">
        <f>estuary_data!Z271*weights!$C$16</f>
        <v>3.9445482046942607E-2</v>
      </c>
      <c r="J372">
        <f>SUM(B372:H372)</f>
        <v>0.25439502282441162</v>
      </c>
      <c r="K372" t="str">
        <f>IF(J372&gt;$N$2/5*4, "1", IF(J372&gt;$N$2/5*3, "2", IF(J372&gt;$N$2/5*2, "3", IF(J372&gt;$N$2/5, "4", "5"))))</f>
        <v>4</v>
      </c>
    </row>
    <row r="373" spans="1:11" x14ac:dyDescent="0.55000000000000004">
      <c r="A373">
        <v>272</v>
      </c>
      <c r="B373">
        <f>climate_scores!H273*weights!$C$13</f>
        <v>6.0443921401478105E-2</v>
      </c>
      <c r="D373">
        <f>bird_scores!D273*weights!$C$14</f>
        <v>0.11481536629499756</v>
      </c>
      <c r="F373">
        <f>size_scores!C273*weights!$C$15</f>
        <v>1.9596861E-2</v>
      </c>
      <c r="H373">
        <f>estuary_data!Z273*weights!$C$16</f>
        <v>5.7044235575578514E-2</v>
      </c>
      <c r="J373">
        <f>SUM(B373:H373)</f>
        <v>0.25190038427205419</v>
      </c>
      <c r="K373" t="str">
        <f>IF(J373&gt;$N$2/5*4, "1", IF(J373&gt;$N$2/5*3, "2", IF(J373&gt;$N$2/5*2, "3", IF(J373&gt;$N$2/5, "4", "5"))))</f>
        <v>4</v>
      </c>
    </row>
    <row r="374" spans="1:11" x14ac:dyDescent="0.55000000000000004">
      <c r="A374">
        <v>275</v>
      </c>
      <c r="B374">
        <f>climate_scores!H276*weights!$C$13</f>
        <v>4.4435731386072569E-2</v>
      </c>
      <c r="D374">
        <f>bird_scores!D276*weights!$C$14</f>
        <v>0.11971866983410383</v>
      </c>
      <c r="F374">
        <f>size_scores!C276*weights!$C$15</f>
        <v>7.8387444000000001E-2</v>
      </c>
      <c r="H374">
        <f>estuary_data!Z276*weights!$C$16</f>
        <v>1.9419314238494776E-2</v>
      </c>
      <c r="J374">
        <f>SUM(B374:H374)</f>
        <v>0.26196115945867116</v>
      </c>
      <c r="K374" t="str">
        <f>IF(J374&gt;$N$2/5*4, "1", IF(J374&gt;$N$2/5*3, "2", IF(J374&gt;$N$2/5*2, "3", IF(J374&gt;$N$2/5, "4", "5"))))</f>
        <v>4</v>
      </c>
    </row>
    <row r="375" spans="1:11" x14ac:dyDescent="0.55000000000000004">
      <c r="A375">
        <v>276</v>
      </c>
      <c r="B375">
        <f>climate_scores!H277*weights!$C$13</f>
        <v>5.4748258882831184E-2</v>
      </c>
      <c r="D375">
        <f>bird_scores!D277*weights!$C$14</f>
        <v>0.1506906316591948</v>
      </c>
      <c r="F375">
        <f>size_scores!C277*weights!$C$15</f>
        <v>3.9193722E-2</v>
      </c>
      <c r="H375">
        <f>estuary_data!Z277*weights!$C$16</f>
        <v>1.9419314238494776E-2</v>
      </c>
      <c r="J375">
        <f>SUM(B375:H375)</f>
        <v>0.26405192678052081</v>
      </c>
      <c r="K375" t="str">
        <f>IF(J375&gt;$N$2/5*4, "1", IF(J375&gt;$N$2/5*3, "2", IF(J375&gt;$N$2/5*2, "3", IF(J375&gt;$N$2/5, "4", "5"))))</f>
        <v>4</v>
      </c>
    </row>
    <row r="376" spans="1:11" x14ac:dyDescent="0.55000000000000004">
      <c r="A376">
        <v>278</v>
      </c>
      <c r="B376">
        <f>climate_scores!H279*weights!$C$13</f>
        <v>5.710178010359393E-2</v>
      </c>
      <c r="D376">
        <f>bird_scores!D279*weights!$C$14</f>
        <v>0.11209087605275518</v>
      </c>
      <c r="F376">
        <f>size_scores!C279*weights!$C$15</f>
        <v>9.7984304999999994E-2</v>
      </c>
      <c r="H376">
        <f>estuary_data!Z279*weights!$C$16</f>
        <v>1.9419314238494776E-2</v>
      </c>
      <c r="J376">
        <f>SUM(B376:H376)</f>
        <v>0.28659627539484389</v>
      </c>
      <c r="K376" t="str">
        <f>IF(J376&gt;$N$2/5*4, "1", IF(J376&gt;$N$2/5*3, "2", IF(J376&gt;$N$2/5*2, "3", IF(J376&gt;$N$2/5, "4", "5"))))</f>
        <v>4</v>
      </c>
    </row>
    <row r="377" spans="1:11" x14ac:dyDescent="0.55000000000000004">
      <c r="A377">
        <v>279</v>
      </c>
      <c r="B377">
        <f>climate_scores!H280*weights!$C$13</f>
        <v>6.1114606199499766E-2</v>
      </c>
      <c r="D377">
        <f>bird_scores!D280*weights!$C$14</f>
        <v>0.11659679372606434</v>
      </c>
      <c r="F377">
        <f>size_scores!C280*weights!$C$15</f>
        <v>0.13717802699999998</v>
      </c>
      <c r="H377">
        <f>estuary_data!Z280*weights!$C$16</f>
        <v>9.1028035492944429E-3</v>
      </c>
      <c r="J377">
        <f>SUM(B377:H377)</f>
        <v>0.32399223047485853</v>
      </c>
      <c r="K377" t="str">
        <f>IF(J377&gt;$N$2/5*4, "1", IF(J377&gt;$N$2/5*3, "2", IF(J377&gt;$N$2/5*2, "3", IF(J377&gt;$N$2/5, "4", "5"))))</f>
        <v>3</v>
      </c>
    </row>
    <row r="378" spans="1:11" x14ac:dyDescent="0.55000000000000004">
      <c r="A378">
        <v>280</v>
      </c>
      <c r="B378">
        <f>climate_scores!H281*weights!$C$13</f>
        <v>5.7681761621579689E-2</v>
      </c>
      <c r="D378">
        <f>bird_scores!D281*weights!$C$14</f>
        <v>0.13059810017156293</v>
      </c>
      <c r="F378">
        <f>size_scores!C281*weights!$C$15</f>
        <v>0.11758116599999999</v>
      </c>
      <c r="H378">
        <f>estuary_data!Z281*weights!$C$16</f>
        <v>9.709657119247388E-3</v>
      </c>
      <c r="J378">
        <f>SUM(B378:H378)</f>
        <v>0.31557068491238999</v>
      </c>
      <c r="K378" t="str">
        <f>IF(J378&gt;$N$2/5*4, "1", IF(J378&gt;$N$2/5*3, "2", IF(J378&gt;$N$2/5*2, "3", IF(J378&gt;$N$2/5, "4", "5"))))</f>
        <v>4</v>
      </c>
    </row>
    <row r="379" spans="1:11" x14ac:dyDescent="0.55000000000000004">
      <c r="A379">
        <v>283</v>
      </c>
      <c r="B379">
        <f>climate_scores!H284*weights!$C$13</f>
        <v>5.8978843109884084E-2</v>
      </c>
      <c r="D379">
        <f>bird_scores!D284*weights!$C$14</f>
        <v>0.11345862482314345</v>
      </c>
      <c r="F379">
        <f>size_scores!C284*weights!$C$15</f>
        <v>1.9596861E-2</v>
      </c>
      <c r="H379">
        <f>estuary_data!Z284*weights!$C$16</f>
        <v>1.9419314238494776E-2</v>
      </c>
      <c r="J379">
        <f>SUM(B379:H379)</f>
        <v>0.21145364317152229</v>
      </c>
      <c r="K379" t="str">
        <f>IF(J379&gt;$N$2/5*4, "1", IF(J379&gt;$N$2/5*3, "2", IF(J379&gt;$N$2/5*2, "3", IF(J379&gt;$N$2/5, "4", "5"))))</f>
        <v>4</v>
      </c>
    </row>
    <row r="380" spans="1:11" x14ac:dyDescent="0.55000000000000004">
      <c r="A380">
        <v>284</v>
      </c>
      <c r="B380">
        <f>climate_scores!H285*weights!$C$13</f>
        <v>5.5226598426024558E-2</v>
      </c>
      <c r="D380">
        <f>bird_scores!D285*weights!$C$14</f>
        <v>0.15310571250866944</v>
      </c>
      <c r="F380">
        <f>size_scores!C285*weights!$C$15</f>
        <v>9.7984304999999994E-2</v>
      </c>
      <c r="H380">
        <f>estuary_data!Z285*weights!$C$16</f>
        <v>1.3957632108918174E-2</v>
      </c>
      <c r="J380">
        <f>SUM(B380:H380)</f>
        <v>0.32027424804361215</v>
      </c>
      <c r="K380" t="str">
        <f>IF(J380&gt;$N$2/5*4, "1", IF(J380&gt;$N$2/5*3, "2", IF(J380&gt;$N$2/5*2, "3", IF(J380&gt;$N$2/5, "4", "5"))))</f>
        <v>3</v>
      </c>
    </row>
    <row r="381" spans="1:11" x14ac:dyDescent="0.55000000000000004">
      <c r="A381">
        <v>285</v>
      </c>
      <c r="B381">
        <f>climate_scores!H286*weights!$C$13</f>
        <v>5.599164596043138E-2</v>
      </c>
      <c r="D381">
        <f>bird_scores!D286*weights!$C$14</f>
        <v>0.12835008948343529</v>
      </c>
      <c r="F381">
        <f>size_scores!C286*weights!$C$15</f>
        <v>5.8790582999999993E-2</v>
      </c>
      <c r="H381">
        <f>estuary_data!Z286*weights!$C$16</f>
        <v>1.9722741023471303E-2</v>
      </c>
      <c r="J381">
        <f>SUM(B381:H381)</f>
        <v>0.262855059467338</v>
      </c>
      <c r="K381" t="str">
        <f>IF(J381&gt;$N$2/5*4, "1", IF(J381&gt;$N$2/5*3, "2", IF(J381&gt;$N$2/5*2, "3", IF(J381&gt;$N$2/5, "4", "5"))))</f>
        <v>4</v>
      </c>
    </row>
    <row r="382" spans="1:11" x14ac:dyDescent="0.55000000000000004">
      <c r="A382">
        <v>286</v>
      </c>
      <c r="B382">
        <f>climate_scores!H287*weights!$C$13</f>
        <v>6.5357645226223601E-2</v>
      </c>
      <c r="D382">
        <f>bird_scores!D287*weights!$C$14</f>
        <v>0.12769761988118311</v>
      </c>
      <c r="F382">
        <f>size_scores!C287*weights!$C$15</f>
        <v>0.11758116599999999</v>
      </c>
      <c r="H382">
        <f>estuary_data!Z287*weights!$C$16</f>
        <v>1.9722741023471303E-2</v>
      </c>
      <c r="J382">
        <f>SUM(B382:H382)</f>
        <v>0.33035917213087801</v>
      </c>
      <c r="K382" t="str">
        <f>IF(J382&gt;$N$2/5*4, "1", IF(J382&gt;$N$2/5*3, "2", IF(J382&gt;$N$2/5*2, "3", IF(J382&gt;$N$2/5, "4", "5"))))</f>
        <v>3</v>
      </c>
    </row>
    <row r="383" spans="1:11" x14ac:dyDescent="0.55000000000000004">
      <c r="A383">
        <v>287</v>
      </c>
      <c r="B383">
        <f>climate_scores!H288*weights!$C$13</f>
        <v>6.7386206346166169E-2</v>
      </c>
      <c r="D383">
        <f>bird_scores!D288*weights!$C$14</f>
        <v>0.13261179145541716</v>
      </c>
      <c r="F383">
        <f>size_scores!C288*weights!$C$15</f>
        <v>3.9193722E-2</v>
      </c>
      <c r="H383">
        <f>estuary_data!Z288*weights!$C$16</f>
        <v>3.9445482046942607E-2</v>
      </c>
      <c r="J383">
        <f>SUM(B383:H383)</f>
        <v>0.27863720184852592</v>
      </c>
      <c r="K383" t="str">
        <f>IF(J383&gt;$N$2/5*4, "1", IF(J383&gt;$N$2/5*3, "2", IF(J383&gt;$N$2/5*2, "3", IF(J383&gt;$N$2/5, "4", "5"))))</f>
        <v>4</v>
      </c>
    </row>
    <row r="384" spans="1:11" x14ac:dyDescent="0.55000000000000004">
      <c r="A384">
        <v>288</v>
      </c>
      <c r="B384">
        <f>climate_scores!H289*weights!$C$13</f>
        <v>6.5305320064722935E-2</v>
      </c>
      <c r="D384">
        <f>bird_scores!D289*weights!$C$14</f>
        <v>0.11469527136226605</v>
      </c>
      <c r="F384">
        <f>size_scores!C289*weights!$C$15</f>
        <v>1.9596861E-2</v>
      </c>
      <c r="H384">
        <f>estuary_data!Z289*weights!$C$16</f>
        <v>3.9445482046942607E-2</v>
      </c>
      <c r="J384">
        <f>SUM(B384:H384)</f>
        <v>0.2390429344739316</v>
      </c>
      <c r="K384" t="str">
        <f>IF(J384&gt;$N$2/5*4, "1", IF(J384&gt;$N$2/5*3, "2", IF(J384&gt;$N$2/5*2, "3", IF(J384&gt;$N$2/5, "4", "5"))))</f>
        <v>4</v>
      </c>
    </row>
    <row r="385" spans="1:11" x14ac:dyDescent="0.55000000000000004">
      <c r="A385">
        <v>289</v>
      </c>
      <c r="B385">
        <f>climate_scores!H290*weights!$C$13</f>
        <v>6.7507044002014738E-2</v>
      </c>
      <c r="D385">
        <f>bird_scores!D290*weights!$C$14</f>
        <v>0.13227003245467864</v>
      </c>
      <c r="F385">
        <f>size_scores!C290*weights!$C$15</f>
        <v>1.9596861E-2</v>
      </c>
      <c r="H385">
        <f>estuary_data!Z290*weights!$C$16</f>
        <v>3.9445482046942607E-2</v>
      </c>
      <c r="J385">
        <f>SUM(B385:H385)</f>
        <v>0.25881941950363596</v>
      </c>
      <c r="K385" t="str">
        <f>IF(J385&gt;$N$2/5*4, "1", IF(J385&gt;$N$2/5*3, "2", IF(J385&gt;$N$2/5*2, "3", IF(J385&gt;$N$2/5, "4", "5"))))</f>
        <v>4</v>
      </c>
    </row>
    <row r="386" spans="1:11" x14ac:dyDescent="0.55000000000000004">
      <c r="A386">
        <v>290</v>
      </c>
      <c r="B386">
        <f>climate_scores!H291*weights!$C$13</f>
        <v>6.1571824139721183E-2</v>
      </c>
      <c r="D386">
        <f>bird_scores!D291*weights!$C$14</f>
        <v>0.1383033354788431</v>
      </c>
      <c r="F386">
        <f>size_scores!C291*weights!$C$15</f>
        <v>1.9596861E-2</v>
      </c>
      <c r="H386">
        <f>estuary_data!Z291*weights!$C$16</f>
        <v>4.0149990336699061E-2</v>
      </c>
      <c r="J386">
        <f>SUM(B386:H386)</f>
        <v>0.25962201095526333</v>
      </c>
      <c r="K386" t="str">
        <f>IF(J386&gt;$N$2/5*4, "1", IF(J386&gt;$N$2/5*3, "2", IF(J386&gt;$N$2/5*2, "3", IF(J386&gt;$N$2/5, "4", "5"))))</f>
        <v>4</v>
      </c>
    </row>
    <row r="387" spans="1:11" x14ac:dyDescent="0.55000000000000004">
      <c r="A387">
        <v>291</v>
      </c>
      <c r="B387">
        <f>climate_scores!H292*weights!$C$13</f>
        <v>6.1984213068119569E-2</v>
      </c>
      <c r="D387">
        <f>bird_scores!D292*weights!$C$14</f>
        <v>0.11328519557192271</v>
      </c>
      <c r="F387">
        <f>size_scores!C292*weights!$C$15</f>
        <v>7.8387444000000001E-2</v>
      </c>
      <c r="H387">
        <f>estuary_data!Z292*weights!$C$16</f>
        <v>2.5184423153047995E-2</v>
      </c>
      <c r="J387">
        <f>SUM(B387:H387)</f>
        <v>0.27884127579309026</v>
      </c>
      <c r="K387" t="str">
        <f>IF(J387&gt;$N$2/5*4, "1", IF(J387&gt;$N$2/5*3, "2", IF(J387&gt;$N$2/5*2, "3", IF(J387&gt;$N$2/5, "4", "5"))))</f>
        <v>4</v>
      </c>
    </row>
    <row r="388" spans="1:11" x14ac:dyDescent="0.55000000000000004">
      <c r="A388">
        <v>292</v>
      </c>
      <c r="B388">
        <f>climate_scores!H293*weights!$C$13</f>
        <v>5.945785964050692E-2</v>
      </c>
      <c r="D388">
        <f>bird_scores!D293*weights!$C$14</f>
        <v>0.11149300268313243</v>
      </c>
      <c r="F388">
        <f>size_scores!C293*weights!$C$15</f>
        <v>3.9193722E-2</v>
      </c>
      <c r="H388">
        <f>estuary_data!Z293*weights!$C$16</f>
        <v>4.7941432026284085E-2</v>
      </c>
      <c r="J388">
        <f>SUM(B388:H388)</f>
        <v>0.25808601634992345</v>
      </c>
      <c r="K388" t="str">
        <f>IF(J388&gt;$N$2/5*4, "1", IF(J388&gt;$N$2/5*3, "2", IF(J388&gt;$N$2/5*2, "3", IF(J388&gt;$N$2/5, "4", "5"))))</f>
        <v>4</v>
      </c>
    </row>
    <row r="389" spans="1:11" x14ac:dyDescent="0.55000000000000004">
      <c r="A389">
        <v>293</v>
      </c>
      <c r="B389">
        <f>climate_scores!H294*weights!$C$13</f>
        <v>6.9809723219545608E-2</v>
      </c>
      <c r="D389">
        <f>bird_scores!D294*weights!$C$14</f>
        <v>0.14529797979125644</v>
      </c>
      <c r="F389">
        <f>size_scores!C294*weights!$C$15</f>
        <v>1.9596861E-2</v>
      </c>
      <c r="H389">
        <f>estuary_data!Z294*weights!$C$16</f>
        <v>5.7044235575578514E-2</v>
      </c>
      <c r="J389">
        <f>SUM(B389:H389)</f>
        <v>0.29174879958638056</v>
      </c>
      <c r="K389" t="str">
        <f>IF(J389&gt;$N$2/5*4, "1", IF(J389&gt;$N$2/5*3, "2", IF(J389&gt;$N$2/5*2, "3", IF(J389&gt;$N$2/5, "4", "5"))))</f>
        <v>4</v>
      </c>
    </row>
    <row r="390" spans="1:11" x14ac:dyDescent="0.55000000000000004">
      <c r="A390">
        <v>294</v>
      </c>
      <c r="B390">
        <f>climate_scores!H295*weights!$C$13</f>
        <v>4.9258735573309051E-2</v>
      </c>
      <c r="D390">
        <f>bird_scores!D295*weights!$C$14</f>
        <v>0.1307954563755124</v>
      </c>
      <c r="F390">
        <f>size_scores!C295*weights!$C$15</f>
        <v>3.9193722E-2</v>
      </c>
      <c r="H390">
        <f>estuary_data!Z295*weights!$C$16</f>
        <v>5.55901074249531E-2</v>
      </c>
      <c r="J390">
        <f>SUM(B390:H390)</f>
        <v>0.27483802137377455</v>
      </c>
      <c r="K390" t="str">
        <f>IF(J390&gt;$N$2/5*4, "1", IF(J390&gt;$N$2/5*3, "2", IF(J390&gt;$N$2/5*2, "3", IF(J390&gt;$N$2/5, "4", "5"))))</f>
        <v>4</v>
      </c>
    </row>
    <row r="391" spans="1:11" x14ac:dyDescent="0.55000000000000004">
      <c r="A391">
        <v>295</v>
      </c>
      <c r="B391">
        <f>climate_scores!H296*weights!$C$13</f>
        <v>5.9943823144130229E-2</v>
      </c>
      <c r="D391">
        <f>bird_scores!D296*weights!$C$14</f>
        <v>0.12221087506126865</v>
      </c>
      <c r="F391">
        <f>size_scores!C296*weights!$C$15</f>
        <v>0.11758116599999999</v>
      </c>
      <c r="H391">
        <f>estuary_data!Z296*weights!$C$16</f>
        <v>1.4802247878145051E-2</v>
      </c>
      <c r="J391">
        <f>SUM(B391:H391)</f>
        <v>0.31453811208354393</v>
      </c>
      <c r="K391" t="str">
        <f>IF(J391&gt;$N$2/5*4, "1", IF(J391&gt;$N$2/5*3, "2", IF(J391&gt;$N$2/5*2, "3", IF(J391&gt;$N$2/5, "4", "5"))))</f>
        <v>4</v>
      </c>
    </row>
    <row r="392" spans="1:11" x14ac:dyDescent="0.55000000000000004">
      <c r="A392">
        <v>296</v>
      </c>
      <c r="B392">
        <f>climate_scores!H297*weights!$C$13</f>
        <v>5.81875685004907E-2</v>
      </c>
      <c r="D392">
        <f>bird_scores!D297*weights!$C$14</f>
        <v>0.12940472695354602</v>
      </c>
      <c r="F392">
        <f>size_scores!C297*weights!$C$15</f>
        <v>0.17637174899999999</v>
      </c>
      <c r="H392">
        <f>estuary_data!Z297*weights!$C$16</f>
        <v>4.2292136794700097E-3</v>
      </c>
      <c r="J392">
        <f>SUM(B392:H392)</f>
        <v>0.36819325813350673</v>
      </c>
      <c r="K392" t="str">
        <f>IF(J392&gt;$N$2/5*4, "1", IF(J392&gt;$N$2/5*3, "2", IF(J392&gt;$N$2/5*2, "3", IF(J392&gt;$N$2/5, "4", "5"))))</f>
        <v>3</v>
      </c>
    </row>
    <row r="393" spans="1:11" x14ac:dyDescent="0.55000000000000004">
      <c r="A393">
        <v>297</v>
      </c>
      <c r="B393">
        <f>climate_scores!H298*weights!$C$13</f>
        <v>6.0408642600800415E-2</v>
      </c>
      <c r="D393">
        <f>bird_scores!D298*weights!$C$14</f>
        <v>0.11716703767643488</v>
      </c>
      <c r="F393">
        <f>size_scores!C298*weights!$C$15</f>
        <v>0.17637174899999999</v>
      </c>
      <c r="H393">
        <f>estuary_data!Z298*weights!$C$16</f>
        <v>2.9604495756290097E-3</v>
      </c>
      <c r="J393">
        <f>SUM(B393:H393)</f>
        <v>0.35690787885286435</v>
      </c>
      <c r="K393" t="str">
        <f>IF(J393&gt;$N$2/5*4, "1", IF(J393&gt;$N$2/5*3, "2", IF(J393&gt;$N$2/5*2, "3", IF(J393&gt;$N$2/5, "4", "5"))))</f>
        <v>3</v>
      </c>
    </row>
    <row r="394" spans="1:11" x14ac:dyDescent="0.55000000000000004">
      <c r="A394">
        <v>298</v>
      </c>
      <c r="B394">
        <f>climate_scores!H299*weights!$C$13</f>
        <v>5.8533542515171948E-2</v>
      </c>
      <c r="D394">
        <f>bird_scores!D299*weights!$C$14</f>
        <v>0.11801450758514248</v>
      </c>
      <c r="F394">
        <f>size_scores!C299*weights!$C$15</f>
        <v>0.17637174899999999</v>
      </c>
      <c r="H394">
        <f>estuary_data!Z299*weights!$C$16</f>
        <v>6.9788160544590775E-3</v>
      </c>
      <c r="J394">
        <f>SUM(B394:H394)</f>
        <v>0.35989861515477356</v>
      </c>
      <c r="K394" t="str">
        <f>IF(J394&gt;$N$2/5*4, "1", IF(J394&gt;$N$2/5*3, "2", IF(J394&gt;$N$2/5*2, "3", IF(J394&gt;$N$2/5, "4", "5"))))</f>
        <v>3</v>
      </c>
    </row>
    <row r="395" spans="1:11" x14ac:dyDescent="0.55000000000000004">
      <c r="A395">
        <v>299</v>
      </c>
      <c r="B395">
        <f>climate_scores!H300*weights!$C$13</f>
        <v>5.8420332174659667E-2</v>
      </c>
      <c r="D395">
        <f>bird_scores!D300*weights!$C$14</f>
        <v>0.12913829690970152</v>
      </c>
      <c r="F395">
        <f>size_scores!C300*weights!$C$15</f>
        <v>0.13717802699999998</v>
      </c>
      <c r="H395">
        <f>estuary_data!Z300*weights!$C$16</f>
        <v>9.1028035492944429E-3</v>
      </c>
      <c r="J395">
        <f>SUM(B395:H395)</f>
        <v>0.33383945963365563</v>
      </c>
      <c r="K395" t="str">
        <f>IF(J395&gt;$N$2/5*4, "1", IF(J395&gt;$N$2/5*3, "2", IF(J395&gt;$N$2/5*2, "3", IF(J395&gt;$N$2/5, "4", "5"))))</f>
        <v>3</v>
      </c>
    </row>
    <row r="396" spans="1:11" x14ac:dyDescent="0.55000000000000004">
      <c r="A396">
        <v>300</v>
      </c>
      <c r="B396">
        <f>climate_scores!H301*weights!$C$13</f>
        <v>6.147478345346083E-2</v>
      </c>
      <c r="D396">
        <f>bird_scores!D301*weights!$C$14</f>
        <v>0.14330106450582847</v>
      </c>
      <c r="F396">
        <f>size_scores!C301*weights!$C$15</f>
        <v>7.8387444000000001E-2</v>
      </c>
      <c r="H396">
        <f>estuary_data!Z301*weights!$C$16</f>
        <v>1.8205607098588865E-2</v>
      </c>
      <c r="J396">
        <f>SUM(B396:H396)</f>
        <v>0.30136889905787817</v>
      </c>
      <c r="K396" t="str">
        <f>IF(J396&gt;$N$2/5*4, "1", IF(J396&gt;$N$2/5*3, "2", IF(J396&gt;$N$2/5*2, "3", IF(J396&gt;$N$2/5, "4", "5"))))</f>
        <v>4</v>
      </c>
    </row>
    <row r="397" spans="1:11" x14ac:dyDescent="0.55000000000000004">
      <c r="A397">
        <v>301</v>
      </c>
      <c r="B397">
        <f>climate_scores!H302*weights!$C$13</f>
        <v>5.7895954095444228E-2</v>
      </c>
      <c r="D397">
        <f>bird_scores!D302*weights!$C$14</f>
        <v>9.4808785244237914E-2</v>
      </c>
      <c r="F397">
        <f>size_scores!C302*weights!$C$15</f>
        <v>7.8387444000000001E-2</v>
      </c>
      <c r="H397">
        <f>estuary_data!Z302*weights!$C$16</f>
        <v>4.0149990336699061E-2</v>
      </c>
      <c r="J397">
        <f>SUM(B397:H397)</f>
        <v>0.2712421736763812</v>
      </c>
      <c r="K397" t="str">
        <f>IF(J397&gt;$N$2/5*4, "1", IF(J397&gt;$N$2/5*3, "2", IF(J397&gt;$N$2/5*2, "3", IF(J397&gt;$N$2/5, "4", "5"))))</f>
        <v>4</v>
      </c>
    </row>
    <row r="398" spans="1:11" x14ac:dyDescent="0.55000000000000004">
      <c r="A398">
        <v>303</v>
      </c>
      <c r="B398">
        <f>climate_scores!H304*weights!$C$13</f>
        <v>5.8866868930915722E-2</v>
      </c>
      <c r="D398">
        <f>bird_scores!D304*weights!$C$14</f>
        <v>6.146327741438324E-2</v>
      </c>
      <c r="F398">
        <f>size_scores!C304*weights!$C$15</f>
        <v>3.9193722E-2</v>
      </c>
      <c r="H398">
        <f>estuary_data!Z304*weights!$C$16</f>
        <v>4.0149990336699061E-2</v>
      </c>
      <c r="J398">
        <f>SUM(B398:H398)</f>
        <v>0.19967385868199802</v>
      </c>
      <c r="K398" t="str">
        <f>IF(J398&gt;$N$2/5*4, "1", IF(J398&gt;$N$2/5*3, "2", IF(J398&gt;$N$2/5*2, "3", IF(J398&gt;$N$2/5, "4", "5"))))</f>
        <v>4</v>
      </c>
    </row>
    <row r="399" spans="1:11" x14ac:dyDescent="0.55000000000000004">
      <c r="A399">
        <v>306</v>
      </c>
      <c r="B399">
        <f>climate_scores!H307*weights!$C$13</f>
        <v>5.7510418126105245E-2</v>
      </c>
      <c r="D399">
        <f>bird_scores!D307*weights!$C$14</f>
        <v>0.10649925624878144</v>
      </c>
      <c r="F399">
        <f>size_scores!C307*weights!$C$15</f>
        <v>7.8387444000000001E-2</v>
      </c>
      <c r="H399">
        <f>estuary_data!Z307*weights!$C$16</f>
        <v>1.9419314238494776E-2</v>
      </c>
      <c r="J399">
        <f>SUM(B399:H399)</f>
        <v>0.26181643261338144</v>
      </c>
      <c r="K399" t="str">
        <f>IF(J399&gt;$N$2/5*4, "1", IF(J399&gt;$N$2/5*3, "2", IF(J399&gt;$N$2/5*2, "3", IF(J399&gt;$N$2/5, "4", "5"))))</f>
        <v>4</v>
      </c>
    </row>
    <row r="400" spans="1:11" x14ac:dyDescent="0.55000000000000004">
      <c r="A400">
        <v>307</v>
      </c>
      <c r="B400">
        <f>climate_scores!H308*weights!$C$13</f>
        <v>5.6670682025793132E-2</v>
      </c>
      <c r="D400">
        <f>bird_scores!D308*weights!$C$14</f>
        <v>6.3871254302988983E-2</v>
      </c>
      <c r="F400">
        <f>size_scores!C308*weights!$C$15</f>
        <v>9.7984304999999994E-2</v>
      </c>
      <c r="H400">
        <f>estuary_data!Z308*weights!$C$16</f>
        <v>9.709657119247388E-3</v>
      </c>
      <c r="J400">
        <f>SUM(B400:H400)</f>
        <v>0.22823589844802952</v>
      </c>
      <c r="K400" t="str">
        <f>IF(J400&gt;$N$2/5*4, "1", IF(J400&gt;$N$2/5*3, "2", IF(J400&gt;$N$2/5*2, "3", IF(J400&gt;$N$2/5, "4", "5"))))</f>
        <v>4</v>
      </c>
    </row>
    <row r="401" spans="1:11" x14ac:dyDescent="0.55000000000000004">
      <c r="A401">
        <v>308</v>
      </c>
      <c r="B401">
        <f>climate_scores!H309*weights!$C$13</f>
        <v>5.7435056344031961E-2</v>
      </c>
      <c r="D401">
        <f>bird_scores!D309*weights!$C$14</f>
        <v>8.5303079707193849E-2</v>
      </c>
      <c r="F401">
        <f>size_scores!C309*weights!$C$15</f>
        <v>1.9596861E-2</v>
      </c>
      <c r="H401">
        <f>estuary_data!Z309*weights!$C$16</f>
        <v>1.9419314238494776E-2</v>
      </c>
      <c r="J401">
        <f>SUM(B401:H401)</f>
        <v>0.18175431128972058</v>
      </c>
      <c r="K401" t="str">
        <f>IF(J401&gt;$N$2/5*4, "1", IF(J401&gt;$N$2/5*3, "2", IF(J401&gt;$N$2/5*2, "3", IF(J401&gt;$N$2/5, "4", "5"))))</f>
        <v>4</v>
      </c>
    </row>
    <row r="402" spans="1:11" x14ac:dyDescent="0.55000000000000004">
      <c r="A402">
        <v>309</v>
      </c>
      <c r="B402">
        <f>climate_scores!H310*weights!$C$13</f>
        <v>5.7380948964589319E-2</v>
      </c>
      <c r="D402">
        <f>bird_scores!D310*weights!$C$14</f>
        <v>9.4086070019032353E-2</v>
      </c>
      <c r="F402">
        <f>size_scores!C310*weights!$C$15</f>
        <v>0.11758116599999999</v>
      </c>
      <c r="H402">
        <f>estuary_data!Z310*weights!$C$16</f>
        <v>9.1028035492944429E-3</v>
      </c>
      <c r="J402">
        <f>SUM(B402:H402)</f>
        <v>0.27815098853291609</v>
      </c>
      <c r="K402" t="str">
        <f>IF(J402&gt;$N$2/5*4, "1", IF(J402&gt;$N$2/5*3, "2", IF(J402&gt;$N$2/5*2, "3", IF(J402&gt;$N$2/5, "4", "5"))))</f>
        <v>4</v>
      </c>
    </row>
    <row r="403" spans="1:11" x14ac:dyDescent="0.55000000000000004">
      <c r="A403">
        <v>312</v>
      </c>
      <c r="B403">
        <f>climate_scores!H313*weights!$C$13</f>
        <v>6.0987143843954879E-2</v>
      </c>
      <c r="D403">
        <f>bird_scores!D313*weights!$C$14</f>
        <v>0.10528207111725171</v>
      </c>
      <c r="F403">
        <f>size_scores!C313*weights!$C$15</f>
        <v>0.156774888</v>
      </c>
      <c r="H403">
        <f>estuary_data!Z313*weights!$C$16</f>
        <v>6.0685356995296338E-4</v>
      </c>
      <c r="J403">
        <f>SUM(B403:H403)</f>
        <v>0.32365095653115949</v>
      </c>
      <c r="K403" t="str">
        <f>IF(J403&gt;$N$2/5*4, "1", IF(J403&gt;$N$2/5*3, "2", IF(J403&gt;$N$2/5*2, "3", IF(J403&gt;$N$2/5, "4", "5"))))</f>
        <v>3</v>
      </c>
    </row>
    <row r="404" spans="1:11" x14ac:dyDescent="0.55000000000000004">
      <c r="A404">
        <v>313</v>
      </c>
      <c r="B404">
        <f>climate_scores!H314*weights!$C$13</f>
        <v>5.7849687781854418E-2</v>
      </c>
      <c r="D404">
        <f>bird_scores!D314*weights!$C$14</f>
        <v>6.6028552865402754E-2</v>
      </c>
      <c r="F404">
        <f>size_scores!C314*weights!$C$15</f>
        <v>0.17637174899999999</v>
      </c>
      <c r="H404">
        <f>estuary_data!Z314*weights!$C$16</f>
        <v>8.0913809327061784E-4</v>
      </c>
      <c r="J404">
        <f>SUM(B404:H404)</f>
        <v>0.30105912774052773</v>
      </c>
      <c r="K404" t="str">
        <f>IF(J404&gt;$N$2/5*4, "1", IF(J404&gt;$N$2/5*3, "2", IF(J404&gt;$N$2/5*2, "3", IF(J404&gt;$N$2/5, "4", "5"))))</f>
        <v>4</v>
      </c>
    </row>
    <row r="405" spans="1:11" x14ac:dyDescent="0.55000000000000004">
      <c r="A405">
        <v>315</v>
      </c>
      <c r="B405">
        <f>climate_scores!H316*weights!$C$13</f>
        <v>5.8443994728434041E-2</v>
      </c>
      <c r="D405">
        <f>bird_scores!D316*weights!$C$14</f>
        <v>0.10085574769578616</v>
      </c>
      <c r="F405">
        <f>size_scores!C316*weights!$C$15</f>
        <v>3.9193722E-2</v>
      </c>
      <c r="H405">
        <f>estuary_data!Z316*weights!$C$16</f>
        <v>1.2137071399059307E-3</v>
      </c>
      <c r="J405">
        <f>SUM(B405:H405)</f>
        <v>0.19970717156412615</v>
      </c>
      <c r="K405" t="str">
        <f>IF(J405&gt;$N$2/5*4, "1", IF(J405&gt;$N$2/5*3, "2", IF(J405&gt;$N$2/5*2, "3", IF(J405&gt;$N$2/5, "4", "5"))))</f>
        <v>4</v>
      </c>
    </row>
    <row r="406" spans="1:11" x14ac:dyDescent="0.55000000000000004">
      <c r="A406">
        <v>316</v>
      </c>
      <c r="B406">
        <f>climate_scores!H317*weights!$C$13</f>
        <v>5.2694305413464954E-2</v>
      </c>
      <c r="D406">
        <f>bird_scores!D317*weights!$C$14</f>
        <v>0.10865079157724661</v>
      </c>
      <c r="F406">
        <f>size_scores!C317*weights!$C$15</f>
        <v>5.8790582999999993E-2</v>
      </c>
      <c r="H406">
        <f>estuary_data!Z317*weights!$C$16</f>
        <v>1.2137071399059307E-3</v>
      </c>
      <c r="J406">
        <f>SUM(B406:H406)</f>
        <v>0.22134938713061747</v>
      </c>
      <c r="K406" t="str">
        <f>IF(J406&gt;$N$2/5*4, "1", IF(J406&gt;$N$2/5*3, "2", IF(J406&gt;$N$2/5*2, "3", IF(J406&gt;$N$2/5, "4", "5"))))</f>
        <v>4</v>
      </c>
    </row>
    <row r="407" spans="1:11" x14ac:dyDescent="0.55000000000000004">
      <c r="A407">
        <v>317</v>
      </c>
      <c r="B407">
        <f>climate_scores!H318*weights!$C$13</f>
        <v>5.8802507134688285E-2</v>
      </c>
      <c r="D407">
        <f>bird_scores!D318*weights!$C$14</f>
        <v>8.3215169291422364E-2</v>
      </c>
      <c r="F407">
        <f>size_scores!C318*weights!$C$15</f>
        <v>0.156774888</v>
      </c>
      <c r="H407">
        <f>estuary_data!Z318*weights!$C$16</f>
        <v>3.0342678497648169E-4</v>
      </c>
      <c r="J407">
        <f>SUM(B407:H407)</f>
        <v>0.29909599121108715</v>
      </c>
      <c r="K407" t="str">
        <f>IF(J407&gt;$N$2/5*4, "1", IF(J407&gt;$N$2/5*3, "2", IF(J407&gt;$N$2/5*2, "3", IF(J407&gt;$N$2/5, "4", "5"))))</f>
        <v>4</v>
      </c>
    </row>
    <row r="408" spans="1:11" x14ac:dyDescent="0.55000000000000004">
      <c r="A408">
        <v>319</v>
      </c>
      <c r="B408">
        <f>climate_scores!H320*weights!$C$13</f>
        <v>5.760560680299194E-2</v>
      </c>
      <c r="D408">
        <f>bird_scores!D320*weights!$C$14</f>
        <v>8.4775212603745903E-2</v>
      </c>
      <c r="F408">
        <f>size_scores!C320*weights!$C$15</f>
        <v>5.8790582999999993E-2</v>
      </c>
      <c r="H408">
        <f>estuary_data!Z320*weights!$C$16</f>
        <v>1.2137071399059307E-3</v>
      </c>
      <c r="J408">
        <f>SUM(B408:H408)</f>
        <v>0.20238510954664379</v>
      </c>
      <c r="K408" t="str">
        <f>IF(J408&gt;$N$2/5*4, "1", IF(J408&gt;$N$2/5*3, "2", IF(J408&gt;$N$2/5*2, "3", IF(J408&gt;$N$2/5, "4", "5"))))</f>
        <v>4</v>
      </c>
    </row>
    <row r="409" spans="1:11" x14ac:dyDescent="0.55000000000000004">
      <c r="A409">
        <v>320</v>
      </c>
      <c r="B409">
        <f>climate_scores!H321*weights!$C$13</f>
        <v>5.3758116400214877E-2</v>
      </c>
      <c r="D409">
        <f>bird_scores!D321*weights!$C$14</f>
        <v>6.6142280914497337E-2</v>
      </c>
      <c r="F409">
        <f>size_scores!C321*weights!$C$15</f>
        <v>5.8790582999999993E-2</v>
      </c>
      <c r="H409">
        <f>estuary_data!Z321*weights!$C$16</f>
        <v>9.1028035492944429E-3</v>
      </c>
      <c r="J409">
        <f>SUM(B409:H409)</f>
        <v>0.18779378386400664</v>
      </c>
      <c r="K409" t="str">
        <f>IF(J409&gt;$N$2/5*4, "1", IF(J409&gt;$N$2/5*3, "2", IF(J409&gt;$N$2/5*2, "3", IF(J409&gt;$N$2/5, "4", "5"))))</f>
        <v>4</v>
      </c>
    </row>
    <row r="410" spans="1:11" x14ac:dyDescent="0.55000000000000004">
      <c r="A410">
        <v>322</v>
      </c>
      <c r="B410">
        <f>climate_scores!H323*weights!$C$13</f>
        <v>5.1791521217864893E-2</v>
      </c>
      <c r="D410">
        <f>bird_scores!D323*weights!$C$14</f>
        <v>6.1075706466054563E-2</v>
      </c>
      <c r="F410">
        <f>size_scores!C323*weights!$C$15</f>
        <v>0.17637174899999999</v>
      </c>
      <c r="H410">
        <f>estuary_data!Z323*weights!$C$16</f>
        <v>0</v>
      </c>
      <c r="J410">
        <f>SUM(B410:H410)</f>
        <v>0.28923897668391946</v>
      </c>
      <c r="K410" t="str">
        <f>IF(J410&gt;$N$2/5*4, "1", IF(J410&gt;$N$2/5*3, "2", IF(J410&gt;$N$2/5*2, "3", IF(J410&gt;$N$2/5, "4", "5"))))</f>
        <v>4</v>
      </c>
    </row>
    <row r="411" spans="1:11" x14ac:dyDescent="0.55000000000000004">
      <c r="A411">
        <v>323</v>
      </c>
      <c r="B411">
        <f>climate_scores!H324*weights!$C$13</f>
        <v>4.5731765686986239E-2</v>
      </c>
      <c r="D411">
        <f>bird_scores!D324*weights!$C$14</f>
        <v>9.846315636542495E-2</v>
      </c>
      <c r="F411">
        <f>size_scores!C324*weights!$C$15</f>
        <v>0.17637174899999999</v>
      </c>
      <c r="H411">
        <f>estuary_data!Z324*weights!$C$16</f>
        <v>0</v>
      </c>
      <c r="J411">
        <f>SUM(B411:H411)</f>
        <v>0.32056667105241121</v>
      </c>
      <c r="K411" t="str">
        <f>IF(J411&gt;$N$2/5*4, "1", IF(J411&gt;$N$2/5*3, "2", IF(J411&gt;$N$2/5*2, "3", IF(J411&gt;$N$2/5, "4", "5"))))</f>
        <v>3</v>
      </c>
    </row>
    <row r="412" spans="1:11" x14ac:dyDescent="0.55000000000000004">
      <c r="A412">
        <v>324</v>
      </c>
      <c r="B412">
        <f>climate_scores!H325*weights!$C$13</f>
        <v>4.4550992575769464E-2</v>
      </c>
      <c r="D412">
        <f>bird_scores!D325*weights!$C$14</f>
        <v>6.2504819492783081E-2</v>
      </c>
      <c r="F412">
        <f>size_scores!C325*weights!$C$15</f>
        <v>0.17637174899999999</v>
      </c>
      <c r="H412">
        <f>estuary_data!Z325*weights!$C$16</f>
        <v>0</v>
      </c>
      <c r="J412">
        <f>SUM(B412:H412)</f>
        <v>0.28342756106855255</v>
      </c>
      <c r="K412" t="str">
        <f>IF(J412&gt;$N$2/5*4, "1", IF(J412&gt;$N$2/5*3, "2", IF(J412&gt;$N$2/5*2, "3", IF(J412&gt;$N$2/5, "4", "5"))))</f>
        <v>4</v>
      </c>
    </row>
    <row r="413" spans="1:11" x14ac:dyDescent="0.55000000000000004">
      <c r="A413">
        <v>326</v>
      </c>
      <c r="B413">
        <f>climate_scores!H327*weights!$C$13</f>
        <v>5.400976393724443E-2</v>
      </c>
      <c r="D413">
        <f>bird_scores!D327*weights!$C$14</f>
        <v>5.7711704679570555E-2</v>
      </c>
      <c r="F413">
        <f>size_scores!C327*weights!$C$15</f>
        <v>7.8387444000000001E-2</v>
      </c>
      <c r="H413">
        <f>estuary_data!Z327*weights!$C$16</f>
        <v>1.2137071399059307E-3</v>
      </c>
      <c r="J413">
        <f>SUM(B413:H413)</f>
        <v>0.19132261975672091</v>
      </c>
      <c r="K413" t="str">
        <f>IF(J413&gt;$N$2/5*4, "1", IF(J413&gt;$N$2/5*3, "2", IF(J413&gt;$N$2/5*2, "3", IF(J413&gt;$N$2/5, "4", "5"))))</f>
        <v>4</v>
      </c>
    </row>
    <row r="414" spans="1:11" x14ac:dyDescent="0.55000000000000004">
      <c r="A414">
        <v>327</v>
      </c>
      <c r="B414">
        <f>climate_scores!H328*weights!$C$13</f>
        <v>5.5827120192116109E-2</v>
      </c>
      <c r="D414">
        <f>bird_scores!D328*weights!$C$14</f>
        <v>5.9950099893350546E-2</v>
      </c>
      <c r="F414">
        <f>size_scores!C328*weights!$C$15</f>
        <v>5.8790582999999993E-2</v>
      </c>
      <c r="H414">
        <f>estuary_data!Z328*weights!$C$16</f>
        <v>1.2137071399059307E-3</v>
      </c>
      <c r="J414">
        <f>SUM(B414:H414)</f>
        <v>0.17578151022537258</v>
      </c>
      <c r="K414" t="str">
        <f>IF(J414&gt;$N$2/5*4, "1", IF(J414&gt;$N$2/5*3, "2", IF(J414&gt;$N$2/5*2, "3", IF(J414&gt;$N$2/5, "4", "5"))))</f>
        <v>4</v>
      </c>
    </row>
    <row r="415" spans="1:11" x14ac:dyDescent="0.55000000000000004">
      <c r="A415">
        <v>328</v>
      </c>
      <c r="B415">
        <f>climate_scores!H329*weights!$C$13</f>
        <v>4.7165902619362224E-2</v>
      </c>
      <c r="D415">
        <f>bird_scores!D329*weights!$C$14</f>
        <v>7.0149120444084473E-2</v>
      </c>
      <c r="F415">
        <f>size_scores!C329*weights!$C$15</f>
        <v>0.17637174899999999</v>
      </c>
      <c r="H415">
        <f>estuary_data!Z329*weights!$C$16</f>
        <v>1.5171339248824084E-4</v>
      </c>
      <c r="J415">
        <f>SUM(B415:H415)</f>
        <v>0.29383848545593494</v>
      </c>
      <c r="K415" t="str">
        <f>IF(J415&gt;$N$2/5*4, "1", IF(J415&gt;$N$2/5*3, "2", IF(J415&gt;$N$2/5*2, "3", IF(J415&gt;$N$2/5, "4", "5"))))</f>
        <v>4</v>
      </c>
    </row>
    <row r="416" spans="1:11" x14ac:dyDescent="0.55000000000000004">
      <c r="A416">
        <v>330</v>
      </c>
      <c r="B416">
        <f>climate_scores!H331*weights!$C$13</f>
        <v>6.5780135465738118E-2</v>
      </c>
      <c r="D416">
        <f>bird_scores!D331*weights!$C$14</f>
        <v>8.3670709602369844E-2</v>
      </c>
      <c r="F416">
        <f>size_scores!C331*weights!$C$15</f>
        <v>3.9193722E-2</v>
      </c>
      <c r="H416">
        <f>estuary_data!Z331*weights!$C$16</f>
        <v>9.1028035492944429E-3</v>
      </c>
      <c r="J416">
        <f>SUM(B416:H416)</f>
        <v>0.19774737061740238</v>
      </c>
      <c r="K416" t="str">
        <f>IF(J416&gt;$N$2/5*4, "1", IF(J416&gt;$N$2/5*3, "2", IF(J416&gt;$N$2/5*2, "3", IF(J416&gt;$N$2/5, "4", "5"))))</f>
        <v>4</v>
      </c>
    </row>
    <row r="417" spans="1:11" x14ac:dyDescent="0.55000000000000004">
      <c r="A417">
        <v>332</v>
      </c>
      <c r="B417">
        <f>climate_scores!H333*weights!$C$13</f>
        <v>5.9090495976411007E-2</v>
      </c>
      <c r="D417">
        <f>bird_scores!D333*weights!$C$14</f>
        <v>6.7525591623232406E-2</v>
      </c>
      <c r="F417">
        <f>size_scores!C333*weights!$C$15</f>
        <v>3.9193722E-2</v>
      </c>
      <c r="H417">
        <f>estuary_data!Z333*weights!$C$16</f>
        <v>2.0633021378400784E-2</v>
      </c>
      <c r="J417">
        <f>SUM(B417:H417)</f>
        <v>0.18644283097804421</v>
      </c>
      <c r="K417" t="str">
        <f>IF(J417&gt;$N$2/5*4, "1", IF(J417&gt;$N$2/5*3, "2", IF(J417&gt;$N$2/5*2, "3", IF(J417&gt;$N$2/5, "4", "5"))))</f>
        <v>4</v>
      </c>
    </row>
    <row r="418" spans="1:11" x14ac:dyDescent="0.55000000000000004">
      <c r="A418">
        <v>333</v>
      </c>
      <c r="B418">
        <f>climate_scores!H334*weights!$C$13</f>
        <v>5.7684256290035492E-2</v>
      </c>
      <c r="D418">
        <f>bird_scores!D334*weights!$C$14</f>
        <v>7.2216815100036372E-2</v>
      </c>
      <c r="F418">
        <f>size_scores!C334*weights!$C$15</f>
        <v>9.7984304999999994E-2</v>
      </c>
      <c r="H418">
        <f>estuary_data!Z334*weights!$C$16</f>
        <v>2.0633021378400784E-2</v>
      </c>
      <c r="J418">
        <f>SUM(B418:H418)</f>
        <v>0.24851839776847265</v>
      </c>
      <c r="K418" t="str">
        <f>IF(J418&gt;$N$2/5*4, "1", IF(J418&gt;$N$2/5*3, "2", IF(J418&gt;$N$2/5*2, "3", IF(J418&gt;$N$2/5, "4", "5"))))</f>
        <v>4</v>
      </c>
    </row>
    <row r="419" spans="1:11" x14ac:dyDescent="0.55000000000000004">
      <c r="A419">
        <v>334</v>
      </c>
      <c r="B419">
        <f>climate_scores!H335*weights!$C$13</f>
        <v>5.6235612901052896E-2</v>
      </c>
      <c r="D419">
        <f>bird_scores!D335*weights!$C$14</f>
        <v>8.1740381567031506E-2</v>
      </c>
      <c r="F419">
        <f>size_scores!C335*weights!$C$15</f>
        <v>3.9193722E-2</v>
      </c>
      <c r="H419">
        <f>estuary_data!Z335*weights!$C$16</f>
        <v>2.0633021378400784E-2</v>
      </c>
      <c r="J419">
        <f>SUM(B419:H419)</f>
        <v>0.19780273784648517</v>
      </c>
      <c r="K419" t="str">
        <f>IF(J419&gt;$N$2/5*4, "1", IF(J419&gt;$N$2/5*3, "2", IF(J419&gt;$N$2/5*2, "3", IF(J419&gt;$N$2/5, "4", "5"))))</f>
        <v>4</v>
      </c>
    </row>
    <row r="420" spans="1:11" x14ac:dyDescent="0.55000000000000004">
      <c r="A420">
        <v>336</v>
      </c>
      <c r="B420">
        <f>climate_scores!H337*weights!$C$13</f>
        <v>6.4096748623565208E-2</v>
      </c>
      <c r="D420">
        <f>bird_scores!D337*weights!$C$14</f>
        <v>6.9776889357662644E-2</v>
      </c>
      <c r="F420">
        <f>size_scores!C337*weights!$C$15</f>
        <v>0.17637174899999999</v>
      </c>
      <c r="H420">
        <f>estuary_data!Z337*weights!$C$16</f>
        <v>1.4737872413143349E-3</v>
      </c>
      <c r="J420">
        <f>SUM(B420:H420)</f>
        <v>0.31171917422254219</v>
      </c>
      <c r="K420" t="str">
        <f>IF(J420&gt;$N$2/5*4, "1", IF(J420&gt;$N$2/5*3, "2", IF(J420&gt;$N$2/5*2, "3", IF(J420&gt;$N$2/5, "4", "5"))))</f>
        <v>4</v>
      </c>
    </row>
    <row r="421" spans="1:11" x14ac:dyDescent="0.55000000000000004">
      <c r="A421">
        <v>337</v>
      </c>
      <c r="B421">
        <f>climate_scores!H338*weights!$C$13</f>
        <v>5.6615874466238482E-2</v>
      </c>
      <c r="D421">
        <f>bird_scores!D338*weights!$C$14</f>
        <v>8.2472451083301257E-2</v>
      </c>
      <c r="F421">
        <f>size_scores!C338*weights!$C$15</f>
        <v>7.8387444000000001E-2</v>
      </c>
      <c r="H421">
        <f>estuary_data!Z338*weights!$C$16</f>
        <v>2.4767315841706009E-2</v>
      </c>
      <c r="J421">
        <f>SUM(B421:H421)</f>
        <v>0.24224308539124573</v>
      </c>
      <c r="K421" t="str">
        <f>IF(J421&gt;$N$2/5*4, "1", IF(J421&gt;$N$2/5*3, "2", IF(J421&gt;$N$2/5*2, "3", IF(J421&gt;$N$2/5, "4", "5"))))</f>
        <v>4</v>
      </c>
    </row>
    <row r="422" spans="1:11" x14ac:dyDescent="0.55000000000000004">
      <c r="A422">
        <v>338</v>
      </c>
      <c r="B422">
        <f>climate_scores!H339*weights!$C$13</f>
        <v>3.6462457737300114E-2</v>
      </c>
      <c r="D422">
        <f>bird_scores!D339*weights!$C$14</f>
        <v>7.2290215364541596E-2</v>
      </c>
      <c r="F422">
        <f>size_scores!C339*weights!$C$15</f>
        <v>5.8790582999999993E-2</v>
      </c>
      <c r="H422">
        <f>estuary_data!Z339*weights!$C$16</f>
        <v>2.4767315841706009E-2</v>
      </c>
      <c r="J422">
        <f>SUM(B422:H422)</f>
        <v>0.19231057194354773</v>
      </c>
      <c r="K422" t="str">
        <f>IF(J422&gt;$N$2/5*4, "1", IF(J422&gt;$N$2/5*3, "2", IF(J422&gt;$N$2/5*2, "3", IF(J422&gt;$N$2/5, "4", "5"))))</f>
        <v>4</v>
      </c>
    </row>
    <row r="423" spans="1:11" x14ac:dyDescent="0.55000000000000004">
      <c r="A423">
        <v>339</v>
      </c>
      <c r="B423">
        <f>climate_scores!H340*weights!$C$13</f>
        <v>3.5908406605914454E-2</v>
      </c>
      <c r="D423">
        <f>bird_scores!D340*weights!$C$14</f>
        <v>6.6721421024266869E-2</v>
      </c>
      <c r="F423">
        <f>size_scores!C340*weights!$C$15</f>
        <v>5.8790582999999993E-2</v>
      </c>
      <c r="H423">
        <f>estuary_data!Z340*weights!$C$16</f>
        <v>1.3870279069892839E-2</v>
      </c>
      <c r="J423">
        <f>SUM(B423:H423)</f>
        <v>0.17529068970007414</v>
      </c>
      <c r="K423" t="str">
        <f>IF(J423&gt;$N$2/5*4, "1", IF(J423&gt;$N$2/5*3, "2", IF(J423&gt;$N$2/5*2, "3", IF(J423&gt;$N$2/5, "4", "5"))))</f>
        <v>4</v>
      </c>
    </row>
    <row r="424" spans="1:11" x14ac:dyDescent="0.55000000000000004">
      <c r="A424">
        <v>340</v>
      </c>
      <c r="B424">
        <f>climate_scores!H341*weights!$C$13</f>
        <v>4.537768813237511E-2</v>
      </c>
      <c r="D424">
        <f>bird_scores!D341*weights!$C$14</f>
        <v>8.0422556004639434E-2</v>
      </c>
      <c r="F424">
        <f>size_scores!C341*weights!$C$15</f>
        <v>9.7984304999999994E-2</v>
      </c>
      <c r="H424">
        <f>estuary_data!Z341*weights!$C$16</f>
        <v>4.3190055402908295E-2</v>
      </c>
      <c r="J424">
        <f>SUM(B424:H424)</f>
        <v>0.26697460453992283</v>
      </c>
      <c r="K424" t="str">
        <f>IF(J424&gt;$N$2/5*4, "1", IF(J424&gt;$N$2/5*3, "2", IF(J424&gt;$N$2/5*2, "3", IF(J424&gt;$N$2/5, "4", "5"))))</f>
        <v>4</v>
      </c>
    </row>
    <row r="425" spans="1:11" x14ac:dyDescent="0.55000000000000004">
      <c r="A425">
        <v>341</v>
      </c>
      <c r="B425">
        <f>climate_scores!H342*weights!$C$13</f>
        <v>4.7106441766124281E-2</v>
      </c>
      <c r="D425">
        <f>bird_scores!D342*weights!$C$14</f>
        <v>8.7461726535309162E-2</v>
      </c>
      <c r="F425">
        <f>size_scores!C342*weights!$C$15</f>
        <v>0.156774888</v>
      </c>
      <c r="H425">
        <f>estuary_data!Z342*weights!$C$16</f>
        <v>3.4675697674732197E-3</v>
      </c>
      <c r="J425">
        <f>SUM(B425:H425)</f>
        <v>0.29481062606890662</v>
      </c>
      <c r="K425" t="str">
        <f>IF(J425&gt;$N$2/5*4, "1", IF(J425&gt;$N$2/5*3, "2", IF(J425&gt;$N$2/5*2, "3", IF(J425&gt;$N$2/5, "4", "5"))))</f>
        <v>4</v>
      </c>
    </row>
    <row r="426" spans="1:11" x14ac:dyDescent="0.55000000000000004">
      <c r="A426">
        <v>342</v>
      </c>
      <c r="B426">
        <f>climate_scores!H343*weights!$C$13</f>
        <v>4.4385470939469478E-2</v>
      </c>
      <c r="D426">
        <f>bird_scores!D343*weights!$C$14</f>
        <v>9.4287832333911276E-2</v>
      </c>
      <c r="F426">
        <f>size_scores!C343*weights!$C$15</f>
        <v>3.9193722E-2</v>
      </c>
      <c r="H426">
        <f>estuary_data!Z343*weights!$C$16</f>
        <v>2.3754818811954917E-2</v>
      </c>
      <c r="J426">
        <f>SUM(B426:H426)</f>
        <v>0.20162184408533568</v>
      </c>
      <c r="K426" t="str">
        <f>IF(J426&gt;$N$2/5*4, "1", IF(J426&gt;$N$2/5*3, "2", IF(J426&gt;$N$2/5*2, "3", IF(J426&gt;$N$2/5, "4", "5"))))</f>
        <v>4</v>
      </c>
    </row>
    <row r="427" spans="1:11" x14ac:dyDescent="0.55000000000000004">
      <c r="A427">
        <v>343</v>
      </c>
      <c r="B427">
        <f>climate_scores!H344*weights!$C$13</f>
        <v>5.5165938060143978E-2</v>
      </c>
      <c r="D427">
        <f>bird_scores!D344*weights!$C$14</f>
        <v>7.2272882438196656E-2</v>
      </c>
      <c r="F427">
        <f>size_scores!C344*weights!$C$15</f>
        <v>5.8790582999999993E-2</v>
      </c>
      <c r="H427">
        <f>estuary_data!Z344*weights!$C$16</f>
        <v>0</v>
      </c>
      <c r="J427">
        <f>SUM(B427:H427)</f>
        <v>0.18622940349834061</v>
      </c>
      <c r="K427" t="str">
        <f>IF(J427&gt;$N$2/5*4, "1", IF(J427&gt;$N$2/5*3, "2", IF(J427&gt;$N$2/5*2, "3", IF(J427&gt;$N$2/5, "4", "5"))))</f>
        <v>4</v>
      </c>
    </row>
    <row r="428" spans="1:11" x14ac:dyDescent="0.55000000000000004">
      <c r="A428">
        <v>346</v>
      </c>
      <c r="B428">
        <f>climate_scores!H347*weights!$C$13</f>
        <v>6.2721615906455225E-2</v>
      </c>
      <c r="D428">
        <f>bird_scores!D347*weights!$C$14</f>
        <v>8.1706823515426089E-2</v>
      </c>
      <c r="F428">
        <f>size_scores!C347*weights!$C$15</f>
        <v>0.156774888</v>
      </c>
      <c r="H428">
        <f>estuary_data!Z347*weights!$C$16</f>
        <v>2.5791276723000954E-3</v>
      </c>
      <c r="J428">
        <f>SUM(B428:H428)</f>
        <v>0.30378245509418145</v>
      </c>
      <c r="K428" t="str">
        <f>IF(J428&gt;$N$2/5*4, "1", IF(J428&gt;$N$2/5*3, "2", IF(J428&gt;$N$2/5*2, "3", IF(J428&gt;$N$2/5, "4", "5"))))</f>
        <v>4</v>
      </c>
    </row>
    <row r="429" spans="1:11" x14ac:dyDescent="0.55000000000000004">
      <c r="A429">
        <v>348</v>
      </c>
      <c r="B429">
        <f>climate_scores!H349*weights!$C$13</f>
        <v>5.9871987644178636E-2</v>
      </c>
      <c r="D429">
        <f>bird_scores!D349*weights!$C$14</f>
        <v>0.10085574769578616</v>
      </c>
      <c r="F429">
        <f>size_scores!C349*weights!$C$15</f>
        <v>0.13717802699999998</v>
      </c>
      <c r="H429">
        <f>estuary_data!Z349*weights!$C$16</f>
        <v>1.0316510689200344E-2</v>
      </c>
      <c r="J429">
        <f>SUM(B429:H429)</f>
        <v>0.30822227302916516</v>
      </c>
      <c r="K429" t="str">
        <f>IF(J429&gt;$N$2/5*4, "1", IF(J429&gt;$N$2/5*3, "2", IF(J429&gt;$N$2/5*2, "3", IF(J429&gt;$N$2/5, "4", "5"))))</f>
        <v>4</v>
      </c>
    </row>
    <row r="430" spans="1:11" x14ac:dyDescent="0.55000000000000004">
      <c r="A430">
        <v>350</v>
      </c>
      <c r="B430">
        <f>climate_scores!H351*weights!$C$13</f>
        <v>5.3693125533902479E-2</v>
      </c>
      <c r="D430">
        <f>bird_scores!D351*weights!$C$14</f>
        <v>7.5377160240968258E-2</v>
      </c>
      <c r="F430">
        <f>size_scores!C351*weights!$C$15</f>
        <v>0.11758116599999999</v>
      </c>
      <c r="H430">
        <f>estuary_data!Z351*weights!$C$16</f>
        <v>1.0316510689200344E-2</v>
      </c>
      <c r="J430">
        <f>SUM(B430:H430)</f>
        <v>0.25696796246407105</v>
      </c>
      <c r="K430" t="str">
        <f>IF(J430&gt;$N$2/5*4, "1", IF(J430&gt;$N$2/5*3, "2", IF(J430&gt;$N$2/5*2, "3", IF(J430&gt;$N$2/5, "4", "5"))))</f>
        <v>4</v>
      </c>
    </row>
    <row r="431" spans="1:11" x14ac:dyDescent="0.55000000000000004">
      <c r="A431">
        <v>351</v>
      </c>
      <c r="B431">
        <f>climate_scores!H352*weights!$C$13</f>
        <v>5.7503147845339254E-2</v>
      </c>
      <c r="D431">
        <f>bird_scores!D352*weights!$C$14</f>
        <v>7.5002480095476165E-2</v>
      </c>
      <c r="F431">
        <f>size_scores!C352*weights!$C$15</f>
        <v>0.13717802699999998</v>
      </c>
      <c r="H431">
        <f>estuary_data!Z352*weights!$C$16</f>
        <v>6.3719624845061124E-3</v>
      </c>
      <c r="J431">
        <f>SUM(B431:H431)</f>
        <v>0.27605561742532148</v>
      </c>
      <c r="K431" t="str">
        <f>IF(J431&gt;$N$2/5*4, "1", IF(J431&gt;$N$2/5*3, "2", IF(J431&gt;$N$2/5*2, "3", IF(J431&gt;$N$2/5, "4", "5"))))</f>
        <v>4</v>
      </c>
    </row>
    <row r="432" spans="1:11" x14ac:dyDescent="0.55000000000000004">
      <c r="A432">
        <v>353</v>
      </c>
      <c r="B432">
        <f>climate_scores!H354*weights!$C$13</f>
        <v>6.1518251375075723E-2</v>
      </c>
      <c r="D432">
        <f>bird_scores!D354*weights!$C$14</f>
        <v>8.8223793465433686E-2</v>
      </c>
      <c r="F432">
        <f>size_scores!C354*weights!$C$15</f>
        <v>3.9193722E-2</v>
      </c>
      <c r="H432">
        <f>estuary_data!Z354*weights!$C$16</f>
        <v>1.5171339248824087E-2</v>
      </c>
      <c r="J432">
        <f>SUM(B432:H432)</f>
        <v>0.20410710608933347</v>
      </c>
      <c r="K432" t="str">
        <f>IF(J432&gt;$N$2/5*4, "1", IF(J432&gt;$N$2/5*3, "2", IF(J432&gt;$N$2/5*2, "3", IF(J432&gt;$N$2/5, "4", "5"))))</f>
        <v>4</v>
      </c>
    </row>
    <row r="433" spans="1:11" x14ac:dyDescent="0.55000000000000004">
      <c r="A433">
        <v>354</v>
      </c>
      <c r="B433">
        <f>climate_scores!H355*weights!$C$13</f>
        <v>6.5007789332907406E-2</v>
      </c>
      <c r="D433">
        <f>bird_scores!D355*weights!$C$14</f>
        <v>6.2946308337687509E-2</v>
      </c>
      <c r="F433">
        <f>size_scores!C355*weights!$C$15</f>
        <v>7.8387444000000001E-2</v>
      </c>
      <c r="H433">
        <f>estuary_data!Z355*weights!$C$16</f>
        <v>1.5171339248824087E-2</v>
      </c>
      <c r="J433">
        <f>SUM(B433:H433)</f>
        <v>0.22151288091941898</v>
      </c>
      <c r="K433" t="str">
        <f>IF(J433&gt;$N$2/5*4, "1", IF(J433&gt;$N$2/5*3, "2", IF(J433&gt;$N$2/5*2, "3", IF(J433&gt;$N$2/5, "4", "5"))))</f>
        <v>4</v>
      </c>
    </row>
    <row r="434" spans="1:11" x14ac:dyDescent="0.55000000000000004">
      <c r="A434">
        <v>355</v>
      </c>
      <c r="B434">
        <f>climate_scores!H356*weights!$C$13</f>
        <v>5.8312276603232467E-2</v>
      </c>
      <c r="D434">
        <f>bird_scores!D356*weights!$C$14</f>
        <v>7.1536300211559323E-2</v>
      </c>
      <c r="F434">
        <f>size_scores!C356*weights!$C$15</f>
        <v>0.156774888</v>
      </c>
      <c r="H434">
        <f>estuary_data!Z356*weights!$C$16</f>
        <v>1.0316510689200344E-2</v>
      </c>
      <c r="J434">
        <f>SUM(B434:H434)</f>
        <v>0.29693997550399215</v>
      </c>
      <c r="K434" t="str">
        <f>IF(J434&gt;$N$2/5*4, "1", IF(J434&gt;$N$2/5*3, "2", IF(J434&gt;$N$2/5*2, "3", IF(J434&gt;$N$2/5, "4", "5"))))</f>
        <v>4</v>
      </c>
    </row>
    <row r="435" spans="1:11" x14ac:dyDescent="0.55000000000000004">
      <c r="A435">
        <v>356</v>
      </c>
      <c r="B435">
        <f>climate_scores!H357*weights!$C$13</f>
        <v>5.3750722636203944E-2</v>
      </c>
      <c r="D435">
        <f>bird_scores!D357*weights!$C$14</f>
        <v>6.3110150815341895E-2</v>
      </c>
      <c r="F435">
        <f>size_scores!C357*weights!$C$15</f>
        <v>0.11758116599999999</v>
      </c>
      <c r="H435">
        <f>estuary_data!Z357*weights!$C$16</f>
        <v>1.0316510689200344E-2</v>
      </c>
      <c r="J435">
        <f>SUM(B435:H435)</f>
        <v>0.24475855014074616</v>
      </c>
      <c r="K435" t="str">
        <f>IF(J435&gt;$N$2/5*4, "1", IF(J435&gt;$N$2/5*3, "2", IF(J435&gt;$N$2/5*2, "3", IF(J435&gt;$N$2/5, "4", "5"))))</f>
        <v>4</v>
      </c>
    </row>
    <row r="436" spans="1:11" x14ac:dyDescent="0.55000000000000004">
      <c r="A436">
        <v>357</v>
      </c>
      <c r="B436">
        <f>climate_scores!H358*weights!$C$13</f>
        <v>5.5099031167859407E-2</v>
      </c>
      <c r="D436">
        <f>bird_scores!D358*weights!$C$14</f>
        <v>6.6502192455156595E-2</v>
      </c>
      <c r="F436">
        <f>size_scores!C358*weights!$C$15</f>
        <v>0.17637174899999999</v>
      </c>
      <c r="H436">
        <f>estuary_data!Z358*weights!$C$16</f>
        <v>2.5285565414706807E-3</v>
      </c>
      <c r="J436">
        <f>SUM(B436:H436)</f>
        <v>0.30050152916448669</v>
      </c>
      <c r="K436" t="str">
        <f>IF(J436&gt;$N$2/5*4, "1", IF(J436&gt;$N$2/5*3, "2", IF(J436&gt;$N$2/5*2, "3", IF(J436&gt;$N$2/5, "4", "5"))))</f>
        <v>4</v>
      </c>
    </row>
    <row r="437" spans="1:11" x14ac:dyDescent="0.55000000000000004">
      <c r="A437">
        <v>358</v>
      </c>
      <c r="B437">
        <f>climate_scores!H359*weights!$C$13</f>
        <v>5.3548249824641091E-2</v>
      </c>
      <c r="D437">
        <f>bird_scores!D359*weights!$C$14</f>
        <v>7.9008801396518613E-2</v>
      </c>
      <c r="F437">
        <f>size_scores!C359*weights!$C$15</f>
        <v>0.156774888</v>
      </c>
      <c r="H437">
        <f>estuary_data!Z359*weights!$C$16</f>
        <v>3.0342678497648169E-3</v>
      </c>
      <c r="J437">
        <f>SUM(B437:H437)</f>
        <v>0.29236620707092453</v>
      </c>
      <c r="K437" t="str">
        <f>IF(J437&gt;$N$2/5*4, "1", IF(J437&gt;$N$2/5*3, "2", IF(J437&gt;$N$2/5*2, "3", IF(J437&gt;$N$2/5, "4", "5"))))</f>
        <v>4</v>
      </c>
    </row>
    <row r="438" spans="1:11" x14ac:dyDescent="0.55000000000000004">
      <c r="A438">
        <v>359</v>
      </c>
      <c r="B438">
        <f>climate_scores!H360*weights!$C$13</f>
        <v>5.1887943433628236E-2</v>
      </c>
      <c r="D438">
        <f>bird_scores!D360*weights!$C$14</f>
        <v>0.10432357742659652</v>
      </c>
      <c r="F438">
        <f>size_scores!C360*weights!$C$15</f>
        <v>0.17637174899999999</v>
      </c>
      <c r="H438">
        <f>estuary_data!Z360*weights!$C$16</f>
        <v>7.0799583161179072E-4</v>
      </c>
      <c r="J438">
        <f>SUM(B438:H438)</f>
        <v>0.33329126569183659</v>
      </c>
      <c r="K438" t="str">
        <f>IF(J438&gt;$N$2/5*4, "1", IF(J438&gt;$N$2/5*3, "2", IF(J438&gt;$N$2/5*2, "3", IF(J438&gt;$N$2/5, "4", "5"))))</f>
        <v>3</v>
      </c>
    </row>
    <row r="439" spans="1:11" x14ac:dyDescent="0.55000000000000004">
      <c r="A439">
        <v>360</v>
      </c>
      <c r="B439">
        <f>climate_scores!H361*weights!$C$13</f>
        <v>5.5352681188192768E-2</v>
      </c>
      <c r="D439">
        <f>bird_scores!D361*weights!$C$14</f>
        <v>7.9927022200638159E-2</v>
      </c>
      <c r="F439">
        <f>size_scores!C361*weights!$C$15</f>
        <v>0.156774888</v>
      </c>
      <c r="H439">
        <f>estuary_data!Z361*weights!$C$16</f>
        <v>3.7928348122060166E-3</v>
      </c>
      <c r="J439">
        <f>SUM(B439:H439)</f>
        <v>0.29584742620103693</v>
      </c>
      <c r="K439" t="str">
        <f>IF(J439&gt;$N$2/5*4, "1", IF(J439&gt;$N$2/5*3, "2", IF(J439&gt;$N$2/5*2, "3", IF(J439&gt;$N$2/5, "4", "5"))))</f>
        <v>4</v>
      </c>
    </row>
    <row r="440" spans="1:11" x14ac:dyDescent="0.55000000000000004">
      <c r="A440">
        <v>362</v>
      </c>
      <c r="B440">
        <f>climate_scores!H363*weights!$C$13</f>
        <v>6.2329349777938976E-2</v>
      </c>
      <c r="D440">
        <f>bird_scores!D363*weights!$C$14</f>
        <v>6.1636596240365667E-2</v>
      </c>
      <c r="F440">
        <f>size_scores!C363*weights!$C$15</f>
        <v>0.11758116599999999</v>
      </c>
      <c r="H440">
        <f>estuary_data!Z363*weights!$C$16</f>
        <v>1.5171339248824087E-2</v>
      </c>
      <c r="J440">
        <f>SUM(B440:H440)</f>
        <v>0.25671845126712872</v>
      </c>
      <c r="K440" t="str">
        <f>IF(J440&gt;$N$2/5*4, "1", IF(J440&gt;$N$2/5*3, "2", IF(J440&gt;$N$2/5*2, "3", IF(J440&gt;$N$2/5, "4", "5"))))</f>
        <v>4</v>
      </c>
    </row>
    <row r="441" spans="1:11" x14ac:dyDescent="0.55000000000000004">
      <c r="A441">
        <v>363</v>
      </c>
      <c r="B441">
        <f>climate_scores!H364*weights!$C$13</f>
        <v>7.0341686080458612E-2</v>
      </c>
      <c r="D441">
        <f>bird_scores!D364*weights!$C$14</f>
        <v>8.5615015379926676E-2</v>
      </c>
      <c r="F441">
        <f>size_scores!C364*weights!$C$15</f>
        <v>1.9596861E-2</v>
      </c>
      <c r="H441">
        <f>estuary_data!Z364*weights!$C$16</f>
        <v>1.9419314238494776E-2</v>
      </c>
      <c r="J441">
        <f>SUM(B441:H441)</f>
        <v>0.19497287669888005</v>
      </c>
      <c r="K441" t="str">
        <f>IF(J441&gt;$N$2/5*4, "1", IF(J441&gt;$N$2/5*3, "2", IF(J441&gt;$N$2/5*2, "3", IF(J441&gt;$N$2/5, "4", "5"))))</f>
        <v>4</v>
      </c>
    </row>
    <row r="442" spans="1:11" x14ac:dyDescent="0.55000000000000004">
      <c r="A442">
        <v>364</v>
      </c>
      <c r="B442">
        <f>climate_scores!H365*weights!$C$13</f>
        <v>6.5648329889013007E-2</v>
      </c>
      <c r="D442">
        <f>bird_scores!D365*weights!$C$14</f>
        <v>6.95069221000197E-2</v>
      </c>
      <c r="F442">
        <f>size_scores!C365*weights!$C$15</f>
        <v>1.9596861E-2</v>
      </c>
      <c r="H442">
        <f>estuary_data!Z365*weights!$C$16</f>
        <v>3.0342678497648174E-2</v>
      </c>
      <c r="J442">
        <f>SUM(B442:H442)</f>
        <v>0.1850947914866809</v>
      </c>
      <c r="K442" t="str">
        <f>IF(J442&gt;$N$2/5*4, "1", IF(J442&gt;$N$2/5*3, "2", IF(J442&gt;$N$2/5*2, "3", IF(J442&gt;$N$2/5, "4", "5"))))</f>
        <v>4</v>
      </c>
    </row>
    <row r="443" spans="1:11" x14ac:dyDescent="0.55000000000000004">
      <c r="A443">
        <v>365</v>
      </c>
      <c r="B443">
        <f>climate_scores!H366*weights!$C$13</f>
        <v>7.3328523905695595E-2</v>
      </c>
      <c r="D443">
        <f>bird_scores!D366*weights!$C$14</f>
        <v>7.1950328705176023E-2</v>
      </c>
      <c r="F443">
        <f>size_scores!C366*weights!$C$15</f>
        <v>9.7984304999999994E-2</v>
      </c>
      <c r="H443">
        <f>estuary_data!Z366*weights!$C$16</f>
        <v>8.4959499793414855E-3</v>
      </c>
      <c r="J443">
        <f>SUM(B443:H443)</f>
        <v>0.25175910759021308</v>
      </c>
      <c r="K443" t="str">
        <f>IF(J443&gt;$N$2/5*4, "1", IF(J443&gt;$N$2/5*3, "2", IF(J443&gt;$N$2/5*2, "3", IF(J443&gt;$N$2/5, "4", "5"))))</f>
        <v>4</v>
      </c>
    </row>
    <row r="444" spans="1:11" x14ac:dyDescent="0.55000000000000004">
      <c r="A444">
        <v>366</v>
      </c>
      <c r="B444">
        <f>climate_scores!H367*weights!$C$13</f>
        <v>5.4144690300204322E-2</v>
      </c>
      <c r="D444">
        <f>bird_scores!D367*weights!$C$14</f>
        <v>6.8142418129150895E-2</v>
      </c>
      <c r="F444">
        <f>size_scores!C367*weights!$C$15</f>
        <v>0.17637174899999999</v>
      </c>
      <c r="H444">
        <f>estuary_data!Z367*weights!$C$16</f>
        <v>2.4274142798118518E-3</v>
      </c>
      <c r="J444">
        <f>SUM(B444:H444)</f>
        <v>0.30108627170916707</v>
      </c>
      <c r="K444" t="str">
        <f>IF(J444&gt;$N$2/5*4, "1", IF(J444&gt;$N$2/5*3, "2", IF(J444&gt;$N$2/5*2, "3", IF(J444&gt;$N$2/5, "4", "5"))))</f>
        <v>4</v>
      </c>
    </row>
    <row r="445" spans="1:11" x14ac:dyDescent="0.55000000000000004">
      <c r="A445">
        <v>367</v>
      </c>
      <c r="B445">
        <f>climate_scores!H368*weights!$C$13</f>
        <v>6.103588615940353E-2</v>
      </c>
      <c r="D445">
        <f>bird_scores!D368*weights!$C$14</f>
        <v>6.771528304383527E-2</v>
      </c>
      <c r="F445">
        <f>size_scores!C368*weights!$C$15</f>
        <v>1.9596861E-2</v>
      </c>
      <c r="H445">
        <f>estuary_data!Z368*weights!$C$16</f>
        <v>8.4959499793414855E-3</v>
      </c>
      <c r="J445">
        <f>SUM(B445:H445)</f>
        <v>0.15684398018258028</v>
      </c>
      <c r="K445" t="str">
        <f>IF(J445&gt;$N$2/5*4, "1", IF(J445&gt;$N$2/5*3, "2", IF(J445&gt;$N$2/5*2, "3", IF(J445&gt;$N$2/5, "4", "5"))))</f>
        <v>5</v>
      </c>
    </row>
    <row r="446" spans="1:11" x14ac:dyDescent="0.55000000000000004">
      <c r="A446">
        <v>368</v>
      </c>
      <c r="B446">
        <f>climate_scores!H369*weights!$C$13</f>
        <v>7.5788349257120399E-2</v>
      </c>
      <c r="D446">
        <f>bird_scores!D369*weights!$C$14</f>
        <v>6.5954607972902549E-2</v>
      </c>
      <c r="F446">
        <f>size_scores!C369*weights!$C$15</f>
        <v>0.13717802699999998</v>
      </c>
      <c r="H446">
        <f>estuary_data!Z369*weights!$C$16</f>
        <v>0</v>
      </c>
      <c r="J446">
        <f>SUM(B446:H446)</f>
        <v>0.27892098423002293</v>
      </c>
      <c r="K446" t="str">
        <f>IF(J446&gt;$N$2/5*4, "1", IF(J446&gt;$N$2/5*3, "2", IF(J446&gt;$N$2/5*2, "3", IF(J446&gt;$N$2/5, "4", "5"))))</f>
        <v>4</v>
      </c>
    </row>
    <row r="447" spans="1:11" x14ac:dyDescent="0.55000000000000004">
      <c r="A447">
        <v>371</v>
      </c>
      <c r="B447">
        <f>climate_scores!H372*weights!$C$13</f>
        <v>7.0831248455144796E-2</v>
      </c>
      <c r="D447">
        <f>bird_scores!D372*weights!$C$14</f>
        <v>5.5338738135269988E-2</v>
      </c>
      <c r="F447">
        <f>size_scores!C372*weights!$C$15</f>
        <v>5.8790582999999993E-2</v>
      </c>
      <c r="H447">
        <f>estuary_data!Z372*weights!$C$16</f>
        <v>0</v>
      </c>
      <c r="J447">
        <f>SUM(B447:H447)</f>
        <v>0.18496056959041479</v>
      </c>
      <c r="K447" t="str">
        <f>IF(J447&gt;$N$2/5*4, "1", IF(J447&gt;$N$2/5*3, "2", IF(J447&gt;$N$2/5*2, "3", IF(J447&gt;$N$2/5, "4", "5"))))</f>
        <v>4</v>
      </c>
    </row>
    <row r="448" spans="1:11" x14ac:dyDescent="0.55000000000000004">
      <c r="A448">
        <v>373</v>
      </c>
      <c r="B448">
        <f>climate_scores!H374*weights!$C$13</f>
        <v>5.3405189448984494E-2</v>
      </c>
      <c r="D448">
        <f>bird_scores!D374*weights!$C$14</f>
        <v>7.1034131694093602E-2</v>
      </c>
      <c r="F448">
        <f>size_scores!C374*weights!$C$15</f>
        <v>0.13717802699999998</v>
      </c>
      <c r="H448">
        <f>estuary_data!Z374*weights!$C$16</f>
        <v>0</v>
      </c>
      <c r="J448">
        <f>SUM(B448:H448)</f>
        <v>0.26161734814307808</v>
      </c>
      <c r="K448" t="str">
        <f>IF(J448&gt;$N$2/5*4, "1", IF(J448&gt;$N$2/5*3, "2", IF(J448&gt;$N$2/5*2, "3", IF(J448&gt;$N$2/5, "4", "5"))))</f>
        <v>4</v>
      </c>
    </row>
    <row r="449" spans="1:11" x14ac:dyDescent="0.55000000000000004">
      <c r="A449">
        <v>374</v>
      </c>
      <c r="B449">
        <f>climate_scores!H375*weights!$C$13</f>
        <v>6.3168832980723136E-2</v>
      </c>
      <c r="D449">
        <f>bird_scores!D375*weights!$C$14</f>
        <v>6.1364947646701216E-2</v>
      </c>
      <c r="F449">
        <f>size_scores!C375*weights!$C$15</f>
        <v>0.17637174899999999</v>
      </c>
      <c r="H449">
        <f>estuary_data!Z375*weights!$C$16</f>
        <v>0</v>
      </c>
      <c r="J449">
        <f>SUM(B449:H449)</f>
        <v>0.30090552962742434</v>
      </c>
      <c r="K449" t="str">
        <f>IF(J449&gt;$N$2/5*4, "1", IF(J449&gt;$N$2/5*3, "2", IF(J449&gt;$N$2/5*2, "3", IF(J449&gt;$N$2/5, "4", "5"))))</f>
        <v>4</v>
      </c>
    </row>
    <row r="450" spans="1:11" x14ac:dyDescent="0.55000000000000004">
      <c r="A450">
        <v>376</v>
      </c>
      <c r="B450">
        <f>climate_scores!H377*weights!$C$13</f>
        <v>5.2847055042699841E-2</v>
      </c>
      <c r="D450">
        <f>bird_scores!D377*weights!$C$14</f>
        <v>6.6985948999448056E-2</v>
      </c>
      <c r="F450">
        <f>size_scores!C377*weights!$C$15</f>
        <v>0.13717802699999998</v>
      </c>
      <c r="H450">
        <f>estuary_data!Z377*weights!$C$16</f>
        <v>0</v>
      </c>
      <c r="J450">
        <f>SUM(B450:H450)</f>
        <v>0.25701103104214784</v>
      </c>
      <c r="K450" t="str">
        <f>IF(J450&gt;$N$2/5*4, "1", IF(J450&gt;$N$2/5*3, "2", IF(J450&gt;$N$2/5*2, "3", IF(J450&gt;$N$2/5, "4", "5"))))</f>
        <v>4</v>
      </c>
    </row>
    <row r="451" spans="1:11" x14ac:dyDescent="0.55000000000000004">
      <c r="A451">
        <v>377</v>
      </c>
      <c r="B451">
        <f>climate_scores!H378*weights!$C$13</f>
        <v>4.976172308568861E-2</v>
      </c>
      <c r="D451">
        <f>bird_scores!D378*weights!$C$14</f>
        <v>6.0299527253272561E-2</v>
      </c>
      <c r="F451">
        <f>size_scores!C378*weights!$C$15</f>
        <v>0.11758116599999999</v>
      </c>
      <c r="H451">
        <f>estuary_data!Z378*weights!$C$16</f>
        <v>0</v>
      </c>
      <c r="J451">
        <f>SUM(B451:H451)</f>
        <v>0.22764241633896115</v>
      </c>
      <c r="K451" t="str">
        <f>IF(J451&gt;$N$2/5*4, "1", IF(J451&gt;$N$2/5*3, "2", IF(J451&gt;$N$2/5*2, "3", IF(J451&gt;$N$2/5, "4", "5"))))</f>
        <v>4</v>
      </c>
    </row>
    <row r="452" spans="1:11" x14ac:dyDescent="0.55000000000000004">
      <c r="A452">
        <v>380</v>
      </c>
      <c r="B452">
        <f>climate_scores!H381*weights!$C$13</f>
        <v>6.4342188190991634E-2</v>
      </c>
      <c r="D452">
        <f>bird_scores!D381*weights!$C$14</f>
        <v>6.4925689317372873E-2</v>
      </c>
      <c r="F452">
        <f>size_scores!C381*weights!$C$15</f>
        <v>0.19596860999999999</v>
      </c>
      <c r="H452">
        <f>estuary_data!Z381*weights!$C$16</f>
        <v>0</v>
      </c>
      <c r="J452">
        <f>SUM(B452:H452)</f>
        <v>0.32523648750836448</v>
      </c>
      <c r="K452" t="str">
        <f>IF(J452&gt;$N$2/5*4, "1", IF(J452&gt;$N$2/5*3, "2", IF(J452&gt;$N$2/5*2, "3", IF(J452&gt;$N$2/5, "4", "5"))))</f>
        <v>3</v>
      </c>
    </row>
    <row r="453" spans="1:11" x14ac:dyDescent="0.55000000000000004">
      <c r="A453">
        <v>381</v>
      </c>
      <c r="B453">
        <f>climate_scores!H382*weights!$C$13</f>
        <v>6.3112022227593781E-2</v>
      </c>
      <c r="D453">
        <f>bird_scores!D382*weights!$C$14</f>
        <v>7.7939863338663623E-2</v>
      </c>
      <c r="F453">
        <f>size_scores!C382*weights!$C$15</f>
        <v>0.156774888</v>
      </c>
      <c r="H453">
        <f>estuary_data!Z382*weights!$C$16</f>
        <v>0</v>
      </c>
      <c r="J453">
        <f>SUM(B453:H453)</f>
        <v>0.29782677356625742</v>
      </c>
      <c r="K453" t="str">
        <f>IF(J453&gt;$N$2/5*4, "1", IF(J453&gt;$N$2/5*3, "2", IF(J453&gt;$N$2/5*2, "3", IF(J453&gt;$N$2/5, "4", "5"))))</f>
        <v>4</v>
      </c>
    </row>
    <row r="454" spans="1:11" x14ac:dyDescent="0.55000000000000004">
      <c r="A454">
        <v>382</v>
      </c>
      <c r="B454">
        <f>climate_scores!H383*weights!$C$13</f>
        <v>4.9682302046055914E-2</v>
      </c>
      <c r="D454">
        <f>bird_scores!D383*weights!$C$14</f>
        <v>6.424645297427628E-2</v>
      </c>
      <c r="F454">
        <f>size_scores!C383*weights!$C$15</f>
        <v>7.8387444000000001E-2</v>
      </c>
      <c r="H454">
        <f>estuary_data!Z383*weights!$C$16</f>
        <v>0</v>
      </c>
      <c r="J454">
        <f>SUM(B454:H454)</f>
        <v>0.1923161990203322</v>
      </c>
      <c r="K454" t="str">
        <f>IF(J454&gt;$N$2/5*4, "1", IF(J454&gt;$N$2/5*3, "2", IF(J454&gt;$N$2/5*2, "3", IF(J454&gt;$N$2/5, "4", "5"))))</f>
        <v>4</v>
      </c>
    </row>
    <row r="455" spans="1:11" x14ac:dyDescent="0.55000000000000004">
      <c r="A455">
        <v>383</v>
      </c>
      <c r="B455">
        <f>climate_scores!H384*weights!$C$13</f>
        <v>5.7768812961022389E-2</v>
      </c>
      <c r="D455">
        <f>bird_scores!D384*weights!$C$14</f>
        <v>8.8073212230835182E-2</v>
      </c>
      <c r="F455">
        <f>size_scores!C384*weights!$C$15</f>
        <v>5.8790582999999993E-2</v>
      </c>
      <c r="H455">
        <f>estuary_data!Z384*weights!$C$16</f>
        <v>0</v>
      </c>
      <c r="J455">
        <f>SUM(B455:H455)</f>
        <v>0.20463260819185758</v>
      </c>
      <c r="K455" t="str">
        <f>IF(J455&gt;$N$2/5*4, "1", IF(J455&gt;$N$2/5*3, "2", IF(J455&gt;$N$2/5*2, "3", IF(J455&gt;$N$2/5, "4", "5"))))</f>
        <v>4</v>
      </c>
    </row>
    <row r="456" spans="1:11" x14ac:dyDescent="0.55000000000000004">
      <c r="A456">
        <v>384</v>
      </c>
      <c r="B456">
        <f>climate_scores!H385*weights!$C$13</f>
        <v>5.9998846157758454E-2</v>
      </c>
      <c r="D456">
        <f>bird_scores!D385*weights!$C$14</f>
        <v>6.2931258106884977E-2</v>
      </c>
      <c r="F456">
        <f>size_scores!C385*weights!$C$15</f>
        <v>0.156774888</v>
      </c>
      <c r="H456">
        <f>estuary_data!Z385*weights!$C$16</f>
        <v>0</v>
      </c>
      <c r="J456">
        <f>SUM(B456:H456)</f>
        <v>0.2797049922646434</v>
      </c>
      <c r="K456" t="str">
        <f>IF(J456&gt;$N$2/5*4, "1", IF(J456&gt;$N$2/5*3, "2", IF(J456&gt;$N$2/5*2, "3", IF(J456&gt;$N$2/5, "4", "5"))))</f>
        <v>4</v>
      </c>
    </row>
    <row r="457" spans="1:11" x14ac:dyDescent="0.55000000000000004">
      <c r="A457">
        <v>387</v>
      </c>
      <c r="B457">
        <f>climate_scores!H388*weights!$C$13</f>
        <v>6.147044525118716E-2</v>
      </c>
      <c r="D457">
        <f>bird_scores!D388*weights!$C$14</f>
        <v>7.6014681602513276E-2</v>
      </c>
      <c r="F457">
        <f>size_scores!C388*weights!$C$15</f>
        <v>0.11758116599999999</v>
      </c>
      <c r="H457">
        <f>estuary_data!Z388*weights!$C$16</f>
        <v>0</v>
      </c>
      <c r="J457">
        <f>SUM(B457:H457)</f>
        <v>0.25506629285370042</v>
      </c>
      <c r="K457" t="str">
        <f>IF(J457&gt;$N$2/5*4, "1", IF(J457&gt;$N$2/5*3, "2", IF(J457&gt;$N$2/5*2, "3", IF(J457&gt;$N$2/5, "4", "5"))))</f>
        <v>4</v>
      </c>
    </row>
    <row r="458" spans="1:11" x14ac:dyDescent="0.55000000000000004">
      <c r="A458">
        <v>388</v>
      </c>
      <c r="B458">
        <f>climate_scores!H389*weights!$C$13</f>
        <v>5.9785536282126628E-2</v>
      </c>
      <c r="D458">
        <f>bird_scores!D389*weights!$C$14</f>
        <v>6.9928042068728394E-2</v>
      </c>
      <c r="F458">
        <f>size_scores!C389*weights!$C$15</f>
        <v>3.9193722E-2</v>
      </c>
      <c r="H458">
        <f>estuary_data!Z389*weights!$C$16</f>
        <v>0</v>
      </c>
      <c r="J458">
        <f>SUM(B458:H458)</f>
        <v>0.16890730035085499</v>
      </c>
      <c r="K458" t="str">
        <f>IF(J458&gt;$N$2/5*4, "1", IF(J458&gt;$N$2/5*3, "2", IF(J458&gt;$N$2/5*2, "3", IF(J458&gt;$N$2/5, "4", "5"))))</f>
        <v>4</v>
      </c>
    </row>
    <row r="459" spans="1:11" x14ac:dyDescent="0.55000000000000004">
      <c r="A459">
        <v>392</v>
      </c>
      <c r="B459">
        <f>climate_scores!H393*weights!$C$13</f>
        <v>4.6692922590799456E-2</v>
      </c>
      <c r="D459">
        <f>bird_scores!D393*weights!$C$14</f>
        <v>8.2548766617242197E-2</v>
      </c>
      <c r="F459">
        <f>size_scores!C393*weights!$C$15</f>
        <v>0.17637174899999999</v>
      </c>
      <c r="H459">
        <f>estuary_data!Z393*weights!$C$16</f>
        <v>0</v>
      </c>
      <c r="J459">
        <f>SUM(B459:H459)</f>
        <v>0.30561343820804165</v>
      </c>
      <c r="K459" t="str">
        <f>IF(J459&gt;$N$2/5*4, "1", IF(J459&gt;$N$2/5*3, "2", IF(J459&gt;$N$2/5*2, "3", IF(J459&gt;$N$2/5, "4", "5"))))</f>
        <v>4</v>
      </c>
    </row>
    <row r="460" spans="1:11" x14ac:dyDescent="0.55000000000000004">
      <c r="A460">
        <v>393</v>
      </c>
      <c r="B460">
        <f>climate_scores!H394*weights!$C$13</f>
        <v>4.5667733319908012E-2</v>
      </c>
      <c r="D460">
        <f>bird_scores!D394*weights!$C$14</f>
        <v>8.2681346112604581E-2</v>
      </c>
      <c r="F460">
        <f>size_scores!C394*weights!$C$15</f>
        <v>0.13717802699999998</v>
      </c>
      <c r="H460">
        <f>estuary_data!Z394*weights!$C$16</f>
        <v>0</v>
      </c>
      <c r="J460">
        <f>SUM(B460:H460)</f>
        <v>0.26552710643251254</v>
      </c>
      <c r="K460" t="str">
        <f>IF(J460&gt;$N$2/5*4, "1", IF(J460&gt;$N$2/5*3, "2", IF(J460&gt;$N$2/5*2, "3", IF(J460&gt;$N$2/5, "4", "5"))))</f>
        <v>4</v>
      </c>
    </row>
    <row r="461" spans="1:11" x14ac:dyDescent="0.55000000000000004">
      <c r="A461">
        <v>394</v>
      </c>
      <c r="B461">
        <f>climate_scores!H395*weights!$C$13</f>
        <v>5.4823745716170692E-2</v>
      </c>
      <c r="D461">
        <f>bird_scores!D395*weights!$C$14</f>
        <v>9.6628232442208778E-2</v>
      </c>
      <c r="F461">
        <f>size_scores!C395*weights!$C$15</f>
        <v>0.156774888</v>
      </c>
      <c r="H461">
        <f>estuary_data!Z395*weights!$C$16</f>
        <v>0</v>
      </c>
      <c r="J461">
        <f>SUM(B461:H461)</f>
        <v>0.30822686615837946</v>
      </c>
      <c r="K461" t="str">
        <f>IF(J461&gt;$N$2/5*4, "1", IF(J461&gt;$N$2/5*3, "2", IF(J461&gt;$N$2/5*2, "3", IF(J461&gt;$N$2/5, "4", "5"))))</f>
        <v>4</v>
      </c>
    </row>
    <row r="462" spans="1:11" x14ac:dyDescent="0.55000000000000004">
      <c r="A462">
        <v>395</v>
      </c>
      <c r="B462">
        <f>climate_scores!H396*weights!$C$13</f>
        <v>6.5449249654172093E-2</v>
      </c>
      <c r="D462">
        <f>bird_scores!D396*weights!$C$14</f>
        <v>0.10002086733069983</v>
      </c>
      <c r="F462">
        <f>size_scores!C396*weights!$C$15</f>
        <v>7.8387444000000001E-2</v>
      </c>
      <c r="H462">
        <f>estuary_data!Z396*weights!$C$16</f>
        <v>0</v>
      </c>
      <c r="J462">
        <f>SUM(B462:H462)</f>
        <v>0.24385756098487191</v>
      </c>
      <c r="K462" t="str">
        <f>IF(J462&gt;$N$2/5*4, "1", IF(J462&gt;$N$2/5*3, "2", IF(J462&gt;$N$2/5*2, "3", IF(J462&gt;$N$2/5, "4", "5"))))</f>
        <v>4</v>
      </c>
    </row>
    <row r="463" spans="1:11" x14ac:dyDescent="0.55000000000000004">
      <c r="A463">
        <v>396</v>
      </c>
      <c r="B463">
        <f>climate_scores!H397*weights!$C$13</f>
        <v>5.7826917064979819E-2</v>
      </c>
      <c r="D463">
        <f>bird_scores!D397*weights!$C$14</f>
        <v>9.3914148490287258E-2</v>
      </c>
      <c r="F463">
        <f>size_scores!C397*weights!$C$15</f>
        <v>0.17637174899999999</v>
      </c>
      <c r="H463">
        <f>estuary_data!Z397*weights!$C$16</f>
        <v>0</v>
      </c>
      <c r="J463">
        <f>SUM(B463:H463)</f>
        <v>0.32811281455526708</v>
      </c>
      <c r="K463" t="str">
        <f>IF(J463&gt;$N$2/5*4, "1", IF(J463&gt;$N$2/5*3, "2", IF(J463&gt;$N$2/5*2, "3", IF(J463&gt;$N$2/5, "4", "5"))))</f>
        <v>3</v>
      </c>
    </row>
    <row r="464" spans="1:11" x14ac:dyDescent="0.55000000000000004">
      <c r="A464">
        <v>397</v>
      </c>
      <c r="B464">
        <f>climate_scores!H398*weights!$C$13</f>
        <v>5.9146919744084064E-2</v>
      </c>
      <c r="D464">
        <f>bird_scores!D398*weights!$C$14</f>
        <v>6.9550287963985782E-2</v>
      </c>
      <c r="F464">
        <f>size_scores!C398*weights!$C$15</f>
        <v>9.7984304999999994E-2</v>
      </c>
      <c r="H464">
        <f>estuary_data!Z398*weights!$C$16</f>
        <v>0</v>
      </c>
      <c r="J464">
        <f>SUM(B464:H464)</f>
        <v>0.22668151270806985</v>
      </c>
      <c r="K464" t="str">
        <f>IF(J464&gt;$N$2/5*4, "1", IF(J464&gt;$N$2/5*3, "2", IF(J464&gt;$N$2/5*2, "3", IF(J464&gt;$N$2/5, "4", "5"))))</f>
        <v>4</v>
      </c>
    </row>
    <row r="465" spans="1:11" x14ac:dyDescent="0.55000000000000004">
      <c r="A465">
        <v>400</v>
      </c>
      <c r="B465">
        <f>climate_scores!H401*weights!$C$13</f>
        <v>6.1556015084111237E-2</v>
      </c>
      <c r="D465">
        <f>bird_scores!D401*weights!$C$14</f>
        <v>6.6448946463994227E-2</v>
      </c>
      <c r="F465">
        <f>size_scores!C401*weights!$C$15</f>
        <v>0.13717802699999998</v>
      </c>
      <c r="H465">
        <f>estuary_data!Z401*weights!$C$16</f>
        <v>0</v>
      </c>
      <c r="J465">
        <f>SUM(B465:H465)</f>
        <v>0.26518298854810546</v>
      </c>
      <c r="K465" t="str">
        <f>IF(J465&gt;$N$2/5*4, "1", IF(J465&gt;$N$2/5*3, "2", IF(J465&gt;$N$2/5*2, "3", IF(J465&gt;$N$2/5, "4", "5"))))</f>
        <v>4</v>
      </c>
    </row>
    <row r="466" spans="1:11" x14ac:dyDescent="0.55000000000000004">
      <c r="A466">
        <v>402</v>
      </c>
      <c r="B466">
        <f>climate_scores!H403*weights!$C$13</f>
        <v>4.8974954877099394E-2</v>
      </c>
      <c r="D466">
        <f>bird_scores!D403*weights!$C$14</f>
        <v>6.1750508847284884E-2</v>
      </c>
      <c r="F466">
        <f>size_scores!C403*weights!$C$15</f>
        <v>3.9193722E-2</v>
      </c>
      <c r="H466">
        <f>estuary_data!Z403*weights!$C$16</f>
        <v>0</v>
      </c>
      <c r="J466">
        <f>SUM(B466:H466)</f>
        <v>0.14991918572438429</v>
      </c>
      <c r="K466" t="str">
        <f>IF(J466&gt;$N$2/5*4, "1", IF(J466&gt;$N$2/5*3, "2", IF(J466&gt;$N$2/5*2, "3", IF(J466&gt;$N$2/5, "4", "5"))))</f>
        <v>5</v>
      </c>
    </row>
    <row r="467" spans="1:11" x14ac:dyDescent="0.55000000000000004">
      <c r="A467">
        <v>403</v>
      </c>
      <c r="B467">
        <f>climate_scores!H404*weights!$C$13</f>
        <v>4.4058315757573706E-2</v>
      </c>
      <c r="D467">
        <f>bird_scores!D404*weights!$C$14</f>
        <v>8.6862972562841034E-2</v>
      </c>
      <c r="F467">
        <f>size_scores!C404*weights!$C$15</f>
        <v>0.11758116599999999</v>
      </c>
      <c r="H467">
        <f>estuary_data!Z404*weights!$C$16</f>
        <v>0</v>
      </c>
      <c r="J467">
        <f>SUM(B467:H467)</f>
        <v>0.24850245432041473</v>
      </c>
      <c r="K467" t="str">
        <f>IF(J467&gt;$N$2/5*4, "1", IF(J467&gt;$N$2/5*3, "2", IF(J467&gt;$N$2/5*2, "3", IF(J467&gt;$N$2/5, "4", "5"))))</f>
        <v>4</v>
      </c>
    </row>
    <row r="468" spans="1:11" x14ac:dyDescent="0.55000000000000004">
      <c r="A468">
        <v>404</v>
      </c>
      <c r="B468">
        <f>climate_scores!H405*weights!$C$13</f>
        <v>4.3440560626148497E-2</v>
      </c>
      <c r="D468">
        <f>bird_scores!D405*weights!$C$14</f>
        <v>8.0084204654143745E-2</v>
      </c>
      <c r="F468">
        <f>size_scores!C405*weights!$C$15</f>
        <v>9.7984304999999994E-2</v>
      </c>
      <c r="H468">
        <f>estuary_data!Z405*weights!$C$16</f>
        <v>0</v>
      </c>
      <c r="J468">
        <f>SUM(B468:H468)</f>
        <v>0.22150907028029224</v>
      </c>
      <c r="K468" t="str">
        <f>IF(J468&gt;$N$2/5*4, "1", IF(J468&gt;$N$2/5*3, "2", IF(J468&gt;$N$2/5*2, "3", IF(J468&gt;$N$2/5, "4", "5"))))</f>
        <v>4</v>
      </c>
    </row>
    <row r="469" spans="1:11" x14ac:dyDescent="0.55000000000000004">
      <c r="A469">
        <v>405</v>
      </c>
      <c r="B469">
        <f>climate_scores!H406*weights!$C$13</f>
        <v>5.7512974544879546E-2</v>
      </c>
      <c r="D469">
        <f>bird_scores!D406*weights!$C$14</f>
        <v>5.5388378115953651E-2</v>
      </c>
      <c r="F469">
        <f>size_scores!C406*weights!$C$15</f>
        <v>0.11758116599999999</v>
      </c>
      <c r="H469">
        <f>estuary_data!Z406*weights!$C$16</f>
        <v>0</v>
      </c>
      <c r="J469">
        <f>SUM(B469:H469)</f>
        <v>0.23048251866083319</v>
      </c>
      <c r="K469" t="str">
        <f>IF(J469&gt;$N$2/5*4, "1", IF(J469&gt;$N$2/5*3, "2", IF(J469&gt;$N$2/5*2, "3", IF(J469&gt;$N$2/5, "4", "5"))))</f>
        <v>4</v>
      </c>
    </row>
    <row r="470" spans="1:11" x14ac:dyDescent="0.55000000000000004">
      <c r="A470">
        <v>407</v>
      </c>
      <c r="B470">
        <f>climate_scores!H408*weights!$C$13</f>
        <v>5.640850774495363E-2</v>
      </c>
      <c r="D470">
        <f>bird_scores!D408*weights!$C$14</f>
        <v>8.5412969159065863E-2</v>
      </c>
      <c r="F470">
        <f>size_scores!C408*weights!$C$15</f>
        <v>0.17637174899999999</v>
      </c>
      <c r="H470">
        <f>estuary_data!Z408*weights!$C$16</f>
        <v>0</v>
      </c>
      <c r="J470">
        <f>SUM(B470:H470)</f>
        <v>0.31819322590401949</v>
      </c>
      <c r="K470" t="str">
        <f>IF(J470&gt;$N$2/5*4, "1", IF(J470&gt;$N$2/5*3, "2", IF(J470&gt;$N$2/5*2, "3", IF(J470&gt;$N$2/5, "4", "5"))))</f>
        <v>3</v>
      </c>
    </row>
    <row r="471" spans="1:11" x14ac:dyDescent="0.55000000000000004">
      <c r="A471">
        <v>409</v>
      </c>
      <c r="B471">
        <f>climate_scores!H410*weights!$C$13</f>
        <v>4.8230169434140616E-2</v>
      </c>
      <c r="D471">
        <f>bird_scores!D410*weights!$C$14</f>
        <v>5.8616216215500325E-2</v>
      </c>
      <c r="F471">
        <f>size_scores!C410*weights!$C$15</f>
        <v>5.8790582999999993E-2</v>
      </c>
      <c r="H471">
        <f>estuary_data!Z410*weights!$C$16</f>
        <v>0</v>
      </c>
      <c r="J471">
        <f>SUM(B471:H471)</f>
        <v>0.16563696864964095</v>
      </c>
      <c r="K471" t="str">
        <f>IF(J471&gt;$N$2/5*4, "1", IF(J471&gt;$N$2/5*3, "2", IF(J471&gt;$N$2/5*2, "3", IF(J471&gt;$N$2/5, "4", "5"))))</f>
        <v>4</v>
      </c>
    </row>
    <row r="472" spans="1:11" x14ac:dyDescent="0.55000000000000004">
      <c r="A472">
        <v>410</v>
      </c>
      <c r="B472">
        <f>climate_scores!H411*weights!$C$13</f>
        <v>5.5669090180006417E-2</v>
      </c>
      <c r="D472">
        <f>bird_scores!D411*weights!$C$14</f>
        <v>6.3808762522149662E-2</v>
      </c>
      <c r="F472">
        <f>size_scores!C411*weights!$C$15</f>
        <v>0.11758116599999999</v>
      </c>
      <c r="H472">
        <f>estuary_data!Z411*weights!$C$16</f>
        <v>0</v>
      </c>
      <c r="J472">
        <f>SUM(B472:H472)</f>
        <v>0.23705901870215607</v>
      </c>
      <c r="K472" t="str">
        <f>IF(J472&gt;$N$2/5*4, "1", IF(J472&gt;$N$2/5*3, "2", IF(J472&gt;$N$2/5*2, "3", IF(J472&gt;$N$2/5, "4", "5"))))</f>
        <v>4</v>
      </c>
    </row>
    <row r="473" spans="1:11" x14ac:dyDescent="0.55000000000000004">
      <c r="A473">
        <v>411</v>
      </c>
      <c r="B473">
        <f>climate_scores!H412*weights!$C$13</f>
        <v>5.0347013495587484E-2</v>
      </c>
      <c r="D473">
        <f>bird_scores!D412*weights!$C$14</f>
        <v>6.6212757165299618E-2</v>
      </c>
      <c r="F473">
        <f>size_scores!C412*weights!$C$15</f>
        <v>0.13717802699999998</v>
      </c>
      <c r="H473">
        <f>estuary_data!Z412*weights!$C$16</f>
        <v>0</v>
      </c>
      <c r="J473">
        <f>SUM(B473:H473)</f>
        <v>0.25373779766088711</v>
      </c>
      <c r="K473" t="str">
        <f>IF(J473&gt;$N$2/5*4, "1", IF(J473&gt;$N$2/5*3, "2", IF(J473&gt;$N$2/5*2, "3", IF(J473&gt;$N$2/5, "4", "5"))))</f>
        <v>4</v>
      </c>
    </row>
    <row r="474" spans="1:11" x14ac:dyDescent="0.55000000000000004">
      <c r="A474">
        <v>413</v>
      </c>
      <c r="B474">
        <f>climate_scores!H414*weights!$C$13</f>
        <v>4.6416165497652449E-2</v>
      </c>
      <c r="D474">
        <f>bird_scores!D414*weights!$C$14</f>
        <v>6.6960303957938727E-2</v>
      </c>
      <c r="F474">
        <f>size_scores!C414*weights!$C$15</f>
        <v>9.7984304999999994E-2</v>
      </c>
      <c r="H474">
        <f>estuary_data!Z414*weights!$C$16</f>
        <v>0</v>
      </c>
      <c r="J474">
        <f>SUM(B474:H474)</f>
        <v>0.21136077445559118</v>
      </c>
      <c r="K474" t="str">
        <f>IF(J474&gt;$N$2/5*4, "1", IF(J474&gt;$N$2/5*3, "2", IF(J474&gt;$N$2/5*2, "3", IF(J474&gt;$N$2/5, "4", "5"))))</f>
        <v>4</v>
      </c>
    </row>
    <row r="475" spans="1:11" x14ac:dyDescent="0.55000000000000004">
      <c r="A475">
        <v>414</v>
      </c>
      <c r="B475">
        <f>climate_scores!H415*weights!$C$13</f>
        <v>5.2265216690305018E-2</v>
      </c>
      <c r="D475">
        <f>bird_scores!D415*weights!$C$14</f>
        <v>5.929794077172957E-2</v>
      </c>
      <c r="F475">
        <f>size_scores!C415*weights!$C$15</f>
        <v>9.7984304999999994E-2</v>
      </c>
      <c r="H475">
        <f>estuary_data!Z415*weights!$C$16</f>
        <v>0</v>
      </c>
      <c r="J475">
        <f>SUM(B475:H475)</f>
        <v>0.20954746246203459</v>
      </c>
      <c r="K475" t="str">
        <f>IF(J475&gt;$N$2/5*4, "1", IF(J475&gt;$N$2/5*3, "2", IF(J475&gt;$N$2/5*2, "3", IF(J475&gt;$N$2/5, "4", "5"))))</f>
        <v>4</v>
      </c>
    </row>
    <row r="476" spans="1:11" x14ac:dyDescent="0.55000000000000004">
      <c r="A476">
        <v>416</v>
      </c>
      <c r="B476">
        <f>climate_scores!H417*weights!$C$13</f>
        <v>4.7247165403632212E-2</v>
      </c>
      <c r="D476">
        <f>bird_scores!D417*weights!$C$14</f>
        <v>7.1710027752207195E-2</v>
      </c>
      <c r="F476">
        <f>size_scores!C417*weights!$C$15</f>
        <v>5.8790582999999993E-2</v>
      </c>
      <c r="H476">
        <f>estuary_data!Z417*weights!$C$16</f>
        <v>5.5851154366887157E-4</v>
      </c>
      <c r="J476">
        <f>SUM(B476:H476)</f>
        <v>0.17830628769950829</v>
      </c>
      <c r="K476" t="str">
        <f>IF(J476&gt;$N$2/5*4, "1", IF(J476&gt;$N$2/5*3, "2", IF(J476&gt;$N$2/5*2, "3", IF(J476&gt;$N$2/5, "4", "5"))))</f>
        <v>4</v>
      </c>
    </row>
    <row r="477" spans="1:11" x14ac:dyDescent="0.55000000000000004">
      <c r="A477">
        <v>417</v>
      </c>
      <c r="B477">
        <f>climate_scores!H418*weights!$C$13</f>
        <v>5.0317095680655823E-2</v>
      </c>
      <c r="D477">
        <f>bird_scores!D418*weights!$C$14</f>
        <v>7.0055489648062283E-2</v>
      </c>
      <c r="F477">
        <f>size_scores!C418*weights!$C$15</f>
        <v>9.7984304999999994E-2</v>
      </c>
      <c r="H477">
        <f>estuary_data!Z418*weights!$C$16</f>
        <v>0</v>
      </c>
      <c r="J477">
        <f>SUM(B477:H477)</f>
        <v>0.21835689032871811</v>
      </c>
      <c r="K477" t="str">
        <f>IF(J477&gt;$N$2/5*4, "1", IF(J477&gt;$N$2/5*3, "2", IF(J477&gt;$N$2/5*2, "3", IF(J477&gt;$N$2/5, "4", "5"))))</f>
        <v>4</v>
      </c>
    </row>
    <row r="478" spans="1:11" x14ac:dyDescent="0.55000000000000004">
      <c r="A478">
        <v>418</v>
      </c>
      <c r="B478">
        <f>climate_scores!H419*weights!$C$13</f>
        <v>5.3785454757354932E-2</v>
      </c>
      <c r="D478">
        <f>bird_scores!D419*weights!$C$14</f>
        <v>8.5159289418360026E-2</v>
      </c>
      <c r="F478">
        <f>size_scores!C419*weights!$C$15</f>
        <v>1.9596861E-2</v>
      </c>
      <c r="H478">
        <f>estuary_data!Z419*weights!$C$16</f>
        <v>2.8700132427872907E-2</v>
      </c>
      <c r="J478">
        <f>SUM(B478:H478)</f>
        <v>0.18724173760358787</v>
      </c>
      <c r="K478" t="str">
        <f>IF(J478&gt;$N$2/5*4, "1", IF(J478&gt;$N$2/5*3, "2", IF(J478&gt;$N$2/5*2, "3", IF(J478&gt;$N$2/5, "4", "5"))))</f>
        <v>4</v>
      </c>
    </row>
    <row r="479" spans="1:11" x14ac:dyDescent="0.55000000000000004">
      <c r="A479">
        <v>419</v>
      </c>
      <c r="B479">
        <f>climate_scores!H420*weights!$C$13</f>
        <v>6.1756499632289401E-2</v>
      </c>
      <c r="D479">
        <f>bird_scores!D420*weights!$C$14</f>
        <v>5.8910600715137908E-2</v>
      </c>
      <c r="F479">
        <f>size_scores!C420*weights!$C$15</f>
        <v>1.9596861E-2</v>
      </c>
      <c r="H479">
        <f>estuary_data!Z420*weights!$C$16</f>
        <v>2.8700132427872907E-2</v>
      </c>
      <c r="J479">
        <f>SUM(B479:H479)</f>
        <v>0.16896409377530019</v>
      </c>
      <c r="K479" t="str">
        <f>IF(J479&gt;$N$2/5*4, "1", IF(J479&gt;$N$2/5*3, "2", IF(J479&gt;$N$2/5*2, "3", IF(J479&gt;$N$2/5, "4", "5"))))</f>
        <v>4</v>
      </c>
    </row>
    <row r="480" spans="1:11" x14ac:dyDescent="0.55000000000000004">
      <c r="A480">
        <v>420</v>
      </c>
      <c r="B480">
        <f>climate_scores!H421*weights!$C$13</f>
        <v>4.7367271073199706E-2</v>
      </c>
      <c r="D480">
        <f>bird_scores!D421*weights!$C$14</f>
        <v>5.9095807612753147E-2</v>
      </c>
      <c r="F480">
        <f>size_scores!C421*weights!$C$15</f>
        <v>5.8790582999999993E-2</v>
      </c>
      <c r="H480">
        <f>estuary_data!Z421*weights!$C$16</f>
        <v>2.8700132427872907E-2</v>
      </c>
      <c r="J480">
        <f>SUM(B480:H480)</f>
        <v>0.19395379411382574</v>
      </c>
      <c r="K480" t="str">
        <f>IF(J480&gt;$N$2/5*4, "1", IF(J480&gt;$N$2/5*3, "2", IF(J480&gt;$N$2/5*2, "3", IF(J480&gt;$N$2/5, "4", "5"))))</f>
        <v>4</v>
      </c>
    </row>
    <row r="481" spans="1:11" x14ac:dyDescent="0.55000000000000004">
      <c r="A481">
        <v>422</v>
      </c>
      <c r="B481">
        <f>climate_scores!H423*weights!$C$13</f>
        <v>6.0680926467805839E-2</v>
      </c>
      <c r="D481">
        <f>bird_scores!D423*weights!$C$14</f>
        <v>7.8529294919042134E-2</v>
      </c>
      <c r="F481">
        <f>size_scores!C423*weights!$C$15</f>
        <v>1.9596861E-2</v>
      </c>
      <c r="H481">
        <f>estuary_data!Z423*weights!$C$16</f>
        <v>2.8435157171758652E-2</v>
      </c>
      <c r="J481">
        <f>SUM(B481:H481)</f>
        <v>0.18724223955860661</v>
      </c>
      <c r="K481" t="str">
        <f>IF(J481&gt;$N$2/5*4, "1", IF(J481&gt;$N$2/5*3, "2", IF(J481&gt;$N$2/5*2, "3", IF(J481&gt;$N$2/5, "4", "5"))))</f>
        <v>4</v>
      </c>
    </row>
    <row r="482" spans="1:11" x14ac:dyDescent="0.55000000000000004">
      <c r="A482">
        <v>423</v>
      </c>
      <c r="B482">
        <f>climate_scores!H424*weights!$C$13</f>
        <v>4.8640386225347429E-2</v>
      </c>
      <c r="D482">
        <f>bird_scores!D424*weights!$C$14</f>
        <v>5.6003871858826021E-2</v>
      </c>
      <c r="F482">
        <f>size_scores!C424*weights!$C$15</f>
        <v>0.11758116599999999</v>
      </c>
      <c r="H482">
        <f>estuary_data!Z424*weights!$C$16</f>
        <v>1.4217578585879326E-2</v>
      </c>
      <c r="J482">
        <f>SUM(B482:H482)</f>
        <v>0.23644300267005278</v>
      </c>
      <c r="K482" t="str">
        <f>IF(J482&gt;$N$2/5*4, "1", IF(J482&gt;$N$2/5*3, "2", IF(J482&gt;$N$2/5*2, "3", IF(J482&gt;$N$2/5, "4", "5"))))</f>
        <v>4</v>
      </c>
    </row>
    <row r="483" spans="1:11" x14ac:dyDescent="0.55000000000000004">
      <c r="A483">
        <v>424</v>
      </c>
      <c r="B483">
        <f>climate_scores!H425*weights!$C$13</f>
        <v>5.7390529085103198E-2</v>
      </c>
      <c r="D483">
        <f>bird_scores!D425*weights!$C$14</f>
        <v>6.7962879325263265E-2</v>
      </c>
      <c r="F483">
        <f>size_scores!C425*weights!$C$15</f>
        <v>1.9596861E-2</v>
      </c>
      <c r="H483">
        <f>estuary_data!Z425*weights!$C$16</f>
        <v>2.8435157171758652E-2</v>
      </c>
      <c r="J483">
        <f>SUM(B483:H483)</f>
        <v>0.17338542658212511</v>
      </c>
      <c r="K483" t="str">
        <f>IF(J483&gt;$N$2/5*4, "1", IF(J483&gt;$N$2/5*3, "2", IF(J483&gt;$N$2/5*2, "3", IF(J483&gt;$N$2/5, "4", "5"))))</f>
        <v>4</v>
      </c>
    </row>
    <row r="484" spans="1:11" x14ac:dyDescent="0.55000000000000004">
      <c r="A484">
        <v>427</v>
      </c>
      <c r="B484">
        <f>climate_scores!H428*weights!$C$13</f>
        <v>5.1057067111337687E-2</v>
      </c>
      <c r="D484">
        <f>bird_scores!D428*weights!$C$14</f>
        <v>6.3773912424070073E-2</v>
      </c>
      <c r="F484">
        <f>size_scores!C428*weights!$C$15</f>
        <v>0.13717802699999998</v>
      </c>
      <c r="H484">
        <f>estuary_data!Z428*weights!$C$16</f>
        <v>9.0321632836922166E-3</v>
      </c>
      <c r="J484">
        <f>SUM(B484:H484)</f>
        <v>0.26104116981909997</v>
      </c>
      <c r="K484" t="str">
        <f>IF(J484&gt;$N$2/5*4, "1", IF(J484&gt;$N$2/5*3, "2", IF(J484&gt;$N$2/5*2, "3", IF(J484&gt;$N$2/5, "4", "5"))))</f>
        <v>4</v>
      </c>
    </row>
    <row r="485" spans="1:11" x14ac:dyDescent="0.55000000000000004">
      <c r="A485">
        <v>429</v>
      </c>
      <c r="B485">
        <f>climate_scores!H430*weights!$C$13</f>
        <v>4.8538222772204431E-2</v>
      </c>
      <c r="D485">
        <f>bird_scores!D430*weights!$C$14</f>
        <v>8.7199942654366508E-2</v>
      </c>
      <c r="F485">
        <f>size_scores!C430*weights!$C$15</f>
        <v>5.8790582999999993E-2</v>
      </c>
      <c r="H485">
        <f>estuary_data!Z430*weights!$C$16</f>
        <v>2.7616188215225348E-2</v>
      </c>
      <c r="J485">
        <f>SUM(B485:H485)</f>
        <v>0.22214493664179627</v>
      </c>
      <c r="K485" t="str">
        <f>IF(J485&gt;$N$2/5*4, "1", IF(J485&gt;$N$2/5*3, "2", IF(J485&gt;$N$2/5*2, "3", IF(J485&gt;$N$2/5, "4", "5"))))</f>
        <v>4</v>
      </c>
    </row>
    <row r="486" spans="1:11" x14ac:dyDescent="0.55000000000000004">
      <c r="A486">
        <v>432</v>
      </c>
      <c r="B486">
        <f>climate_scores!H433*weights!$C$13</f>
        <v>4.9844998506654699E-2</v>
      </c>
      <c r="D486">
        <f>bird_scores!D433*weights!$C$14</f>
        <v>6.0350086590910394E-2</v>
      </c>
      <c r="F486">
        <f>size_scores!C433*weights!$C$15</f>
        <v>0.17637174899999999</v>
      </c>
      <c r="H486">
        <f>estuary_data!Z433*weights!$C$16</f>
        <v>6.8660410131420463E-3</v>
      </c>
      <c r="J486">
        <f>SUM(B486:H486)</f>
        <v>0.29343287511070715</v>
      </c>
      <c r="K486" t="str">
        <f>IF(J486&gt;$N$2/5*4, "1", IF(J486&gt;$N$2/5*3, "2", IF(J486&gt;$N$2/5*2, "3", IF(J486&gt;$N$2/5, "4", "5"))))</f>
        <v>4</v>
      </c>
    </row>
    <row r="487" spans="1:11" x14ac:dyDescent="0.55000000000000004">
      <c r="A487">
        <v>433</v>
      </c>
      <c r="B487">
        <f>climate_scores!H434*weights!$C$13</f>
        <v>4.9892686572844784E-2</v>
      </c>
      <c r="D487">
        <f>bird_scores!D434*weights!$C$14</f>
        <v>6.6002845494279441E-2</v>
      </c>
      <c r="F487">
        <f>size_scores!C434*weights!$C$15</f>
        <v>9.7984304999999994E-2</v>
      </c>
      <c r="H487">
        <f>estuary_data!Z434*weights!$C$16</f>
        <v>3.0861549579764114E-2</v>
      </c>
      <c r="J487">
        <f>SUM(B487:H487)</f>
        <v>0.24474138664688833</v>
      </c>
      <c r="K487" t="str">
        <f>IF(J487&gt;$N$2/5*4, "1", IF(J487&gt;$N$2/5*3, "2", IF(J487&gt;$N$2/5*2, "3", IF(J487&gt;$N$2/5, "4", "5"))))</f>
        <v>4</v>
      </c>
    </row>
    <row r="488" spans="1:11" x14ac:dyDescent="0.55000000000000004">
      <c r="A488">
        <v>434</v>
      </c>
      <c r="B488">
        <f>climate_scores!H435*weights!$C$13</f>
        <v>5.0984766154346953E-2</v>
      </c>
      <c r="D488">
        <f>bird_scores!D435*weights!$C$14</f>
        <v>8.7933511051306118E-2</v>
      </c>
      <c r="F488">
        <f>size_scores!C435*weights!$C$15</f>
        <v>0.156774888</v>
      </c>
      <c r="H488">
        <f>estuary_data!Z435*weights!$C$16</f>
        <v>1.2662516996749858E-2</v>
      </c>
      <c r="J488">
        <f>SUM(B488:H488)</f>
        <v>0.30835568220240295</v>
      </c>
      <c r="K488" t="str">
        <f>IF(J488&gt;$N$2/5*4, "1", IF(J488&gt;$N$2/5*3, "2", IF(J488&gt;$N$2/5*2, "3", IF(J488&gt;$N$2/5, "4", "5"))))</f>
        <v>4</v>
      </c>
    </row>
    <row r="489" spans="1:11" x14ac:dyDescent="0.55000000000000004">
      <c r="A489">
        <v>435</v>
      </c>
      <c r="B489">
        <f>climate_scores!H436*weights!$C$13</f>
        <v>5.122173281389715E-2</v>
      </c>
      <c r="D489">
        <f>bird_scores!D436*weights!$C$14</f>
        <v>8.7933511051306118E-2</v>
      </c>
      <c r="F489">
        <f>size_scores!C436*weights!$C$15</f>
        <v>1.9596861E-2</v>
      </c>
      <c r="H489">
        <f>estuary_data!Z436*weights!$C$16</f>
        <v>4.6727724886378171E-2</v>
      </c>
      <c r="J489">
        <f>SUM(B489:H489)</f>
        <v>0.20547982975158144</v>
      </c>
      <c r="K489" t="str">
        <f>IF(J489&gt;$N$2/5*4, "1", IF(J489&gt;$N$2/5*3, "2", IF(J489&gt;$N$2/5*2, "3", IF(J489&gt;$N$2/5, "4", "5"))))</f>
        <v>4</v>
      </c>
    </row>
    <row r="490" spans="1:11" x14ac:dyDescent="0.55000000000000004">
      <c r="A490">
        <v>436</v>
      </c>
      <c r="B490">
        <f>climate_scores!H437*weights!$C$13</f>
        <v>5.1822828333597554E-2</v>
      </c>
      <c r="D490">
        <f>bird_scores!D437*weights!$C$14</f>
        <v>6.3525472525593304E-2</v>
      </c>
      <c r="F490">
        <f>size_scores!C437*weights!$C$15</f>
        <v>1.9596861E-2</v>
      </c>
      <c r="H490">
        <f>estuary_data!Z437*weights!$C$16</f>
        <v>3.6932341240520299E-2</v>
      </c>
      <c r="J490">
        <f>SUM(B490:H490)</f>
        <v>0.17187750309971117</v>
      </c>
      <c r="K490" t="str">
        <f>IF(J490&gt;$N$2/5*4, "1", IF(J490&gt;$N$2/5*3, "2", IF(J490&gt;$N$2/5*2, "3", IF(J490&gt;$N$2/5, "4", "5"))))</f>
        <v>4</v>
      </c>
    </row>
    <row r="491" spans="1:11" x14ac:dyDescent="0.55000000000000004">
      <c r="A491">
        <v>437</v>
      </c>
      <c r="B491">
        <f>climate_scores!H438*weights!$C$13</f>
        <v>5.6225952746547576E-2</v>
      </c>
      <c r="D491">
        <f>bird_scores!D438*weights!$C$14</f>
        <v>6.2442293920605137E-2</v>
      </c>
      <c r="F491">
        <f>size_scores!C438*weights!$C$15</f>
        <v>0.17637174899999999</v>
      </c>
      <c r="H491">
        <f>estuary_data!Z438*weights!$C$16</f>
        <v>4.6165426550650356E-3</v>
      </c>
      <c r="J491">
        <f>SUM(B491:H491)</f>
        <v>0.29965653832221778</v>
      </c>
      <c r="K491" t="str">
        <f>IF(J491&gt;$N$2/5*4, "1", IF(J491&gt;$N$2/5*3, "2", IF(J491&gt;$N$2/5*2, "3", IF(J491&gt;$N$2/5, "4", "5"))))</f>
        <v>4</v>
      </c>
    </row>
    <row r="492" spans="1:11" x14ac:dyDescent="0.55000000000000004">
      <c r="A492">
        <v>438</v>
      </c>
      <c r="B492">
        <f>climate_scores!H439*weights!$C$13</f>
        <v>5.1847561832423873E-2</v>
      </c>
      <c r="D492">
        <f>bird_scores!D439*weights!$C$14</f>
        <v>6.2578278316011801E-2</v>
      </c>
      <c r="F492">
        <f>size_scores!C439*weights!$C$15</f>
        <v>9.7984304999999994E-2</v>
      </c>
      <c r="H492">
        <f>estuary_data!Z439*weights!$C$16</f>
        <v>2.7915264217836348E-2</v>
      </c>
      <c r="J492">
        <f>SUM(B492:H492)</f>
        <v>0.24032540936627203</v>
      </c>
      <c r="K492" t="str">
        <f>IF(J492&gt;$N$2/5*4, "1", IF(J492&gt;$N$2/5*3, "2", IF(J492&gt;$N$2/5*2, "3", IF(J492&gt;$N$2/5, "4", "5"))))</f>
        <v>4</v>
      </c>
    </row>
    <row r="493" spans="1:11" x14ac:dyDescent="0.55000000000000004">
      <c r="A493">
        <v>439</v>
      </c>
      <c r="B493">
        <f>climate_scores!H440*weights!$C$13</f>
        <v>6.2610286951823413E-2</v>
      </c>
      <c r="D493">
        <f>bird_scores!D440*weights!$C$14</f>
        <v>6.8989276719165951E-2</v>
      </c>
      <c r="F493">
        <f>size_scores!C440*weights!$C$15</f>
        <v>3.9193722E-2</v>
      </c>
      <c r="H493">
        <f>estuary_data!Z440*weights!$C$16</f>
        <v>3.4457660476243226E-2</v>
      </c>
      <c r="J493">
        <f>SUM(B493:H493)</f>
        <v>0.20525094614723255</v>
      </c>
      <c r="K493" t="str">
        <f>IF(J493&gt;$N$2/5*4, "1", IF(J493&gt;$N$2/5*3, "2", IF(J493&gt;$N$2/5*2, "3", IF(J493&gt;$N$2/5, "4", "5"))))</f>
        <v>4</v>
      </c>
    </row>
    <row r="494" spans="1:11" x14ac:dyDescent="0.55000000000000004">
      <c r="A494">
        <v>440</v>
      </c>
      <c r="B494">
        <f>climate_scores!H441*weights!$C$13</f>
        <v>4.7556253294537235E-2</v>
      </c>
      <c r="D494">
        <f>bird_scores!D441*weights!$C$14</f>
        <v>5.6115034706156003E-2</v>
      </c>
      <c r="F494">
        <f>size_scores!C441*weights!$C$15</f>
        <v>0.11758116599999999</v>
      </c>
      <c r="H494">
        <f>estuary_data!Z441*weights!$C$16</f>
        <v>2.2420287796055278E-2</v>
      </c>
      <c r="J494">
        <f>SUM(B494:H494)</f>
        <v>0.2436727417967485</v>
      </c>
      <c r="K494" t="str">
        <f>IF(J494&gt;$N$2/5*4, "1", IF(J494&gt;$N$2/5*3, "2", IF(J494&gt;$N$2/5*2, "3", IF(J494&gt;$N$2/5, "4", "5"))))</f>
        <v>4</v>
      </c>
    </row>
    <row r="495" spans="1:11" x14ac:dyDescent="0.55000000000000004">
      <c r="A495">
        <v>442</v>
      </c>
      <c r="B495">
        <f>climate_scores!H443*weights!$C$13</f>
        <v>6.065968013911803E-2</v>
      </c>
      <c r="D495">
        <f>bird_scores!D443*weights!$C$14</f>
        <v>5.9108624446412232E-2</v>
      </c>
      <c r="F495">
        <f>size_scores!C443*weights!$C$15</f>
        <v>0.156774888</v>
      </c>
      <c r="H495">
        <f>estuary_data!Z443*weights!$C$16</f>
        <v>0</v>
      </c>
      <c r="J495">
        <f>SUM(B495:H495)</f>
        <v>0.27654319258553028</v>
      </c>
      <c r="K495" t="str">
        <f>IF(J495&gt;$N$2/5*4, "1", IF(J495&gt;$N$2/5*3, "2", IF(J495&gt;$N$2/5*2, "3", IF(J495&gt;$N$2/5, "4", "5"))))</f>
        <v>4</v>
      </c>
    </row>
    <row r="496" spans="1:11" x14ac:dyDescent="0.55000000000000004">
      <c r="A496">
        <v>443</v>
      </c>
      <c r="B496">
        <f>climate_scores!H444*weights!$C$13</f>
        <v>6.1813200122335731E-2</v>
      </c>
      <c r="D496">
        <f>bird_scores!D444*weights!$C$14</f>
        <v>5.6677513843244182E-2</v>
      </c>
      <c r="F496">
        <f>size_scores!C444*weights!$C$15</f>
        <v>0.11758116599999999</v>
      </c>
      <c r="H496">
        <f>estuary_data!Z444*weights!$C$16</f>
        <v>1.5171339248824087E-2</v>
      </c>
      <c r="J496">
        <f>SUM(B496:H496)</f>
        <v>0.25124321921440401</v>
      </c>
      <c r="K496" t="str">
        <f>IF(J496&gt;$N$2/5*4, "1", IF(J496&gt;$N$2/5*3, "2", IF(J496&gt;$N$2/5*2, "3", IF(J496&gt;$N$2/5, "4", "5"))))</f>
        <v>4</v>
      </c>
    </row>
    <row r="497" spans="1:11" x14ac:dyDescent="0.55000000000000004">
      <c r="A497">
        <v>444</v>
      </c>
      <c r="B497">
        <f>climate_scores!H445*weights!$C$13</f>
        <v>5.8364612012398905E-2</v>
      </c>
      <c r="D497">
        <f>bird_scores!D445*weights!$C$14</f>
        <v>6.4144444239664908E-2</v>
      </c>
      <c r="F497">
        <f>size_scores!C445*weights!$C$15</f>
        <v>9.7984304999999994E-2</v>
      </c>
      <c r="H497">
        <f>estuary_data!Z445*weights!$C$16</f>
        <v>2.4861337277382642E-2</v>
      </c>
      <c r="J497">
        <f>SUM(B497:H497)</f>
        <v>0.24535469852944647</v>
      </c>
      <c r="K497" t="str">
        <f>IF(J497&gt;$N$2/5*4, "1", IF(J497&gt;$N$2/5*3, "2", IF(J497&gt;$N$2/5*2, "3", IF(J497&gt;$N$2/5, "4", "5"))))</f>
        <v>4</v>
      </c>
    </row>
    <row r="498" spans="1:11" x14ac:dyDescent="0.55000000000000004">
      <c r="A498">
        <v>445</v>
      </c>
      <c r="B498">
        <f>climate_scores!H446*weights!$C$13</f>
        <v>4.7648061733666376E-2</v>
      </c>
      <c r="D498">
        <f>bird_scores!D446*weights!$C$14</f>
        <v>6.3524068932975616E-2</v>
      </c>
      <c r="F498">
        <f>size_scores!C446*weights!$C$15</f>
        <v>9.7984304999999994E-2</v>
      </c>
      <c r="H498">
        <f>estuary_data!Z446*weights!$C$16</f>
        <v>2.1104194994583002E-2</v>
      </c>
      <c r="J498">
        <f>SUM(B498:H498)</f>
        <v>0.23026063066122499</v>
      </c>
      <c r="K498" t="str">
        <f>IF(J498&gt;$N$2/5*4, "1", IF(J498&gt;$N$2/5*3, "2", IF(J498&gt;$N$2/5*2, "3", IF(J498&gt;$N$2/5, "4", "5"))))</f>
        <v>4</v>
      </c>
    </row>
    <row r="499" spans="1:11" x14ac:dyDescent="0.55000000000000004">
      <c r="A499">
        <v>1004</v>
      </c>
      <c r="B499">
        <f>climate_scores!H451*weights!$C$13</f>
        <v>5.2909116912565224E-2</v>
      </c>
      <c r="D499">
        <f>bird_scores!D451*weights!$C$14</f>
        <v>5.5655874916580236E-2</v>
      </c>
      <c r="F499">
        <f>size_scores!C451*weights!$C$15</f>
        <v>3.9193722E-2</v>
      </c>
      <c r="H499">
        <f>estuary_data!Z451*weights!$C$16</f>
        <v>1.2288681906315166E-3</v>
      </c>
      <c r="J499">
        <f>SUM(B499:H499)</f>
        <v>0.14898758201977697</v>
      </c>
      <c r="K499" t="str">
        <f>IF(J499&gt;$N$2/5*4, "1", IF(J499&gt;$N$2/5*3, "2", IF(J499&gt;$N$2/5*2, "3", IF(J499&gt;$N$2/5, "4", "5"))))</f>
        <v>5</v>
      </c>
    </row>
    <row r="500" spans="1:11" x14ac:dyDescent="0.55000000000000004">
      <c r="A500">
        <v>1005</v>
      </c>
      <c r="B500">
        <f>climate_scores!H452*weights!$C$13</f>
        <v>5.1038000650756095E-2</v>
      </c>
      <c r="D500">
        <f>bird_scores!D452*weights!$C$14</f>
        <v>6.2573558972829166E-2</v>
      </c>
      <c r="F500">
        <f>size_scores!C452*weights!$C$15</f>
        <v>0.13717802699999998</v>
      </c>
      <c r="H500">
        <f>estuary_data!Z452*weights!$C$16</f>
        <v>1.2288681906315166E-3</v>
      </c>
      <c r="J500">
        <f>SUM(B500:H500)</f>
        <v>0.25201845481421675</v>
      </c>
      <c r="K500" t="str">
        <f>IF(J500&gt;$N$2/5*4, "1", IF(J500&gt;$N$2/5*3, "2", IF(J500&gt;$N$2/5*2, "3", IF(J500&gt;$N$2/5, "4", "5"))))</f>
        <v>4</v>
      </c>
    </row>
    <row r="501" spans="1:11" x14ac:dyDescent="0.55000000000000004">
      <c r="A501">
        <v>1008</v>
      </c>
      <c r="B501">
        <f>climate_scores!H455*weights!$C$13</f>
        <v>6.6905540354958701E-2</v>
      </c>
      <c r="D501">
        <f>bird_scores!D455*weights!$C$14</f>
        <v>7.1011692709340032E-2</v>
      </c>
      <c r="F501">
        <f>size_scores!C455*weights!$C$15</f>
        <v>3.9193722E-2</v>
      </c>
      <c r="H501">
        <f>estuary_data!Z455*weights!$C$16</f>
        <v>4.7150832911669438E-2</v>
      </c>
      <c r="J501">
        <f>SUM(B501:H501)</f>
        <v>0.22426178797596819</v>
      </c>
      <c r="K501" t="str">
        <f>IF(J501&gt;$N$2/5*4, "1", IF(J501&gt;$N$2/5*3, "2", IF(J501&gt;$N$2/5*2, "3", IF(J501&gt;$N$2/5, "4", "5"))))</f>
        <v>4</v>
      </c>
    </row>
    <row r="502" spans="1:11" x14ac:dyDescent="0.55000000000000004">
      <c r="A502">
        <v>1011</v>
      </c>
      <c r="B502">
        <f>climate_scores!H458*weights!$C$13</f>
        <v>7.5807850323500292E-2</v>
      </c>
      <c r="D502">
        <f>bird_scores!D458*weights!$C$14</f>
        <v>6.5923925168684658E-2</v>
      </c>
      <c r="F502">
        <f>size_scores!C458*weights!$C$15</f>
        <v>9.7984304999999994E-2</v>
      </c>
      <c r="H502">
        <f>estuary_data!Z458*weights!$C$16</f>
        <v>3.3441950287883472E-2</v>
      </c>
      <c r="J502">
        <f>SUM(B502:H502)</f>
        <v>0.27315803078006845</v>
      </c>
      <c r="K502" t="str">
        <f>IF(J502&gt;$N$2/5*4, "1", IF(J502&gt;$N$2/5*3, "2", IF(J502&gt;$N$2/5*2, "3", IF(J502&gt;$N$2/5, "4", "5"))))</f>
        <v>4</v>
      </c>
    </row>
    <row r="503" spans="1:11" x14ac:dyDescent="0.55000000000000004">
      <c r="A503">
        <v>1012</v>
      </c>
      <c r="B503">
        <f>climate_scores!H459*weights!$C$13</f>
        <v>8.4248179708873688E-2</v>
      </c>
      <c r="D503">
        <f>bird_scores!D459*weights!$C$14</f>
        <v>9.8417928806808622E-2</v>
      </c>
      <c r="F503">
        <f>size_scores!C459*weights!$C$15</f>
        <v>5.8790582999999993E-2</v>
      </c>
      <c r="H503">
        <f>estuary_data!Z459*weights!$C$16</f>
        <v>3.1935904027805613E-2</v>
      </c>
      <c r="J503">
        <f>SUM(B503:H503)</f>
        <v>0.27339259554348794</v>
      </c>
      <c r="K503" t="str">
        <f>IF(J503&gt;$N$2/5*4, "1", IF(J503&gt;$N$2/5*3, "2", IF(J503&gt;$N$2/5*2, "3", IF(J503&gt;$N$2/5, "4", "5"))))</f>
        <v>4</v>
      </c>
    </row>
    <row r="504" spans="1:11" x14ac:dyDescent="0.55000000000000004">
      <c r="A504">
        <v>1020</v>
      </c>
      <c r="B504">
        <f>climate_scores!H467*weights!$C$13</f>
        <v>9.3178749631989716E-2</v>
      </c>
      <c r="D504">
        <f>bird_scores!D467*weights!$C$14</f>
        <v>6.2559802801319342E-2</v>
      </c>
      <c r="F504">
        <f>size_scores!C467*weights!$C$15</f>
        <v>3.9193722E-2</v>
      </c>
      <c r="H504">
        <f>estuary_data!Z467*weights!$C$16</f>
        <v>1.2288681906315166E-3</v>
      </c>
      <c r="J504">
        <f>SUM(B504:H504)</f>
        <v>0.19616114262394058</v>
      </c>
      <c r="K504" t="str">
        <f>IF(J504&gt;$N$2/5*4, "1", IF(J504&gt;$N$2/5*3, "2", IF(J504&gt;$N$2/5*2, "3", IF(J504&gt;$N$2/5, "4", "5"))))</f>
        <v>4</v>
      </c>
    </row>
    <row r="505" spans="1:11" x14ac:dyDescent="0.55000000000000004">
      <c r="A505">
        <v>1021</v>
      </c>
      <c r="B505">
        <f>climate_scores!H468*weights!$C$13</f>
        <v>9.3841911718451021E-2</v>
      </c>
      <c r="D505">
        <f>bird_scores!D468*weights!$C$14</f>
        <v>6.3503793890469423E-2</v>
      </c>
      <c r="F505">
        <f>size_scores!C468*weights!$C$15</f>
        <v>9.7984304999999994E-2</v>
      </c>
      <c r="H505">
        <f>estuary_data!Z468*weights!$C$16</f>
        <v>1.2288681906315166E-3</v>
      </c>
      <c r="J505">
        <f>SUM(B505:H505)</f>
        <v>0.25655887879955197</v>
      </c>
      <c r="K505" t="str">
        <f>IF(J505&gt;$N$2/5*4, "1", IF(J505&gt;$N$2/5*3, "2", IF(J505&gt;$N$2/5*2, "3", IF(J505&gt;$N$2/5, "4", "5"))))</f>
        <v>4</v>
      </c>
    </row>
    <row r="506" spans="1:11" x14ac:dyDescent="0.55000000000000004">
      <c r="A506">
        <v>1023</v>
      </c>
      <c r="B506">
        <f>climate_scores!H470*weights!$C$13</f>
        <v>7.3864967860477221E-2</v>
      </c>
      <c r="D506">
        <f>bird_scores!D470*weights!$C$14</f>
        <v>6.3015608800063502E-2</v>
      </c>
      <c r="F506">
        <f>size_scores!C470*weights!$C$15</f>
        <v>0.11758116599999999</v>
      </c>
      <c r="H506">
        <f>estuary_data!Z470*weights!$C$16</f>
        <v>1.2288681906315166E-3</v>
      </c>
      <c r="J506">
        <f>SUM(B506:H506)</f>
        <v>0.25569061085117217</v>
      </c>
      <c r="K506" t="str">
        <f>IF(J506&gt;$N$2/5*4, "1", IF(J506&gt;$N$2/5*3, "2", IF(J506&gt;$N$2/5*2, "3", IF(J506&gt;$N$2/5, "4", "5"))))</f>
        <v>4</v>
      </c>
    </row>
    <row r="507" spans="1:11" x14ac:dyDescent="0.55000000000000004">
      <c r="A507">
        <v>1029</v>
      </c>
      <c r="B507">
        <f>climate_scores!H476*weights!$C$13</f>
        <v>8.5320992599831322E-2</v>
      </c>
      <c r="D507">
        <f>bird_scores!D476*weights!$C$14</f>
        <v>7.2220231494291923E-2</v>
      </c>
      <c r="F507">
        <f>size_scores!C476*weights!$C$15</f>
        <v>5.8790582999999993E-2</v>
      </c>
      <c r="H507">
        <f>estuary_data!Z476*weights!$C$16</f>
        <v>2.0578589163223688E-3</v>
      </c>
      <c r="J507">
        <f>SUM(B507:H507)</f>
        <v>0.21838966601044563</v>
      </c>
      <c r="K507" t="str">
        <f>IF(J507&gt;$N$2/5*4, "1", IF(J507&gt;$N$2/5*3, "2", IF(J507&gt;$N$2/5*2, "3", IF(J507&gt;$N$2/5, "4", "5"))))</f>
        <v>4</v>
      </c>
    </row>
    <row r="508" spans="1:11" x14ac:dyDescent="0.55000000000000004">
      <c r="A508">
        <v>1030</v>
      </c>
      <c r="B508">
        <f>climate_scores!H477*weights!$C$13</f>
        <v>7.6654766049051901E-2</v>
      </c>
      <c r="D508">
        <f>bird_scores!D477*weights!$C$14</f>
        <v>7.6410787531139321E-2</v>
      </c>
      <c r="F508">
        <f>size_scores!C477*weights!$C$15</f>
        <v>3.9193722E-2</v>
      </c>
      <c r="H508">
        <f>estuary_data!Z477*weights!$C$16</f>
        <v>2.0578589163223688E-3</v>
      </c>
      <c r="J508">
        <f>SUM(B508:H508)</f>
        <v>0.19431713449651361</v>
      </c>
      <c r="K508" t="str">
        <f>IF(J508&gt;$N$2/5*4, "1", IF(J508&gt;$N$2/5*3, "2", IF(J508&gt;$N$2/5*2, "3", IF(J508&gt;$N$2/5, "4", "5"))))</f>
        <v>4</v>
      </c>
    </row>
    <row r="509" spans="1:11" x14ac:dyDescent="0.55000000000000004">
      <c r="A509">
        <v>1031</v>
      </c>
      <c r="B509">
        <f>climate_scores!H478*weights!$C$13</f>
        <v>6.7594872742741924E-2</v>
      </c>
      <c r="D509">
        <f>bird_scores!D478*weights!$C$14</f>
        <v>6.701381798396884E-2</v>
      </c>
      <c r="F509">
        <f>size_scores!C478*weights!$C$15</f>
        <v>9.7984304999999994E-2</v>
      </c>
      <c r="H509">
        <f>estuary_data!Z478*weights!$C$16</f>
        <v>1.0289294581611844E-3</v>
      </c>
      <c r="J509">
        <f>SUM(B509:H509)</f>
        <v>0.23362192518487196</v>
      </c>
      <c r="K509" t="str">
        <f>IF(J509&gt;$N$2/5*4, "1", IF(J509&gt;$N$2/5*3, "2", IF(J509&gt;$N$2/5*2, "3", IF(J509&gt;$N$2/5, "4", "5"))))</f>
        <v>4</v>
      </c>
    </row>
    <row r="510" spans="1:11" x14ac:dyDescent="0.55000000000000004">
      <c r="A510">
        <v>1032</v>
      </c>
      <c r="B510">
        <f>climate_scores!H479*weights!$C$13</f>
        <v>7.3642066862179723E-2</v>
      </c>
      <c r="D510">
        <f>bird_scores!D479*weights!$C$14</f>
        <v>6.7614090329486329E-2</v>
      </c>
      <c r="F510">
        <f>size_scores!C479*weights!$C$15</f>
        <v>3.9193722E-2</v>
      </c>
      <c r="H510">
        <f>estuary_data!Z479*weights!$C$16</f>
        <v>2.0578589163223688E-3</v>
      </c>
      <c r="J510">
        <f>SUM(B510:H510)</f>
        <v>0.18250773810798843</v>
      </c>
      <c r="K510" t="str">
        <f>IF(J510&gt;$N$2/5*4, "1", IF(J510&gt;$N$2/5*3, "2", IF(J510&gt;$N$2/5*2, "3", IF(J510&gt;$N$2/5, "4", "5"))))</f>
        <v>4</v>
      </c>
    </row>
    <row r="511" spans="1:11" x14ac:dyDescent="0.55000000000000004">
      <c r="A511">
        <v>1033</v>
      </c>
      <c r="B511">
        <f>climate_scores!H480*weights!$C$13</f>
        <v>7.611921461772847E-2</v>
      </c>
      <c r="D511">
        <f>bird_scores!D480*weights!$C$14</f>
        <v>6.2474073947532502E-2</v>
      </c>
      <c r="F511">
        <f>size_scores!C480*weights!$C$15</f>
        <v>7.8387444000000001E-2</v>
      </c>
      <c r="H511">
        <f>estuary_data!Z480*weights!$C$16</f>
        <v>2.0578589163223688E-3</v>
      </c>
      <c r="J511">
        <f>SUM(B511:H511)</f>
        <v>0.21903859148158336</v>
      </c>
      <c r="K511" t="str">
        <f>IF(J511&gt;$N$2/5*4, "1", IF(J511&gt;$N$2/5*3, "2", IF(J511&gt;$N$2/5*2, "3", IF(J511&gt;$N$2/5, "4", "5"))))</f>
        <v>4</v>
      </c>
    </row>
    <row r="512" spans="1:11" x14ac:dyDescent="0.55000000000000004">
      <c r="A512">
        <v>1037</v>
      </c>
      <c r="B512">
        <f>climate_scores!H484*weights!$C$13</f>
        <v>8.1192386942686073E-2</v>
      </c>
      <c r="D512">
        <f>bird_scores!D484*weights!$C$14</f>
        <v>8.1288496701356891E-2</v>
      </c>
      <c r="F512">
        <f>size_scores!C484*weights!$C$15</f>
        <v>5.8790582999999993E-2</v>
      </c>
      <c r="H512">
        <f>estuary_data!Z484*weights!$C$16</f>
        <v>2.0578589163223688E-3</v>
      </c>
      <c r="J512">
        <f>SUM(B512:H512)</f>
        <v>0.22332932556036533</v>
      </c>
      <c r="K512" t="str">
        <f>IF(J512&gt;$N$2/5*4, "1", IF(J512&gt;$N$2/5*3, "2", IF(J512&gt;$N$2/5*2, "3", IF(J512&gt;$N$2/5, "4", "5"))))</f>
        <v>4</v>
      </c>
    </row>
    <row r="513" spans="1:11" x14ac:dyDescent="0.55000000000000004">
      <c r="A513">
        <v>1038</v>
      </c>
      <c r="B513">
        <f>climate_scores!H485*weights!$C$13</f>
        <v>6.9480637280683558E-2</v>
      </c>
      <c r="D513">
        <f>bird_scores!D485*weights!$C$14</f>
        <v>7.4342401009321796E-2</v>
      </c>
      <c r="F513">
        <f>size_scores!C485*weights!$C$15</f>
        <v>5.8790582999999993E-2</v>
      </c>
      <c r="H513">
        <f>estuary_data!Z485*weights!$C$16</f>
        <v>2.0578589163223688E-3</v>
      </c>
      <c r="J513">
        <f>SUM(B513:H513)</f>
        <v>0.20467148020632775</v>
      </c>
      <c r="K513" t="str">
        <f>IF(J513&gt;$N$2/5*4, "1", IF(J513&gt;$N$2/5*3, "2", IF(J513&gt;$N$2/5*2, "3", IF(J513&gt;$N$2/5, "4", "5"))))</f>
        <v>4</v>
      </c>
    </row>
    <row r="514" spans="1:11" x14ac:dyDescent="0.55000000000000004">
      <c r="A514">
        <v>1039</v>
      </c>
      <c r="B514">
        <f>climate_scores!H486*weights!$C$13</f>
        <v>6.8442719382047504E-2</v>
      </c>
      <c r="D514">
        <f>bird_scores!D486*weights!$C$14</f>
        <v>6.7888662898909227E-2</v>
      </c>
      <c r="F514">
        <f>size_scores!C486*weights!$C$15</f>
        <v>0.11758116599999999</v>
      </c>
      <c r="H514">
        <f>estuary_data!Z486*weights!$C$16</f>
        <v>2.0578589163223688E-3</v>
      </c>
      <c r="J514">
        <f>SUM(B514:H514)</f>
        <v>0.25597040719727909</v>
      </c>
      <c r="K514" t="str">
        <f>IF(J514&gt;$N$2/5*4, "1", IF(J514&gt;$N$2/5*3, "2", IF(J514&gt;$N$2/5*2, "3", IF(J514&gt;$N$2/5, "4", "5"))))</f>
        <v>4</v>
      </c>
    </row>
    <row r="515" spans="1:11" x14ac:dyDescent="0.55000000000000004">
      <c r="A515">
        <v>1040</v>
      </c>
      <c r="B515">
        <f>climate_scores!H487*weights!$C$13</f>
        <v>6.0834768969810049E-2</v>
      </c>
      <c r="D515">
        <f>bird_scores!D487*weights!$C$14</f>
        <v>6.0958145872923607E-2</v>
      </c>
      <c r="F515">
        <f>size_scores!C487*weights!$C$15</f>
        <v>0.156774888</v>
      </c>
      <c r="H515">
        <f>estuary_data!Z487*weights!$C$16</f>
        <v>2.0578589163223688E-3</v>
      </c>
      <c r="J515">
        <f>SUM(B515:H515)</f>
        <v>0.28062566175905601</v>
      </c>
      <c r="K515" t="str">
        <f>IF(J515&gt;$N$2/5*4, "1", IF(J515&gt;$N$2/5*3, "2", IF(J515&gt;$N$2/5*2, "3", IF(J515&gt;$N$2/5, "4", "5"))))</f>
        <v>4</v>
      </c>
    </row>
    <row r="516" spans="1:11" x14ac:dyDescent="0.55000000000000004">
      <c r="A516">
        <v>1041</v>
      </c>
      <c r="B516">
        <f>climate_scores!H488*weights!$C$13</f>
        <v>6.1212113978497955E-2</v>
      </c>
      <c r="D516">
        <f>bird_scores!D488*weights!$C$14</f>
        <v>6.2906154798832617E-2</v>
      </c>
      <c r="F516">
        <f>size_scores!C488*weights!$C$15</f>
        <v>9.7984304999999994E-2</v>
      </c>
      <c r="H516">
        <f>estuary_data!Z488*weights!$C$16</f>
        <v>2.0578589163223688E-3</v>
      </c>
      <c r="J516">
        <f>SUM(B516:H516)</f>
        <v>0.22416043269365293</v>
      </c>
      <c r="K516" t="str">
        <f>IF(J516&gt;$N$2/5*4, "1", IF(J516&gt;$N$2/5*3, "2", IF(J516&gt;$N$2/5*2, "3", IF(J516&gt;$N$2/5, "4", "5"))))</f>
        <v>4</v>
      </c>
    </row>
    <row r="517" spans="1:11" x14ac:dyDescent="0.55000000000000004">
      <c r="A517">
        <v>1047</v>
      </c>
      <c r="B517">
        <f>climate_scores!H494*weights!$C$13</f>
        <v>6.2749576926886513E-2</v>
      </c>
      <c r="D517">
        <f>bird_scores!D494*weights!$C$14</f>
        <v>6.2319854332778667E-2</v>
      </c>
      <c r="F517">
        <f>size_scores!C494*weights!$C$15</f>
        <v>0.13717802699999998</v>
      </c>
      <c r="H517">
        <f>estuary_data!Z494*weights!$C$16</f>
        <v>1.0289294581611844E-3</v>
      </c>
      <c r="J517">
        <f>SUM(B517:H517)</f>
        <v>0.26327638771782635</v>
      </c>
      <c r="K517" t="str">
        <f>IF(J517&gt;$N$2/5*4, "1", IF(J517&gt;$N$2/5*3, "2", IF(J517&gt;$N$2/5*2, "3", IF(J517&gt;$N$2/5, "4", "5"))))</f>
        <v>4</v>
      </c>
    </row>
    <row r="518" spans="1:11" x14ac:dyDescent="0.55000000000000004">
      <c r="A518">
        <v>1049</v>
      </c>
      <c r="B518">
        <f>climate_scores!H496*weights!$C$13</f>
        <v>5.1817020225313301E-2</v>
      </c>
      <c r="D518">
        <f>bird_scores!D496*weights!$C$14</f>
        <v>6.6602154559866386E-2</v>
      </c>
      <c r="F518">
        <f>size_scores!C496*weights!$C$15</f>
        <v>7.8387444000000001E-2</v>
      </c>
      <c r="H518">
        <f>estuary_data!Z496*weights!$C$16</f>
        <v>2.3428460849566346E-3</v>
      </c>
      <c r="J518">
        <f>SUM(B518:H518)</f>
        <v>0.19914946487013632</v>
      </c>
      <c r="K518" t="str">
        <f>IF(J518&gt;$N$2/5*4, "1", IF(J518&gt;$N$2/5*3, "2", IF(J518&gt;$N$2/5*2, "3", IF(J518&gt;$N$2/5, "4", "5"))))</f>
        <v>4</v>
      </c>
    </row>
    <row r="519" spans="1:11" x14ac:dyDescent="0.55000000000000004">
      <c r="A519">
        <v>1051</v>
      </c>
      <c r="B519">
        <f>climate_scores!H498*weights!$C$13</f>
        <v>4.8427961438580858E-2</v>
      </c>
      <c r="D519">
        <f>bird_scores!D498*weights!$C$14</f>
        <v>6.5974998955251399E-2</v>
      </c>
      <c r="F519">
        <f>size_scores!C498*weights!$C$15</f>
        <v>9.7984304999999994E-2</v>
      </c>
      <c r="H519">
        <f>estuary_data!Z498*weights!$C$16</f>
        <v>2.3428460849566346E-3</v>
      </c>
      <c r="J519">
        <f>SUM(B519:H519)</f>
        <v>0.21473011147878887</v>
      </c>
      <c r="K519" t="str">
        <f>IF(J519&gt;$N$2/5*4, "1", IF(J519&gt;$N$2/5*3, "2", IF(J519&gt;$N$2/5*2, "3", IF(J519&gt;$N$2/5, "4", "5"))))</f>
        <v>4</v>
      </c>
    </row>
    <row r="520" spans="1:11" x14ac:dyDescent="0.55000000000000004">
      <c r="A520">
        <v>1052</v>
      </c>
      <c r="B520">
        <f>climate_scores!H499*weights!$C$13</f>
        <v>4.6820947753995187E-2</v>
      </c>
      <c r="D520">
        <f>bird_scores!D499*weights!$C$14</f>
        <v>6.2933760084036408E-2</v>
      </c>
      <c r="F520">
        <f>size_scores!C499*weights!$C$15</f>
        <v>0.11758116599999999</v>
      </c>
      <c r="H520">
        <f>estuary_data!Z499*weights!$C$16</f>
        <v>2.3428460849566346E-3</v>
      </c>
      <c r="J520">
        <f>SUM(B520:H520)</f>
        <v>0.22967871992298822</v>
      </c>
      <c r="K520" t="str">
        <f>IF(J520&gt;$N$2/5*4, "1", IF(J520&gt;$N$2/5*3, "2", IF(J520&gt;$N$2/5*2, "3", IF(J520&gt;$N$2/5, "4", "5"))))</f>
        <v>4</v>
      </c>
    </row>
    <row r="521" spans="1:11" x14ac:dyDescent="0.55000000000000004">
      <c r="A521">
        <v>1053</v>
      </c>
      <c r="B521">
        <f>climate_scores!H500*weights!$C$13</f>
        <v>4.1201295417783348E-2</v>
      </c>
      <c r="D521">
        <f>bird_scores!D500*weights!$C$14</f>
        <v>6.5195599842594071E-2</v>
      </c>
      <c r="F521">
        <f>size_scores!C500*weights!$C$15</f>
        <v>0.156774888</v>
      </c>
      <c r="H521">
        <f>estuary_data!Z500*weights!$C$16</f>
        <v>1.1714230424783173E-3</v>
      </c>
      <c r="J521">
        <f>SUM(B521:H521)</f>
        <v>0.26434320630285574</v>
      </c>
      <c r="K521" t="str">
        <f>IF(J521&gt;$N$2/5*4, "1", IF(J521&gt;$N$2/5*3, "2", IF(J521&gt;$N$2/5*2, "3", IF(J521&gt;$N$2/5, "4", "5"))))</f>
        <v>4</v>
      </c>
    </row>
    <row r="522" spans="1:11" x14ac:dyDescent="0.55000000000000004">
      <c r="A522">
        <v>1054</v>
      </c>
      <c r="B522">
        <f>climate_scores!H501*weights!$C$13</f>
        <v>4.1333510898274348E-2</v>
      </c>
      <c r="D522">
        <f>bird_scores!D501*weights!$C$14</f>
        <v>6.2474945476623377E-2</v>
      </c>
      <c r="F522">
        <f>size_scores!C501*weights!$C$15</f>
        <v>9.7984304999999994E-2</v>
      </c>
      <c r="H522">
        <f>estuary_data!Z501*weights!$C$16</f>
        <v>2.3428460849566346E-3</v>
      </c>
      <c r="J522">
        <f>SUM(B522:H522)</f>
        <v>0.20413560745985435</v>
      </c>
      <c r="K522" t="str">
        <f>IF(J522&gt;$N$2/5*4, "1", IF(J522&gt;$N$2/5*3, "2", IF(J522&gt;$N$2/5*2, "3", IF(J522&gt;$N$2/5, "4", "5"))))</f>
        <v>4</v>
      </c>
    </row>
    <row r="523" spans="1:11" x14ac:dyDescent="0.55000000000000004">
      <c r="A523">
        <v>1055</v>
      </c>
      <c r="B523">
        <f>climate_scores!H502*weights!$C$13</f>
        <v>3.9288117198427307E-2</v>
      </c>
      <c r="D523">
        <f>bird_scores!D502*weights!$C$14</f>
        <v>6.5807583532159097E-2</v>
      </c>
      <c r="F523">
        <f>size_scores!C502*weights!$C$15</f>
        <v>9.7984304999999994E-2</v>
      </c>
      <c r="H523">
        <f>estuary_data!Z502*weights!$C$16</f>
        <v>1.1714230424783173E-3</v>
      </c>
      <c r="J523">
        <f>SUM(B523:H523)</f>
        <v>0.20425142877306474</v>
      </c>
      <c r="K523" t="str">
        <f>IF(J523&gt;$N$2/5*4, "1", IF(J523&gt;$N$2/5*3, "2", IF(J523&gt;$N$2/5*2, "3", IF(J523&gt;$N$2/5, "4", "5"))))</f>
        <v>4</v>
      </c>
    </row>
    <row r="524" spans="1:11" x14ac:dyDescent="0.55000000000000004">
      <c r="A524">
        <v>1056</v>
      </c>
      <c r="B524">
        <f>climate_scores!H503*weights!$C$13</f>
        <v>4.2378932515133312E-2</v>
      </c>
      <c r="D524">
        <f>bird_scores!D503*weights!$C$14</f>
        <v>6.1348175608325652E-2</v>
      </c>
      <c r="F524">
        <f>size_scores!C503*weights!$C$15</f>
        <v>9.7984304999999994E-2</v>
      </c>
      <c r="H524">
        <f>estuary_data!Z503*weights!$C$16</f>
        <v>1.1714230424783173E-3</v>
      </c>
      <c r="J524">
        <f>SUM(B524:H524)</f>
        <v>0.20288283616593727</v>
      </c>
      <c r="K524" t="str">
        <f>IF(J524&gt;$N$2/5*4, "1", IF(J524&gt;$N$2/5*3, "2", IF(J524&gt;$N$2/5*2, "3", IF(J524&gt;$N$2/5, "4", "5"))))</f>
        <v>4</v>
      </c>
    </row>
    <row r="525" spans="1:11" x14ac:dyDescent="0.55000000000000004">
      <c r="A525">
        <v>1057</v>
      </c>
      <c r="B525">
        <f>climate_scores!H504*weights!$C$13</f>
        <v>3.9348188234801261E-2</v>
      </c>
      <c r="D525">
        <f>bird_scores!D504*weights!$C$14</f>
        <v>7.1592572477520253E-2</v>
      </c>
      <c r="F525">
        <f>size_scores!C504*weights!$C$15</f>
        <v>0.156774888</v>
      </c>
      <c r="H525">
        <f>estuary_data!Z504*weights!$C$16</f>
        <v>1.1714230424783173E-3</v>
      </c>
      <c r="J525">
        <f>SUM(B525:H525)</f>
        <v>0.26888707175479981</v>
      </c>
      <c r="K525" t="str">
        <f>IF(J525&gt;$N$2/5*4, "1", IF(J525&gt;$N$2/5*3, "2", IF(J525&gt;$N$2/5*2, "3", IF(J525&gt;$N$2/5, "4", "5"))))</f>
        <v>4</v>
      </c>
    </row>
    <row r="526" spans="1:11" x14ac:dyDescent="0.55000000000000004">
      <c r="A526">
        <v>1058</v>
      </c>
      <c r="B526">
        <f>climate_scores!H505*weights!$C$13</f>
        <v>4.0814434571517871E-2</v>
      </c>
      <c r="D526">
        <f>bird_scores!D505*weights!$C$14</f>
        <v>7.1192846589401226E-2</v>
      </c>
      <c r="F526">
        <f>size_scores!C505*weights!$C$15</f>
        <v>0.11758116599999999</v>
      </c>
      <c r="H526">
        <f>estuary_data!Z505*weights!$C$16</f>
        <v>2.3428460849566346E-3</v>
      </c>
      <c r="J526">
        <f>SUM(B526:H526)</f>
        <v>0.23193129324587572</v>
      </c>
      <c r="K526" t="str">
        <f>IF(J526&gt;$N$2/5*4, "1", IF(J526&gt;$N$2/5*3, "2", IF(J526&gt;$N$2/5*2, "3", IF(J526&gt;$N$2/5, "4", "5"))))</f>
        <v>4</v>
      </c>
    </row>
    <row r="527" spans="1:11" x14ac:dyDescent="0.55000000000000004">
      <c r="A527">
        <v>1060</v>
      </c>
      <c r="B527">
        <f>climate_scores!H507*weights!$C$13</f>
        <v>3.7009699766277729E-2</v>
      </c>
      <c r="D527">
        <f>bird_scores!D507*weights!$C$14</f>
        <v>0.10414824711958356</v>
      </c>
      <c r="F527">
        <f>size_scores!C507*weights!$C$15</f>
        <v>0.13717802699999998</v>
      </c>
      <c r="H527">
        <f>estuary_data!Z507*weights!$C$16</f>
        <v>2.3428460849566346E-3</v>
      </c>
      <c r="J527">
        <f>SUM(B527:H527)</f>
        <v>0.28067881997081789</v>
      </c>
      <c r="K527" t="str">
        <f>IF(J527&gt;$N$2/5*4, "1", IF(J527&gt;$N$2/5*3, "2", IF(J527&gt;$N$2/5*2, "3", IF(J527&gt;$N$2/5, "4", "5"))))</f>
        <v>4</v>
      </c>
    </row>
    <row r="528" spans="1:11" x14ac:dyDescent="0.55000000000000004">
      <c r="A528">
        <v>1061</v>
      </c>
      <c r="B528">
        <f>climate_scores!H508*weights!$C$13</f>
        <v>4.13813452509494E-2</v>
      </c>
      <c r="D528">
        <f>bird_scores!D508*weights!$C$14</f>
        <v>7.170931825997362E-2</v>
      </c>
      <c r="F528">
        <f>size_scores!C508*weights!$C$15</f>
        <v>0.11758116599999999</v>
      </c>
      <c r="H528">
        <f>estuary_data!Z508*weights!$C$16</f>
        <v>1.1714230424783173E-3</v>
      </c>
      <c r="J528">
        <f>SUM(B528:H528)</f>
        <v>0.23184325255340132</v>
      </c>
      <c r="K528" t="str">
        <f>IF(J528&gt;$N$2/5*4, "1", IF(J528&gt;$N$2/5*3, "2", IF(J528&gt;$N$2/5*2, "3", IF(J528&gt;$N$2/5, "4", "5"))))</f>
        <v>4</v>
      </c>
    </row>
    <row r="529" spans="1:11" x14ac:dyDescent="0.55000000000000004">
      <c r="A529">
        <v>1062</v>
      </c>
      <c r="B529">
        <f>climate_scores!H509*weights!$C$13</f>
        <v>3.9792432262328523E-2</v>
      </c>
      <c r="D529">
        <f>bird_scores!D509*weights!$C$14</f>
        <v>5.9910300661397249E-2</v>
      </c>
      <c r="F529">
        <f>size_scores!C509*weights!$C$15</f>
        <v>0.13717802699999998</v>
      </c>
      <c r="H529">
        <f>estuary_data!Z509*weights!$C$16</f>
        <v>2.3428460849566346E-3</v>
      </c>
      <c r="J529">
        <f>SUM(B529:H529)</f>
        <v>0.23922360600868239</v>
      </c>
      <c r="K529" t="str">
        <f>IF(J529&gt;$N$2/5*4, "1", IF(J529&gt;$N$2/5*3, "2", IF(J529&gt;$N$2/5*2, "3", IF(J529&gt;$N$2/5, "4", "5"))))</f>
        <v>4</v>
      </c>
    </row>
    <row r="530" spans="1:11" x14ac:dyDescent="0.55000000000000004">
      <c r="A530">
        <v>1063</v>
      </c>
      <c r="B530">
        <f>climate_scores!H510*weights!$C$13</f>
        <v>4.0930112601135112E-2</v>
      </c>
      <c r="D530">
        <f>bird_scores!D510*weights!$C$14</f>
        <v>7.578523423791883E-2</v>
      </c>
      <c r="F530">
        <f>size_scores!C510*weights!$C$15</f>
        <v>0.156774888</v>
      </c>
      <c r="H530">
        <f>estuary_data!Z510*weights!$C$16</f>
        <v>1.1714230424783173E-3</v>
      </c>
      <c r="J530">
        <f>SUM(B530:H530)</f>
        <v>0.27466165788153224</v>
      </c>
      <c r="K530" t="str">
        <f>IF(J530&gt;$N$2/5*4, "1", IF(J530&gt;$N$2/5*3, "2", IF(J530&gt;$N$2/5*2, "3", IF(J530&gt;$N$2/5, "4", "5"))))</f>
        <v>4</v>
      </c>
    </row>
    <row r="531" spans="1:11" x14ac:dyDescent="0.55000000000000004">
      <c r="A531">
        <v>1064</v>
      </c>
      <c r="B531">
        <f>climate_scores!H511*weights!$C$13</f>
        <v>4.0656955856741749E-2</v>
      </c>
      <c r="D531">
        <f>bird_scores!D511*weights!$C$14</f>
        <v>7.4742183966630682E-2</v>
      </c>
      <c r="F531">
        <f>size_scores!C511*weights!$C$15</f>
        <v>0.13717802699999998</v>
      </c>
      <c r="H531">
        <f>estuary_data!Z511*weights!$C$16</f>
        <v>1.1714230424783173E-3</v>
      </c>
      <c r="J531">
        <f>SUM(B531:H531)</f>
        <v>0.25374858986585069</v>
      </c>
      <c r="K531" t="str">
        <f>IF(J531&gt;$N$2/5*4, "1", IF(J531&gt;$N$2/5*3, "2", IF(J531&gt;$N$2/5*2, "3", IF(J531&gt;$N$2/5, "4", "5"))))</f>
        <v>4</v>
      </c>
    </row>
    <row r="532" spans="1:11" x14ac:dyDescent="0.55000000000000004">
      <c r="A532">
        <v>1066</v>
      </c>
      <c r="B532">
        <f>climate_scores!H513*weights!$C$13</f>
        <v>3.945848172484711E-2</v>
      </c>
      <c r="D532">
        <f>bird_scores!D513*weights!$C$14</f>
        <v>5.7316300148312314E-2</v>
      </c>
      <c r="F532">
        <f>size_scores!C513*weights!$C$15</f>
        <v>0.156774888</v>
      </c>
      <c r="H532">
        <f>estuary_data!Z513*weights!$C$16</f>
        <v>1.1714230424783173E-3</v>
      </c>
      <c r="J532">
        <f>SUM(B532:H532)</f>
        <v>0.25472109291563771</v>
      </c>
      <c r="K532" t="str">
        <f>IF(J532&gt;$N$2/5*4, "1", IF(J532&gt;$N$2/5*3, "2", IF(J532&gt;$N$2/5*2, "3", IF(J532&gt;$N$2/5, "4", "5"))))</f>
        <v>4</v>
      </c>
    </row>
    <row r="533" spans="1:11" x14ac:dyDescent="0.55000000000000004">
      <c r="A533">
        <v>1067</v>
      </c>
      <c r="B533">
        <f>climate_scores!H514*weights!$C$13</f>
        <v>3.8770246575773659E-2</v>
      </c>
      <c r="D533">
        <f>bird_scores!D514*weights!$C$14</f>
        <v>6.9259239830921332E-2</v>
      </c>
      <c r="F533">
        <f>size_scores!C514*weights!$C$15</f>
        <v>0.13717802699999998</v>
      </c>
      <c r="H533">
        <f>estuary_data!Z514*weights!$C$16</f>
        <v>2.3428460849566346E-3</v>
      </c>
      <c r="J533">
        <f>SUM(B533:H533)</f>
        <v>0.24755035949165161</v>
      </c>
      <c r="K533" t="str">
        <f>IF(J533&gt;$N$2/5*4, "1", IF(J533&gt;$N$2/5*3, "2", IF(J533&gt;$N$2/5*2, "3", IF(J533&gt;$N$2/5, "4", "5"))))</f>
        <v>4</v>
      </c>
    </row>
    <row r="534" spans="1:11" x14ac:dyDescent="0.55000000000000004">
      <c r="A534">
        <v>1068</v>
      </c>
      <c r="B534">
        <f>climate_scores!H515*weights!$C$13</f>
        <v>3.9428064620922007E-2</v>
      </c>
      <c r="D534">
        <f>bird_scores!D515*weights!$C$14</f>
        <v>6.4488677712157355E-2</v>
      </c>
      <c r="F534">
        <f>size_scores!C515*weights!$C$15</f>
        <v>9.7984304999999994E-2</v>
      </c>
      <c r="H534">
        <f>estuary_data!Z515*weights!$C$16</f>
        <v>2.3428460849566346E-3</v>
      </c>
      <c r="J534">
        <f>SUM(B534:H534)</f>
        <v>0.20424389341803598</v>
      </c>
      <c r="K534" t="str">
        <f>IF(J534&gt;$N$2/5*4, "1", IF(J534&gt;$N$2/5*3, "2", IF(J534&gt;$N$2/5*2, "3", IF(J534&gt;$N$2/5, "4", "5"))))</f>
        <v>4</v>
      </c>
    </row>
    <row r="535" spans="1:11" x14ac:dyDescent="0.55000000000000004">
      <c r="A535">
        <v>1069</v>
      </c>
      <c r="B535">
        <f>climate_scores!H516*weights!$C$13</f>
        <v>3.8798930137815456E-2</v>
      </c>
      <c r="D535">
        <f>bird_scores!D516*weights!$C$14</f>
        <v>6.6037395997076712E-2</v>
      </c>
      <c r="F535">
        <f>size_scores!C516*weights!$C$15</f>
        <v>0.11758116599999999</v>
      </c>
      <c r="H535">
        <f>estuary_data!Z516*weights!$C$16</f>
        <v>2.3428460849566346E-3</v>
      </c>
      <c r="J535">
        <f>SUM(B535:H535)</f>
        <v>0.22476033821984878</v>
      </c>
      <c r="K535" t="str">
        <f>IF(J535&gt;$N$2/5*4, "1", IF(J535&gt;$N$2/5*3, "2", IF(J535&gt;$N$2/5*2, "3", IF(J535&gt;$N$2/5, "4", "5"))))</f>
        <v>4</v>
      </c>
    </row>
    <row r="536" spans="1:11" x14ac:dyDescent="0.55000000000000004">
      <c r="A536">
        <v>1070</v>
      </c>
      <c r="B536">
        <f>climate_scores!H517*weights!$C$13</f>
        <v>3.8726931537102181E-2</v>
      </c>
      <c r="D536">
        <f>bird_scores!D517*weights!$C$14</f>
        <v>7.3547377624568019E-2</v>
      </c>
      <c r="F536">
        <f>size_scores!C517*weights!$C$15</f>
        <v>0.11758116599999999</v>
      </c>
      <c r="H536">
        <f>estuary_data!Z517*weights!$C$16</f>
        <v>1.1714230424783173E-3</v>
      </c>
      <c r="J536">
        <f>SUM(B536:H536)</f>
        <v>0.23102689820414851</v>
      </c>
      <c r="K536" t="str">
        <f>IF(J536&gt;$N$2/5*4, "1", IF(J536&gt;$N$2/5*3, "2", IF(J536&gt;$N$2/5*2, "3", IF(J536&gt;$N$2/5, "4", "5"))))</f>
        <v>4</v>
      </c>
    </row>
    <row r="537" spans="1:11" x14ac:dyDescent="0.55000000000000004">
      <c r="A537">
        <v>1071</v>
      </c>
      <c r="B537">
        <f>climate_scores!H518*weights!$C$13</f>
        <v>3.6608117981971403E-2</v>
      </c>
      <c r="D537">
        <f>bird_scores!D518*weights!$C$14</f>
        <v>6.512475139599469E-2</v>
      </c>
      <c r="F537">
        <f>size_scores!C518*weights!$C$15</f>
        <v>0.13717802699999998</v>
      </c>
      <c r="H537">
        <f>estuary_data!Z518*weights!$C$16</f>
        <v>5.8571152123915963E-4</v>
      </c>
      <c r="J537">
        <f>SUM(B537:H537)</f>
        <v>0.23949660789920524</v>
      </c>
      <c r="K537" t="str">
        <f>IF(J537&gt;$N$2/5*4, "1", IF(J537&gt;$N$2/5*3, "2", IF(J537&gt;$N$2/5*2, "3", IF(J537&gt;$N$2/5, "4", "5"))))</f>
        <v>4</v>
      </c>
    </row>
    <row r="538" spans="1:11" x14ac:dyDescent="0.55000000000000004">
      <c r="A538">
        <v>1073</v>
      </c>
      <c r="B538">
        <f>climate_scores!H520*weights!$C$13</f>
        <v>3.7905323504204766E-2</v>
      </c>
      <c r="D538">
        <f>bird_scores!D520*weights!$C$14</f>
        <v>5.8228323645162026E-2</v>
      </c>
      <c r="F538">
        <f>size_scores!C520*weights!$C$15</f>
        <v>0.17637174899999999</v>
      </c>
      <c r="H538">
        <f>estuary_data!Z520*weights!$C$16</f>
        <v>3.346922978509481E-4</v>
      </c>
      <c r="J538">
        <f>SUM(B538:H538)</f>
        <v>0.27284008844721769</v>
      </c>
      <c r="K538" t="str">
        <f>IF(J538&gt;$N$2/5*4, "1", IF(J538&gt;$N$2/5*3, "2", IF(J538&gt;$N$2/5*2, "3", IF(J538&gt;$N$2/5, "4", "5"))))</f>
        <v>4</v>
      </c>
    </row>
    <row r="539" spans="1:11" x14ac:dyDescent="0.55000000000000004">
      <c r="A539">
        <v>1074</v>
      </c>
      <c r="B539">
        <f>climate_scores!H521*weights!$C$13</f>
        <v>3.7238979571491145E-2</v>
      </c>
      <c r="D539">
        <f>bird_scores!D521*weights!$C$14</f>
        <v>6.9377230460084344E-2</v>
      </c>
      <c r="F539">
        <f>size_scores!C521*weights!$C$15</f>
        <v>0.156774888</v>
      </c>
      <c r="H539">
        <f>estuary_data!Z521*weights!$C$16</f>
        <v>7.8094869498554682E-4</v>
      </c>
      <c r="J539">
        <f>SUM(B539:H539)</f>
        <v>0.26417204672656103</v>
      </c>
      <c r="K539" t="str">
        <f>IF(J539&gt;$N$2/5*4, "1", IF(J539&gt;$N$2/5*3, "2", IF(J539&gt;$N$2/5*2, "3", IF(J539&gt;$N$2/5, "4", "5"))))</f>
        <v>4</v>
      </c>
    </row>
    <row r="540" spans="1:11" x14ac:dyDescent="0.55000000000000004">
      <c r="A540">
        <v>1075</v>
      </c>
      <c r="B540">
        <f>climate_scores!H522*weights!$C$13</f>
        <v>3.7035446613983281E-2</v>
      </c>
      <c r="D540">
        <f>bird_scores!D522*weights!$C$14</f>
        <v>7.5618673290910099E-2</v>
      </c>
      <c r="F540">
        <f>size_scores!C522*weights!$C$15</f>
        <v>0.11758116599999999</v>
      </c>
      <c r="H540">
        <f>estuary_data!Z522*weights!$C$16</f>
        <v>2.3428460849566346E-3</v>
      </c>
      <c r="J540">
        <f>SUM(B540:H540)</f>
        <v>0.23257813198985</v>
      </c>
      <c r="K540" t="str">
        <f>IF(J540&gt;$N$2/5*4, "1", IF(J540&gt;$N$2/5*3, "2", IF(J540&gt;$N$2/5*2, "3", IF(J540&gt;$N$2/5, "4", "5"))))</f>
        <v>4</v>
      </c>
    </row>
    <row r="541" spans="1:11" x14ac:dyDescent="0.55000000000000004">
      <c r="A541">
        <v>1076</v>
      </c>
      <c r="B541">
        <f>climate_scores!H523*weights!$C$13</f>
        <v>3.8765179026814048E-2</v>
      </c>
      <c r="D541">
        <f>bird_scores!D523*weights!$C$14</f>
        <v>6.6686715843534694E-2</v>
      </c>
      <c r="F541">
        <f>size_scores!C523*weights!$C$15</f>
        <v>0.13717802699999998</v>
      </c>
      <c r="H541">
        <f>estuary_data!Z523*weights!$C$16</f>
        <v>1.1714230424783173E-3</v>
      </c>
      <c r="J541">
        <f>SUM(B541:H541)</f>
        <v>0.24380134491282701</v>
      </c>
      <c r="K541" t="str">
        <f>IF(J541&gt;$N$2/5*4, "1", IF(J541&gt;$N$2/5*3, "2", IF(J541&gt;$N$2/5*2, "3", IF(J541&gt;$N$2/5, "4", "5"))))</f>
        <v>4</v>
      </c>
    </row>
    <row r="542" spans="1:11" x14ac:dyDescent="0.55000000000000004">
      <c r="A542">
        <v>1077</v>
      </c>
      <c r="B542">
        <f>climate_scores!H524*weights!$C$13</f>
        <v>4.0343323936184471E-2</v>
      </c>
      <c r="D542">
        <f>bird_scores!D524*weights!$C$14</f>
        <v>5.6674843079980192E-2</v>
      </c>
      <c r="F542">
        <f>size_scores!C524*weights!$C$15</f>
        <v>7.8387444000000001E-2</v>
      </c>
      <c r="H542">
        <f>estuary_data!Z524*weights!$C$16</f>
        <v>1.898552512263886E-3</v>
      </c>
      <c r="J542">
        <f>SUM(B542:H542)</f>
        <v>0.17730416352842857</v>
      </c>
      <c r="K542" t="str">
        <f>IF(J542&gt;$N$2/5*4, "1", IF(J542&gt;$N$2/5*3, "2", IF(J542&gt;$N$2/5*2, "3", IF(J542&gt;$N$2/5, "4", "5"))))</f>
        <v>4</v>
      </c>
    </row>
    <row r="543" spans="1:11" x14ac:dyDescent="0.55000000000000004">
      <c r="A543">
        <v>1078</v>
      </c>
      <c r="B543">
        <f>climate_scores!H525*weights!$C$13</f>
        <v>3.9564211884556645E-2</v>
      </c>
      <c r="D543">
        <f>bird_scores!D525*weights!$C$14</f>
        <v>5.5795329265013405E-2</v>
      </c>
      <c r="F543">
        <f>size_scores!C525*weights!$C$15</f>
        <v>0.11758116599999999</v>
      </c>
      <c r="H543">
        <f>estuary_data!Z525*weights!$C$16</f>
        <v>9.4927625613194495E-4</v>
      </c>
      <c r="J543">
        <f>SUM(B543:H543)</f>
        <v>0.21388998340570198</v>
      </c>
      <c r="K543" t="str">
        <f>IF(J543&gt;$N$2/5*4, "1", IF(J543&gt;$N$2/5*3, "2", IF(J543&gt;$N$2/5*2, "3", IF(J543&gt;$N$2/5, "4", "5"))))</f>
        <v>4</v>
      </c>
    </row>
    <row r="544" spans="1:11" x14ac:dyDescent="0.55000000000000004">
      <c r="A544">
        <v>1079</v>
      </c>
      <c r="B544">
        <f>climate_scores!H526*weights!$C$13</f>
        <v>3.9089960427521338E-2</v>
      </c>
      <c r="D544">
        <f>bird_scores!D526*weights!$C$14</f>
        <v>6.398299505366456E-2</v>
      </c>
      <c r="F544">
        <f>size_scores!C526*weights!$C$15</f>
        <v>5.8790582999999993E-2</v>
      </c>
      <c r="H544">
        <f>estuary_data!Z526*weights!$C$16</f>
        <v>1.8292622745900247E-3</v>
      </c>
      <c r="J544">
        <f>SUM(B544:H544)</f>
        <v>0.16369280075577591</v>
      </c>
      <c r="K544" t="str">
        <f>IF(J544&gt;$N$2/5*4, "1", IF(J544&gt;$N$2/5*3, "2", IF(J544&gt;$N$2/5*2, "3", IF(J544&gt;$N$2/5, "4", "5"))))</f>
        <v>4</v>
      </c>
    </row>
    <row r="545" spans="1:11" x14ac:dyDescent="0.55000000000000004">
      <c r="A545">
        <v>1080</v>
      </c>
      <c r="B545">
        <f>climate_scores!H527*weights!$C$13</f>
        <v>3.7965844172382343E-2</v>
      </c>
      <c r="D545">
        <f>bird_scores!D527*weights!$C$14</f>
        <v>6.6293403898588774E-2</v>
      </c>
      <c r="F545">
        <f>size_scores!C527*weights!$C$15</f>
        <v>0.13717802699999998</v>
      </c>
      <c r="H545">
        <f>estuary_data!Z527*weights!$C$16</f>
        <v>9.4927625613194495E-4</v>
      </c>
      <c r="J545">
        <f>SUM(B545:H545)</f>
        <v>0.24238655132710304</v>
      </c>
      <c r="K545" t="str">
        <f>IF(J545&gt;$N$2/5*4, "1", IF(J545&gt;$N$2/5*3, "2", IF(J545&gt;$N$2/5*2, "3", IF(J545&gt;$N$2/5, "4", "5"))))</f>
        <v>4</v>
      </c>
    </row>
    <row r="546" spans="1:11" x14ac:dyDescent="0.55000000000000004">
      <c r="A546">
        <v>1081</v>
      </c>
      <c r="B546">
        <f>climate_scores!H528*weights!$C$13</f>
        <v>3.7359529429306142E-2</v>
      </c>
      <c r="D546">
        <f>bird_scores!D528*weights!$C$14</f>
        <v>6.0276400758360056E-2</v>
      </c>
      <c r="F546">
        <f>size_scores!C528*weights!$C$15</f>
        <v>0.13717802699999998</v>
      </c>
      <c r="H546">
        <f>estuary_data!Z528*weights!$C$16</f>
        <v>9.4927625613194495E-4</v>
      </c>
      <c r="J546">
        <f>SUM(B546:H546)</f>
        <v>0.23576323344379813</v>
      </c>
      <c r="K546" t="str">
        <f>IF(J546&gt;$N$2/5*4, "1", IF(J546&gt;$N$2/5*3, "2", IF(J546&gt;$N$2/5*2, "3", IF(J546&gt;$N$2/5, "4", "5"))))</f>
        <v>4</v>
      </c>
    </row>
    <row r="547" spans="1:11" x14ac:dyDescent="0.55000000000000004">
      <c r="A547">
        <v>1083</v>
      </c>
      <c r="B547">
        <f>climate_scores!H530*weights!$C$13</f>
        <v>4.0607816690169656E-2</v>
      </c>
      <c r="D547">
        <f>bird_scores!D530*weights!$C$14</f>
        <v>6.5002255690736643E-2</v>
      </c>
      <c r="F547">
        <f>size_scores!C530*weights!$C$15</f>
        <v>7.8387444000000001E-2</v>
      </c>
      <c r="H547">
        <f>estuary_data!Z530*weights!$C$16</f>
        <v>1.8292622745900247E-3</v>
      </c>
      <c r="J547">
        <f>SUM(B547:H547)</f>
        <v>0.18582677865549632</v>
      </c>
      <c r="K547" t="str">
        <f>IF(J547&gt;$N$2/5*4, "1", IF(J547&gt;$N$2/5*3, "2", IF(J547&gt;$N$2/5*2, "3", IF(J547&gt;$N$2/5, "4", "5"))))</f>
        <v>4</v>
      </c>
    </row>
    <row r="548" spans="1:11" x14ac:dyDescent="0.55000000000000004">
      <c r="A548">
        <v>1084</v>
      </c>
      <c r="B548">
        <f>climate_scores!H531*weights!$C$13</f>
        <v>4.0910807848033338E-2</v>
      </c>
      <c r="D548">
        <f>bird_scores!D531*weights!$C$14</f>
        <v>7.5611571920770865E-2</v>
      </c>
      <c r="F548">
        <f>size_scores!C531*weights!$C$15</f>
        <v>9.7984304999999994E-2</v>
      </c>
      <c r="H548">
        <f>estuary_data!Z531*weights!$C$16</f>
        <v>1.8292622745900247E-3</v>
      </c>
      <c r="J548">
        <f>SUM(B548:H548)</f>
        <v>0.21633594704339421</v>
      </c>
      <c r="K548" t="str">
        <f>IF(J548&gt;$N$2/5*4, "1", IF(J548&gt;$N$2/5*3, "2", IF(J548&gt;$N$2/5*2, "3", IF(J548&gt;$N$2/5, "4", "5"))))</f>
        <v>4</v>
      </c>
    </row>
    <row r="549" spans="1:11" x14ac:dyDescent="0.55000000000000004">
      <c r="A549">
        <v>1086</v>
      </c>
      <c r="B549">
        <f>climate_scores!H533*weights!$C$13</f>
        <v>4.1256796976654055E-2</v>
      </c>
      <c r="D549">
        <f>bird_scores!D533*weights!$C$14</f>
        <v>0.10101727949709723</v>
      </c>
      <c r="F549">
        <f>size_scores!C533*weights!$C$15</f>
        <v>9.7984304999999994E-2</v>
      </c>
      <c r="H549">
        <f>estuary_data!Z533*weights!$C$16</f>
        <v>1.9143442408500236E-3</v>
      </c>
      <c r="J549">
        <f>SUM(B549:H549)</f>
        <v>0.2421727257146013</v>
      </c>
      <c r="K549" t="str">
        <f>IF(J549&gt;$N$2/5*4, "1", IF(J549&gt;$N$2/5*3, "2", IF(J549&gt;$N$2/5*2, "3", IF(J549&gt;$N$2/5, "4", "5"))))</f>
        <v>4</v>
      </c>
    </row>
    <row r="550" spans="1:11" x14ac:dyDescent="0.55000000000000004">
      <c r="A550">
        <v>1087</v>
      </c>
      <c r="B550">
        <f>climate_scores!H534*weights!$C$13</f>
        <v>4.1164158415100321E-2</v>
      </c>
      <c r="D550">
        <f>bird_scores!D534*weights!$C$14</f>
        <v>8.1292222670764164E-2</v>
      </c>
      <c r="F550">
        <f>size_scores!C534*weights!$C$15</f>
        <v>9.7984304999999994E-2</v>
      </c>
      <c r="H550">
        <f>estuary_data!Z534*weights!$C$16</f>
        <v>1.9143442408500236E-3</v>
      </c>
      <c r="J550">
        <f>SUM(B550:H550)</f>
        <v>0.2223550303267145</v>
      </c>
      <c r="K550" t="str">
        <f>IF(J550&gt;$N$2/5*4, "1", IF(J550&gt;$N$2/5*3, "2", IF(J550&gt;$N$2/5*2, "3", IF(J550&gt;$N$2/5, "4", "5"))))</f>
        <v>4</v>
      </c>
    </row>
    <row r="551" spans="1:11" x14ac:dyDescent="0.55000000000000004">
      <c r="A551">
        <v>1090</v>
      </c>
      <c r="B551">
        <f>climate_scores!H537*weights!$C$13</f>
        <v>3.9352994111434801E-2</v>
      </c>
      <c r="D551">
        <f>bird_scores!D537*weights!$C$14</f>
        <v>7.5542971278316745E-2</v>
      </c>
      <c r="F551">
        <f>size_scores!C537*weights!$C$15</f>
        <v>0.11758116599999999</v>
      </c>
      <c r="H551">
        <f>estuary_data!Z537*weights!$C$16</f>
        <v>9.5717212042501366E-4</v>
      </c>
      <c r="J551">
        <f>SUM(B551:H551)</f>
        <v>0.23343430351017655</v>
      </c>
      <c r="K551" t="str">
        <f>IF(J551&gt;$N$2/5*4, "1", IF(J551&gt;$N$2/5*3, "2", IF(J551&gt;$N$2/5*2, "3", IF(J551&gt;$N$2/5, "4", "5"))))</f>
        <v>4</v>
      </c>
    </row>
    <row r="552" spans="1:11" x14ac:dyDescent="0.55000000000000004">
      <c r="A552">
        <v>1091</v>
      </c>
      <c r="B552">
        <f>climate_scores!H538*weights!$C$13</f>
        <v>4.0966473976913928E-2</v>
      </c>
      <c r="D552">
        <f>bird_scores!D538*weights!$C$14</f>
        <v>7.856052440852658E-2</v>
      </c>
      <c r="F552">
        <f>size_scores!C538*weights!$C$15</f>
        <v>7.8387444000000001E-2</v>
      </c>
      <c r="H552">
        <f>estuary_data!Z538*weights!$C$16</f>
        <v>1.9143442408500236E-3</v>
      </c>
      <c r="J552">
        <f>SUM(B552:H552)</f>
        <v>0.19982878662629053</v>
      </c>
      <c r="K552" t="str">
        <f>IF(J552&gt;$N$2/5*4, "1", IF(J552&gt;$N$2/5*3, "2", IF(J552&gt;$N$2/5*2, "3", IF(J552&gt;$N$2/5, "4", "5"))))</f>
        <v>4</v>
      </c>
    </row>
    <row r="553" spans="1:11" x14ac:dyDescent="0.55000000000000004">
      <c r="A553">
        <v>1092</v>
      </c>
      <c r="B553">
        <f>climate_scores!H539*weights!$C$13</f>
        <v>4.0512353354476963E-2</v>
      </c>
      <c r="D553">
        <f>bird_scores!D539*weights!$C$14</f>
        <v>6.121772943296714E-2</v>
      </c>
      <c r="F553">
        <f>size_scores!C539*weights!$C$15</f>
        <v>7.8387444000000001E-2</v>
      </c>
      <c r="H553">
        <f>estuary_data!Z539*weights!$C$16</f>
        <v>1.9143442408500236E-3</v>
      </c>
      <c r="J553">
        <f>SUM(B553:H553)</f>
        <v>0.18203187102829413</v>
      </c>
      <c r="K553" t="str">
        <f>IF(J553&gt;$N$2/5*4, "1", IF(J553&gt;$N$2/5*3, "2", IF(J553&gt;$N$2/5*2, "3", IF(J553&gt;$N$2/5, "4", "5"))))</f>
        <v>4</v>
      </c>
    </row>
    <row r="554" spans="1:11" x14ac:dyDescent="0.55000000000000004">
      <c r="A554">
        <v>1093</v>
      </c>
      <c r="B554">
        <f>climate_scores!H540*weights!$C$13</f>
        <v>4.1764672317168502E-2</v>
      </c>
      <c r="D554">
        <f>bird_scores!D540*weights!$C$14</f>
        <v>5.5971460977547932E-2</v>
      </c>
      <c r="F554">
        <f>size_scores!C540*weights!$C$15</f>
        <v>0.156774888</v>
      </c>
      <c r="H554">
        <f>estuary_data!Z540*weights!$C$16</f>
        <v>1.9143442408500236E-3</v>
      </c>
      <c r="J554">
        <f>SUM(B554:H554)</f>
        <v>0.25642536553556644</v>
      </c>
      <c r="K554" t="str">
        <f>IF(J554&gt;$N$2/5*4, "1", IF(J554&gt;$N$2/5*3, "2", IF(J554&gt;$N$2/5*2, "3", IF(J554&gt;$N$2/5, "4", "5"))))</f>
        <v>4</v>
      </c>
    </row>
    <row r="555" spans="1:11" x14ac:dyDescent="0.55000000000000004">
      <c r="A555">
        <v>1096</v>
      </c>
      <c r="B555">
        <f>climate_scores!H543*weights!$C$13</f>
        <v>4.3571773092318189E-2</v>
      </c>
      <c r="D555">
        <f>bird_scores!D543*weights!$C$14</f>
        <v>9.045971524227106E-2</v>
      </c>
      <c r="F555">
        <f>size_scores!C543*weights!$C$15</f>
        <v>3.9193722E-2</v>
      </c>
      <c r="H555">
        <f>estuary_data!Z543*weights!$C$16</f>
        <v>1.9143442408500236E-3</v>
      </c>
      <c r="J555">
        <f>SUM(B555:H555)</f>
        <v>0.17513955457543928</v>
      </c>
      <c r="K555" t="str">
        <f>IF(J555&gt;$N$2/5*4, "1", IF(J555&gt;$N$2/5*3, "2", IF(J555&gt;$N$2/5*2, "3", IF(J555&gt;$N$2/5, "4", "5"))))</f>
        <v>4</v>
      </c>
    </row>
    <row r="556" spans="1:11" x14ac:dyDescent="0.55000000000000004">
      <c r="A556">
        <v>1097</v>
      </c>
      <c r="B556">
        <f>climate_scores!H544*weights!$C$13</f>
        <v>4.2648843688608634E-2</v>
      </c>
      <c r="D556">
        <f>bird_scores!D544*weights!$C$14</f>
        <v>6.1032244023081335E-2</v>
      </c>
      <c r="F556">
        <f>size_scores!C544*weights!$C$15</f>
        <v>7.8387444000000001E-2</v>
      </c>
      <c r="H556">
        <f>estuary_data!Z544*weights!$C$16</f>
        <v>1.9143442408500236E-3</v>
      </c>
      <c r="J556">
        <f>SUM(B556:H556)</f>
        <v>0.18398287595253998</v>
      </c>
      <c r="K556" t="str">
        <f>IF(J556&gt;$N$2/5*4, "1", IF(J556&gt;$N$2/5*3, "2", IF(J556&gt;$N$2/5*2, "3", IF(J556&gt;$N$2/5, "4", "5"))))</f>
        <v>4</v>
      </c>
    </row>
    <row r="557" spans="1:11" x14ac:dyDescent="0.55000000000000004">
      <c r="A557">
        <v>1098</v>
      </c>
      <c r="B557">
        <f>climate_scores!H545*weights!$C$13</f>
        <v>4.0820269904821745E-2</v>
      </c>
      <c r="D557">
        <f>bird_scores!D545*weights!$C$14</f>
        <v>6.5580769796495367E-2</v>
      </c>
      <c r="F557">
        <f>size_scores!C545*weights!$C$15</f>
        <v>0.156774888</v>
      </c>
      <c r="H557">
        <f>estuary_data!Z545*weights!$C$16</f>
        <v>9.5717212042501366E-4</v>
      </c>
      <c r="J557">
        <f>SUM(B557:H557)</f>
        <v>0.26413309982174216</v>
      </c>
      <c r="K557" t="str">
        <f>IF(J557&gt;$N$2/5*4, "1", IF(J557&gt;$N$2/5*3, "2", IF(J557&gt;$N$2/5*2, "3", IF(J557&gt;$N$2/5, "4", "5"))))</f>
        <v>4</v>
      </c>
    </row>
    <row r="558" spans="1:11" x14ac:dyDescent="0.55000000000000004">
      <c r="A558">
        <v>1099</v>
      </c>
      <c r="B558">
        <f>climate_scores!H546*weights!$C$13</f>
        <v>4.2196048969825262E-2</v>
      </c>
      <c r="D558">
        <f>bird_scores!D546*weights!$C$14</f>
        <v>7.4021543169003057E-2</v>
      </c>
      <c r="F558">
        <f>size_scores!C546*weights!$C$15</f>
        <v>0.156774888</v>
      </c>
      <c r="H558">
        <f>estuary_data!Z546*weights!$C$16</f>
        <v>9.5717212042501366E-4</v>
      </c>
      <c r="J558">
        <f>SUM(B558:H558)</f>
        <v>0.27394965225925333</v>
      </c>
      <c r="K558" t="str">
        <f>IF(J558&gt;$N$2/5*4, "1", IF(J558&gt;$N$2/5*3, "2", IF(J558&gt;$N$2/5*2, "3", IF(J558&gt;$N$2/5, "4", "5"))))</f>
        <v>4</v>
      </c>
    </row>
    <row r="559" spans="1:11" x14ac:dyDescent="0.55000000000000004">
      <c r="A559">
        <v>1101</v>
      </c>
      <c r="B559">
        <f>climate_scores!H548*weights!$C$13</f>
        <v>4.262554051175612E-2</v>
      </c>
      <c r="D559">
        <f>bird_scores!D548*weights!$C$14</f>
        <v>0.10676075306264425</v>
      </c>
      <c r="F559">
        <f>size_scores!C548*weights!$C$15</f>
        <v>7.8387444000000001E-2</v>
      </c>
      <c r="H559">
        <f>estuary_data!Z548*weights!$C$16</f>
        <v>1.9143442408500236E-3</v>
      </c>
      <c r="J559">
        <f>SUM(B559:H559)</f>
        <v>0.22968808181525038</v>
      </c>
      <c r="K559" t="str">
        <f>IF(J559&gt;$N$2/5*4, "1", IF(J559&gt;$N$2/5*3, "2", IF(J559&gt;$N$2/5*2, "3", IF(J559&gt;$N$2/5, "4", "5"))))</f>
        <v>4</v>
      </c>
    </row>
    <row r="560" spans="1:11" x14ac:dyDescent="0.55000000000000004">
      <c r="A560">
        <v>1102</v>
      </c>
      <c r="B560">
        <f>climate_scores!H549*weights!$C$13</f>
        <v>3.9611607545637098E-2</v>
      </c>
      <c r="D560">
        <f>bird_scores!D549*weights!$C$14</f>
        <v>5.5714753719907778E-2</v>
      </c>
      <c r="F560">
        <f>size_scores!C549*weights!$C$15</f>
        <v>7.8387444000000001E-2</v>
      </c>
      <c r="H560">
        <f>estuary_data!Z549*weights!$C$16</f>
        <v>1.8292622745900247E-3</v>
      </c>
      <c r="J560">
        <f>SUM(B560:H560)</f>
        <v>0.17554306754013488</v>
      </c>
      <c r="K560" t="str">
        <f>IF(J560&gt;$N$2/5*4, "1", IF(J560&gt;$N$2/5*3, "2", IF(J560&gt;$N$2/5*2, "3", IF(J560&gt;$N$2/5, "4", "5"))))</f>
        <v>4</v>
      </c>
    </row>
    <row r="561" spans="1:11" x14ac:dyDescent="0.55000000000000004">
      <c r="A561">
        <v>1103</v>
      </c>
      <c r="B561">
        <f>climate_scores!H550*weights!$C$13</f>
        <v>3.936628558525232E-2</v>
      </c>
      <c r="D561">
        <f>bird_scores!D550*weights!$C$14</f>
        <v>6.8479069322043312E-2</v>
      </c>
      <c r="F561">
        <f>size_scores!C550*weights!$C$15</f>
        <v>7.8387444000000001E-2</v>
      </c>
      <c r="H561">
        <f>estuary_data!Z550*weights!$C$16</f>
        <v>1.7045398467770742E-3</v>
      </c>
      <c r="J561">
        <f>SUM(B561:H561)</f>
        <v>0.1879373387540727</v>
      </c>
      <c r="K561" t="str">
        <f>IF(J561&gt;$N$2/5*4, "1", IF(J561&gt;$N$2/5*3, "2", IF(J561&gt;$N$2/5*2, "3", IF(J561&gt;$N$2/5, "4", "5"))))</f>
        <v>4</v>
      </c>
    </row>
    <row r="562" spans="1:11" x14ac:dyDescent="0.55000000000000004">
      <c r="A562">
        <v>1104</v>
      </c>
      <c r="B562">
        <f>climate_scores!H551*weights!$C$13</f>
        <v>3.7458416227726214E-2</v>
      </c>
      <c r="D562">
        <f>bird_scores!D551*weights!$C$14</f>
        <v>5.7426821852724234E-2</v>
      </c>
      <c r="F562">
        <f>size_scores!C551*weights!$C$15</f>
        <v>9.7984304999999994E-2</v>
      </c>
      <c r="H562">
        <f>estuary_data!Z551*weights!$C$16</f>
        <v>8.9191038494148981E-4</v>
      </c>
      <c r="J562">
        <f>SUM(B562:H562)</f>
        <v>0.19376145346539195</v>
      </c>
      <c r="K562" t="str">
        <f>IF(J562&gt;$N$2/5*4, "1", IF(J562&gt;$N$2/5*3, "2", IF(J562&gt;$N$2/5*2, "3", IF(J562&gt;$N$2/5, "4", "5"))))</f>
        <v>4</v>
      </c>
    </row>
    <row r="563" spans="1:11" x14ac:dyDescent="0.55000000000000004">
      <c r="A563">
        <v>1105</v>
      </c>
      <c r="B563">
        <f>climate_scores!H552*weights!$C$13</f>
        <v>3.6806664876975613E-2</v>
      </c>
      <c r="D563">
        <f>bird_scores!D552*weights!$C$14</f>
        <v>5.884101819027731E-2</v>
      </c>
      <c r="F563">
        <f>size_scores!C552*weights!$C$15</f>
        <v>0.11758116599999999</v>
      </c>
      <c r="H563">
        <f>estuary_data!Z552*weights!$C$16</f>
        <v>8.5226992338853535E-4</v>
      </c>
      <c r="J563">
        <f>SUM(B563:H563)</f>
        <v>0.21408111899064147</v>
      </c>
      <c r="K563" t="str">
        <f>IF(J563&gt;$N$2/5*4, "1", IF(J563&gt;$N$2/5*3, "2", IF(J563&gt;$N$2/5*2, "3", IF(J563&gt;$N$2/5, "4", "5"))))</f>
        <v>4</v>
      </c>
    </row>
    <row r="564" spans="1:11" x14ac:dyDescent="0.55000000000000004">
      <c r="A564">
        <v>1106</v>
      </c>
      <c r="B564">
        <f>climate_scores!H553*weights!$C$13</f>
        <v>3.5414632657459165E-2</v>
      </c>
      <c r="D564">
        <f>bird_scores!D553*weights!$C$14</f>
        <v>5.9363873925838431E-2</v>
      </c>
      <c r="F564">
        <f>size_scores!C553*weights!$C$15</f>
        <v>9.7984304999999994E-2</v>
      </c>
      <c r="H564">
        <f>estuary_data!Z553*weights!$C$16</f>
        <v>1.7838207698829777E-3</v>
      </c>
      <c r="J564">
        <f>SUM(B564:H564)</f>
        <v>0.19454663235318057</v>
      </c>
      <c r="K564" t="str">
        <f>IF(J564&gt;$N$2/5*4, "1", IF(J564&gt;$N$2/5*3, "2", IF(J564&gt;$N$2/5*2, "3", IF(J564&gt;$N$2/5, "4", "5"))))</f>
        <v>4</v>
      </c>
    </row>
    <row r="565" spans="1:11" x14ac:dyDescent="0.55000000000000004">
      <c r="A565">
        <v>1107</v>
      </c>
      <c r="B565">
        <f>climate_scores!H554*weights!$C$13</f>
        <v>3.6806385212371805E-2</v>
      </c>
      <c r="D565">
        <f>bird_scores!D554*weights!$C$14</f>
        <v>8.933493580398548E-2</v>
      </c>
      <c r="F565">
        <f>size_scores!C554*weights!$C$15</f>
        <v>7.8387444000000001E-2</v>
      </c>
      <c r="H565">
        <f>estuary_data!Z554*weights!$C$16</f>
        <v>1.7838207698829777E-3</v>
      </c>
      <c r="J565">
        <f>SUM(B565:H565)</f>
        <v>0.20631258578624026</v>
      </c>
      <c r="K565" t="str">
        <f>IF(J565&gt;$N$2/5*4, "1", IF(J565&gt;$N$2/5*3, "2", IF(J565&gt;$N$2/5*2, "3", IF(J565&gt;$N$2/5, "4", "5"))))</f>
        <v>4</v>
      </c>
    </row>
    <row r="566" spans="1:11" x14ac:dyDescent="0.55000000000000004">
      <c r="A566">
        <v>1108</v>
      </c>
      <c r="B566">
        <f>climate_scores!H555*weights!$C$13</f>
        <v>3.7400712385347513E-2</v>
      </c>
      <c r="D566">
        <f>bird_scores!D555*weights!$C$14</f>
        <v>5.9524261130387293E-2</v>
      </c>
      <c r="F566">
        <f>size_scores!C555*weights!$C$15</f>
        <v>0.156774888</v>
      </c>
      <c r="H566">
        <f>estuary_data!Z555*weights!$C$16</f>
        <v>5.6817994892568958E-4</v>
      </c>
      <c r="J566">
        <f>SUM(B566:H566)</f>
        <v>0.25426804146466048</v>
      </c>
      <c r="K566" t="str">
        <f>IF(J566&gt;$N$2/5*4, "1", IF(J566&gt;$N$2/5*3, "2", IF(J566&gt;$N$2/5*2, "3", IF(J566&gt;$N$2/5, "4", "5"))))</f>
        <v>4</v>
      </c>
    </row>
    <row r="567" spans="1:11" x14ac:dyDescent="0.55000000000000004">
      <c r="A567">
        <v>1109</v>
      </c>
      <c r="B567">
        <f>climate_scores!H556*weights!$C$13</f>
        <v>3.6831533892534289E-2</v>
      </c>
      <c r="D567">
        <f>bird_scores!D556*weights!$C$14</f>
        <v>6.1159757318146567E-2</v>
      </c>
      <c r="F567">
        <f>size_scores!C556*weights!$C$15</f>
        <v>0.17637174899999999</v>
      </c>
      <c r="H567">
        <f>estuary_data!Z556*weights!$C$16</f>
        <v>3.4090796935541391E-4</v>
      </c>
      <c r="J567">
        <f>SUM(B567:H567)</f>
        <v>0.27470394818003629</v>
      </c>
      <c r="K567" t="str">
        <f>IF(J567&gt;$N$2/5*4, "1", IF(J567&gt;$N$2/5*3, "2", IF(J567&gt;$N$2/5*2, "3", IF(J567&gt;$N$2/5, "4", "5"))))</f>
        <v>4</v>
      </c>
    </row>
    <row r="568" spans="1:11" x14ac:dyDescent="0.55000000000000004">
      <c r="A568">
        <v>1112</v>
      </c>
      <c r="B568">
        <f>climate_scores!H559*weights!$C$13</f>
        <v>3.4899819543426448E-2</v>
      </c>
      <c r="D568">
        <f>bird_scores!D559*weights!$C$14</f>
        <v>5.550500924065814E-2</v>
      </c>
      <c r="F568">
        <f>size_scores!C559*weights!$C$15</f>
        <v>0.156774888</v>
      </c>
      <c r="H568">
        <f>estuary_data!Z559*weights!$C$16</f>
        <v>2.9730346164716327E-4</v>
      </c>
      <c r="J568">
        <f>SUM(B568:H568)</f>
        <v>0.24747702024573176</v>
      </c>
      <c r="K568" t="str">
        <f>IF(J568&gt;$N$2/5*4, "1", IF(J568&gt;$N$2/5*3, "2", IF(J568&gt;$N$2/5*2, "3", IF(J568&gt;$N$2/5, "4", "5"))))</f>
        <v>4</v>
      </c>
    </row>
    <row r="569" spans="1:11" x14ac:dyDescent="0.55000000000000004">
      <c r="A569">
        <v>1114</v>
      </c>
      <c r="B569">
        <f>climate_scores!H561*weights!$C$13</f>
        <v>3.5762896360840922E-2</v>
      </c>
      <c r="D569">
        <f>bird_scores!D561*weights!$C$14</f>
        <v>5.9771610487043901E-2</v>
      </c>
      <c r="F569">
        <f>size_scores!C561*weights!$C$15</f>
        <v>0.13717802699999998</v>
      </c>
      <c r="H569">
        <f>estuary_data!Z561*weights!$C$16</f>
        <v>5.9460692329432654E-4</v>
      </c>
      <c r="J569">
        <f>SUM(B569:H569)</f>
        <v>0.23330714077117914</v>
      </c>
      <c r="K569" t="str">
        <f>IF(J569&gt;$N$2/5*4, "1", IF(J569&gt;$N$2/5*3, "2", IF(J569&gt;$N$2/5*2, "3", IF(J569&gt;$N$2/5, "4", "5"))))</f>
        <v>4</v>
      </c>
    </row>
    <row r="570" spans="1:11" x14ac:dyDescent="0.55000000000000004">
      <c r="A570">
        <v>1115</v>
      </c>
      <c r="B570">
        <f>climate_scores!H562*weights!$C$13</f>
        <v>3.5044642705909158E-2</v>
      </c>
      <c r="D570">
        <f>bird_scores!D562*weights!$C$14</f>
        <v>5.8305355063704351E-2</v>
      </c>
      <c r="F570">
        <f>size_scores!C562*weights!$C$15</f>
        <v>0.11758116599999999</v>
      </c>
      <c r="H570">
        <f>estuary_data!Z562*weights!$C$16</f>
        <v>8.9191038494148981E-4</v>
      </c>
      <c r="J570">
        <f>SUM(B570:H570)</f>
        <v>0.21182307415455498</v>
      </c>
      <c r="K570" t="str">
        <f>IF(J570&gt;$N$2/5*4, "1", IF(J570&gt;$N$2/5*3, "2", IF(J570&gt;$N$2/5*2, "3", IF(J570&gt;$N$2/5, "4", "5"))))</f>
        <v>4</v>
      </c>
    </row>
    <row r="571" spans="1:11" x14ac:dyDescent="0.55000000000000004">
      <c r="A571">
        <v>1116</v>
      </c>
      <c r="B571">
        <f>climate_scores!H563*weights!$C$13</f>
        <v>3.5116991086184116E-2</v>
      </c>
      <c r="D571">
        <f>bird_scores!D563*weights!$C$14</f>
        <v>7.5594960231151614E-2</v>
      </c>
      <c r="F571">
        <f>size_scores!C563*weights!$C$15</f>
        <v>0.17637174899999999</v>
      </c>
      <c r="H571">
        <f>estuary_data!Z563*weights!$C$16</f>
        <v>2.2297759623537267E-4</v>
      </c>
      <c r="J571">
        <f>SUM(B571:H571)</f>
        <v>0.28730667791357106</v>
      </c>
      <c r="K571" t="str">
        <f>IF(J571&gt;$N$2/5*4, "1", IF(J571&gt;$N$2/5*3, "2", IF(J571&gt;$N$2/5*2, "3", IF(J571&gt;$N$2/5, "4", "5"))))</f>
        <v>4</v>
      </c>
    </row>
    <row r="572" spans="1:11" x14ac:dyDescent="0.55000000000000004">
      <c r="A572">
        <v>1117</v>
      </c>
      <c r="B572">
        <f>climate_scores!H564*weights!$C$13</f>
        <v>3.5914386400610621E-2</v>
      </c>
      <c r="D572">
        <f>bird_scores!D564*weights!$C$14</f>
        <v>5.61211899590544E-2</v>
      </c>
      <c r="F572">
        <f>size_scores!C564*weights!$C$15</f>
        <v>0.11758116599999999</v>
      </c>
      <c r="H572">
        <f>estuary_data!Z564*weights!$C$16</f>
        <v>1.7838207698829777E-3</v>
      </c>
      <c r="J572">
        <f>SUM(B572:H572)</f>
        <v>0.211400563129548</v>
      </c>
      <c r="K572" t="str">
        <f>IF(J572&gt;$N$2/5*4, "1", IF(J572&gt;$N$2/5*3, "2", IF(J572&gt;$N$2/5*2, "3", IF(J572&gt;$N$2/5, "4", "5"))))</f>
        <v>4</v>
      </c>
    </row>
    <row r="573" spans="1:11" x14ac:dyDescent="0.55000000000000004">
      <c r="A573">
        <v>1119</v>
      </c>
      <c r="B573">
        <f>climate_scores!H566*weights!$C$13</f>
        <v>3.8033779012037305E-2</v>
      </c>
      <c r="D573">
        <f>bird_scores!D566*weights!$C$14</f>
        <v>6.7878201936833749E-2</v>
      </c>
      <c r="F573">
        <f>size_scores!C566*weights!$C$15</f>
        <v>0.156774888</v>
      </c>
      <c r="H573">
        <f>estuary_data!Z566*weights!$C$16</f>
        <v>8.9191038494148981E-4</v>
      </c>
      <c r="J573">
        <f>SUM(B573:H573)</f>
        <v>0.26357877933381252</v>
      </c>
      <c r="K573" t="str">
        <f>IF(J573&gt;$N$2/5*4, "1", IF(J573&gt;$N$2/5*3, "2", IF(J573&gt;$N$2/5*2, "3", IF(J573&gt;$N$2/5, "4", "5"))))</f>
        <v>4</v>
      </c>
    </row>
    <row r="574" spans="1:11" x14ac:dyDescent="0.55000000000000004">
      <c r="A574">
        <v>1120</v>
      </c>
      <c r="B574">
        <f>climate_scores!H567*weights!$C$13</f>
        <v>3.6073786512903612E-2</v>
      </c>
      <c r="D574">
        <f>bird_scores!D567*weights!$C$14</f>
        <v>7.734613593782276E-2</v>
      </c>
      <c r="F574">
        <f>size_scores!C567*weights!$C$15</f>
        <v>0.11758116599999999</v>
      </c>
      <c r="H574">
        <f>estuary_data!Z567*weights!$C$16</f>
        <v>1.7838207698829777E-3</v>
      </c>
      <c r="J574">
        <f>SUM(B574:H574)</f>
        <v>0.23278490922060935</v>
      </c>
      <c r="K574" t="str">
        <f>IF(J574&gt;$N$2/5*4, "1", IF(J574&gt;$N$2/5*3, "2", IF(J574&gt;$N$2/5*2, "3", IF(J574&gt;$N$2/5, "4", "5"))))</f>
        <v>4</v>
      </c>
    </row>
    <row r="575" spans="1:11" x14ac:dyDescent="0.55000000000000004">
      <c r="A575">
        <v>1121</v>
      </c>
      <c r="B575">
        <f>climate_scores!H568*weights!$C$13</f>
        <v>3.5794170705240172E-2</v>
      </c>
      <c r="D575">
        <f>bird_scores!D568*weights!$C$14</f>
        <v>7.1153513406502583E-2</v>
      </c>
      <c r="F575">
        <f>size_scores!C568*weights!$C$15</f>
        <v>0.156774888</v>
      </c>
      <c r="H575">
        <f>estuary_data!Z568*weights!$C$16</f>
        <v>8.5226992338853535E-4</v>
      </c>
      <c r="J575">
        <f>SUM(B575:H575)</f>
        <v>0.26457484203513132</v>
      </c>
      <c r="K575" t="str">
        <f>IF(J575&gt;$N$2/5*4, "1", IF(J575&gt;$N$2/5*3, "2", IF(J575&gt;$N$2/5*2, "3", IF(J575&gt;$N$2/5, "4", "5"))))</f>
        <v>4</v>
      </c>
    </row>
    <row r="576" spans="1:11" x14ac:dyDescent="0.55000000000000004">
      <c r="A576">
        <v>1122</v>
      </c>
      <c r="B576">
        <f>climate_scores!H569*weights!$C$13</f>
        <v>3.3101037959412147E-2</v>
      </c>
      <c r="D576">
        <f>bird_scores!D569*weights!$C$14</f>
        <v>8.6015538927460874E-2</v>
      </c>
      <c r="F576">
        <f>size_scores!C569*weights!$C$15</f>
        <v>7.8387444000000001E-2</v>
      </c>
      <c r="H576">
        <f>estuary_data!Z569*weights!$C$16</f>
        <v>8.9191038494148981E-4</v>
      </c>
      <c r="J576">
        <f>SUM(B576:H576)</f>
        <v>0.19839593127181451</v>
      </c>
      <c r="K576" t="str">
        <f>IF(J576&gt;$N$2/5*4, "1", IF(J576&gt;$N$2/5*3, "2", IF(J576&gt;$N$2/5*2, "3", IF(J576&gt;$N$2/5, "4", "5"))))</f>
        <v>4</v>
      </c>
    </row>
    <row r="577" spans="1:11" x14ac:dyDescent="0.55000000000000004">
      <c r="A577">
        <v>1123</v>
      </c>
      <c r="B577">
        <f>climate_scores!H570*weights!$C$13</f>
        <v>3.2498203215474523E-2</v>
      </c>
      <c r="D577">
        <f>bird_scores!D570*weights!$C$14</f>
        <v>6.8508818883321609E-2</v>
      </c>
      <c r="F577">
        <f>size_scores!C570*weights!$C$15</f>
        <v>0.13717802699999998</v>
      </c>
      <c r="H577">
        <f>estuary_data!Z570*weights!$C$16</f>
        <v>1.7045398467770742E-3</v>
      </c>
      <c r="J577">
        <f>SUM(B577:H577)</f>
        <v>0.23988958894557319</v>
      </c>
      <c r="K577" t="str">
        <f>IF(J577&gt;$N$2/5*4, "1", IF(J577&gt;$N$2/5*3, "2", IF(J577&gt;$N$2/5*2, "3", IF(J577&gt;$N$2/5, "4", "5"))))</f>
        <v>4</v>
      </c>
    </row>
    <row r="578" spans="1:11" x14ac:dyDescent="0.55000000000000004">
      <c r="A578">
        <v>1124</v>
      </c>
      <c r="B578">
        <f>climate_scores!H571*weights!$C$13</f>
        <v>3.6828490034847026E-2</v>
      </c>
      <c r="D578">
        <f>bird_scores!D571*weights!$C$14</f>
        <v>0.10426947161254314</v>
      </c>
      <c r="F578">
        <f>size_scores!C571*weights!$C$15</f>
        <v>9.7984304999999994E-2</v>
      </c>
      <c r="H578">
        <f>estuary_data!Z571*weights!$C$16</f>
        <v>1.7045398467770742E-3</v>
      </c>
      <c r="J578">
        <f>SUM(B578:H578)</f>
        <v>0.24078680649416723</v>
      </c>
      <c r="K578" t="str">
        <f>IF(J578&gt;$N$2/5*4, "1", IF(J578&gt;$N$2/5*3, "2", IF(J578&gt;$N$2/5*2, "3", IF(J578&gt;$N$2/5, "4", "5"))))</f>
        <v>4</v>
      </c>
    </row>
    <row r="579" spans="1:11" x14ac:dyDescent="0.55000000000000004">
      <c r="A579">
        <v>1125</v>
      </c>
      <c r="B579">
        <f>climate_scores!H572*weights!$C$13</f>
        <v>3.6519518250558512E-2</v>
      </c>
      <c r="D579">
        <f>bird_scores!D572*weights!$C$14</f>
        <v>6.0444322021444792E-2</v>
      </c>
      <c r="F579">
        <f>size_scores!C572*weights!$C$15</f>
        <v>0.17637174899999999</v>
      </c>
      <c r="H579">
        <f>estuary_data!Z572*weights!$C$16</f>
        <v>2.5483153855471164E-4</v>
      </c>
      <c r="J579">
        <f>SUM(B579:H579)</f>
        <v>0.27359042081055801</v>
      </c>
      <c r="K579" t="str">
        <f>IF(J579&gt;$N$2/5*4, "1", IF(J579&gt;$N$2/5*3, "2", IF(J579&gt;$N$2/5*2, "3", IF(J579&gt;$N$2/5, "4", "5"))))</f>
        <v>4</v>
      </c>
    </row>
    <row r="580" spans="1:11" x14ac:dyDescent="0.55000000000000004">
      <c r="A580">
        <v>1126</v>
      </c>
      <c r="B580">
        <f>climate_scores!H573*weights!$C$13</f>
        <v>3.7039016725993308E-2</v>
      </c>
      <c r="D580">
        <f>bird_scores!D573*weights!$C$14</f>
        <v>0.10290064399685628</v>
      </c>
      <c r="F580">
        <f>size_scores!C573*weights!$C$15</f>
        <v>5.8790582999999993E-2</v>
      </c>
      <c r="H580">
        <f>estuary_data!Z573*weights!$C$16</f>
        <v>1.7045398467770742E-3</v>
      </c>
      <c r="J580">
        <f>SUM(B580:H580)</f>
        <v>0.20043478356962666</v>
      </c>
      <c r="K580" t="str">
        <f>IF(J580&gt;$N$2/5*4, "1", IF(J580&gt;$N$2/5*3, "2", IF(J580&gt;$N$2/5*2, "3", IF(J580&gt;$N$2/5, "4", "5"))))</f>
        <v>4</v>
      </c>
    </row>
    <row r="581" spans="1:11" x14ac:dyDescent="0.55000000000000004">
      <c r="A581">
        <v>1127</v>
      </c>
      <c r="B581">
        <f>climate_scores!H574*weights!$C$13</f>
        <v>3.967663107827836E-2</v>
      </c>
      <c r="D581">
        <f>bird_scores!D574*weights!$C$14</f>
        <v>8.6572245305398032E-2</v>
      </c>
      <c r="F581">
        <f>size_scores!C574*weights!$C$15</f>
        <v>7.8387444000000001E-2</v>
      </c>
      <c r="H581">
        <f>estuary_data!Z574*weights!$C$16</f>
        <v>1.7838207698829777E-3</v>
      </c>
      <c r="J581">
        <f>SUM(B581:H581)</f>
        <v>0.20642014115355936</v>
      </c>
      <c r="K581" t="str">
        <f>IF(J581&gt;$N$2/5*4, "1", IF(J581&gt;$N$2/5*3, "2", IF(J581&gt;$N$2/5*2, "3", IF(J581&gt;$N$2/5, "4", "5"))))</f>
        <v>4</v>
      </c>
    </row>
    <row r="582" spans="1:11" x14ac:dyDescent="0.55000000000000004">
      <c r="A582">
        <v>1128</v>
      </c>
      <c r="B582">
        <f>climate_scores!H575*weights!$C$13</f>
        <v>3.7682992145857609E-2</v>
      </c>
      <c r="D582">
        <f>bird_scores!D575*weights!$C$14</f>
        <v>0.1065537086175849</v>
      </c>
      <c r="F582">
        <f>size_scores!C575*weights!$C$15</f>
        <v>0.11758116599999999</v>
      </c>
      <c r="H582">
        <f>estuary_data!Z575*weights!$C$16</f>
        <v>8.9191038494148981E-4</v>
      </c>
      <c r="J582">
        <f>SUM(B582:H582)</f>
        <v>0.26270977714838395</v>
      </c>
      <c r="K582" t="str">
        <f>IF(J582&gt;$N$2/5*4, "1", IF(J582&gt;$N$2/5*3, "2", IF(J582&gt;$N$2/5*2, "3", IF(J582&gt;$N$2/5, "4", "5"))))</f>
        <v>4</v>
      </c>
    </row>
    <row r="583" spans="1:11" x14ac:dyDescent="0.55000000000000004">
      <c r="A583">
        <v>1129</v>
      </c>
      <c r="B583">
        <f>climate_scores!H576*weights!$C$13</f>
        <v>4.029778553369661E-2</v>
      </c>
      <c r="D583">
        <f>bird_scores!D576*weights!$C$14</f>
        <v>0.10397054539592909</v>
      </c>
      <c r="F583">
        <f>size_scores!C576*weights!$C$15</f>
        <v>3.9193722E-2</v>
      </c>
      <c r="H583">
        <f>estuary_data!Z576*weights!$C$16</f>
        <v>2.3428460849566346E-3</v>
      </c>
      <c r="J583">
        <f>SUM(B583:H583)</f>
        <v>0.18580489901458233</v>
      </c>
      <c r="K583" t="str">
        <f>IF(J583&gt;$N$2/5*4, "1", IF(J583&gt;$N$2/5*3, "2", IF(J583&gt;$N$2/5*2, "3", IF(J583&gt;$N$2/5, "4", "5"))))</f>
        <v>4</v>
      </c>
    </row>
    <row r="584" spans="1:11" x14ac:dyDescent="0.55000000000000004">
      <c r="A584">
        <v>1130</v>
      </c>
      <c r="B584">
        <f>climate_scores!H577*weights!$C$13</f>
        <v>4.1015528683728007E-2</v>
      </c>
      <c r="D584">
        <f>bird_scores!D577*weights!$C$14</f>
        <v>0.10140517634507339</v>
      </c>
      <c r="F584">
        <f>size_scores!C577*weights!$C$15</f>
        <v>3.9193722E-2</v>
      </c>
      <c r="H584">
        <f>estuary_data!Z577*weights!$C$16</f>
        <v>2.0578589163223688E-3</v>
      </c>
      <c r="J584">
        <f>SUM(B584:H584)</f>
        <v>0.18367228594512375</v>
      </c>
      <c r="K584" t="str">
        <f>IF(J584&gt;$N$2/5*4, "1", IF(J584&gt;$N$2/5*3, "2", IF(J584&gt;$N$2/5*2, "3", IF(J584&gt;$N$2/5, "4", "5"))))</f>
        <v>4</v>
      </c>
    </row>
    <row r="585" spans="1:11" x14ac:dyDescent="0.55000000000000004">
      <c r="A585">
        <v>1131</v>
      </c>
      <c r="B585">
        <f>climate_scores!H578*weights!$C$13</f>
        <v>3.9850885141449618E-2</v>
      </c>
      <c r="D585">
        <f>bird_scores!D578*weights!$C$14</f>
        <v>0.10536481340572343</v>
      </c>
      <c r="F585">
        <f>size_scores!C578*weights!$C$15</f>
        <v>0.19596860999999999</v>
      </c>
      <c r="H585">
        <f>estuary_data!Z578*weights!$C$16</f>
        <v>1.5029975444690307E-4</v>
      </c>
      <c r="J585">
        <f>SUM(B585:H585)</f>
        <v>0.34133460830161994</v>
      </c>
      <c r="K585" t="str">
        <f>IF(J585&gt;$N$2/5*4, "1", IF(J585&gt;$N$2/5*3, "2", IF(J585&gt;$N$2/5*2, "3", IF(J585&gt;$N$2/5, "4", "5"))))</f>
        <v>3</v>
      </c>
    </row>
    <row r="586" spans="1:11" x14ac:dyDescent="0.55000000000000004">
      <c r="A586">
        <v>1132</v>
      </c>
      <c r="B586">
        <f>climate_scores!H579*weights!$C$13</f>
        <v>4.1433186677620235E-2</v>
      </c>
      <c r="D586">
        <f>bird_scores!D579*weights!$C$14</f>
        <v>9.9678821975295262E-2</v>
      </c>
      <c r="F586">
        <f>size_scores!C579*weights!$C$15</f>
        <v>3.9193722E-2</v>
      </c>
      <c r="H586">
        <f>estuary_data!Z579*weights!$C$16</f>
        <v>1.5798174189641146E-3</v>
      </c>
      <c r="J586">
        <f>SUM(B586:H586)</f>
        <v>0.18188554807187962</v>
      </c>
      <c r="K586" t="str">
        <f>IF(J586&gt;$N$2/5*4, "1", IF(J586&gt;$N$2/5*3, "2", IF(J586&gt;$N$2/5*2, "3", IF(J586&gt;$N$2/5, "4", "5"))))</f>
        <v>4</v>
      </c>
    </row>
    <row r="587" spans="1:11" x14ac:dyDescent="0.55000000000000004">
      <c r="A587">
        <v>1133</v>
      </c>
      <c r="B587">
        <f>climate_scores!H580*weights!$C$13</f>
        <v>4.2495044420471702E-2</v>
      </c>
      <c r="D587">
        <f>bird_scores!D580*weights!$C$14</f>
        <v>0.10539258709526717</v>
      </c>
      <c r="F587">
        <f>size_scores!C580*weights!$C$15</f>
        <v>0.156774888</v>
      </c>
      <c r="H587">
        <f>estuary_data!Z580*weights!$C$16</f>
        <v>1.0289294581611844E-3</v>
      </c>
      <c r="J587">
        <f>SUM(B587:H587)</f>
        <v>0.30569144897390005</v>
      </c>
      <c r="K587" t="str">
        <f>IF(J587&gt;$N$2/5*4, "1", IF(J587&gt;$N$2/5*3, "2", IF(J587&gt;$N$2/5*2, "3", IF(J587&gt;$N$2/5, "4", "5"))))</f>
        <v>4</v>
      </c>
    </row>
    <row r="588" spans="1:11" x14ac:dyDescent="0.55000000000000004">
      <c r="A588">
        <v>1134</v>
      </c>
      <c r="B588">
        <f>climate_scores!H581*weights!$C$13</f>
        <v>4.4629299988849368E-2</v>
      </c>
      <c r="D588">
        <f>bird_scores!D581*weights!$C$14</f>
        <v>0.11017070443392593</v>
      </c>
      <c r="F588">
        <f>size_scores!C581*weights!$C$15</f>
        <v>0.17637174899999999</v>
      </c>
      <c r="H588">
        <f>estuary_data!Z581*weights!$C$16</f>
        <v>2.6330290316068543E-4</v>
      </c>
      <c r="J588">
        <f>SUM(B588:H588)</f>
        <v>0.33143505632593595</v>
      </c>
      <c r="K588" t="str">
        <f>IF(J588&gt;$N$2/5*4, "1", IF(J588&gt;$N$2/5*3, "2", IF(J588&gt;$N$2/5*2, "3", IF(J588&gt;$N$2/5, "4", "5"))))</f>
        <v>3</v>
      </c>
    </row>
    <row r="589" spans="1:11" x14ac:dyDescent="0.55000000000000004">
      <c r="A589">
        <v>1136</v>
      </c>
      <c r="B589">
        <f>climate_scores!H583*weights!$C$13</f>
        <v>4.478073692838179E-2</v>
      </c>
      <c r="D589">
        <f>bird_scores!D583*weights!$C$14</f>
        <v>7.8855174078995977E-2</v>
      </c>
      <c r="F589">
        <f>size_scores!C583*weights!$C$15</f>
        <v>9.7984304999999994E-2</v>
      </c>
      <c r="H589">
        <f>estuary_data!Z583*weights!$C$16</f>
        <v>1.0289294581611844E-3</v>
      </c>
      <c r="J589">
        <f>SUM(B589:H589)</f>
        <v>0.22264914546553893</v>
      </c>
      <c r="K589" t="str">
        <f>IF(J589&gt;$N$2/5*4, "1", IF(J589&gt;$N$2/5*3, "2", IF(J589&gt;$N$2/5*2, "3", IF(J589&gt;$N$2/5, "4", "5"))))</f>
        <v>4</v>
      </c>
    </row>
    <row r="590" spans="1:11" x14ac:dyDescent="0.55000000000000004">
      <c r="A590">
        <v>1137</v>
      </c>
      <c r="B590">
        <f>climate_scores!H584*weights!$C$13</f>
        <v>5.1842064878386454E-2</v>
      </c>
      <c r="D590">
        <f>bird_scores!D584*weights!$C$14</f>
        <v>7.8855174078995977E-2</v>
      </c>
      <c r="F590">
        <f>size_scores!C584*weights!$C$15</f>
        <v>0.13717802699999998</v>
      </c>
      <c r="H590">
        <f>estuary_data!Z584*weights!$C$16</f>
        <v>2.0578589163223688E-3</v>
      </c>
      <c r="J590">
        <f>SUM(B590:H590)</f>
        <v>0.2699331248737048</v>
      </c>
      <c r="K590" t="str">
        <f>IF(J590&gt;$N$2/5*4, "1", IF(J590&gt;$N$2/5*3, "2", IF(J590&gt;$N$2/5*2, "3", IF(J590&gt;$N$2/5, "4", "5"))))</f>
        <v>4</v>
      </c>
    </row>
    <row r="591" spans="1:11" x14ac:dyDescent="0.55000000000000004">
      <c r="A591">
        <v>1139</v>
      </c>
      <c r="B591">
        <f>climate_scores!H586*weights!$C$13</f>
        <v>4.7595204048874691E-2</v>
      </c>
      <c r="D591">
        <f>bird_scores!D586*weights!$C$14</f>
        <v>0.10720232218303372</v>
      </c>
      <c r="F591">
        <f>size_scores!C586*weights!$C$15</f>
        <v>5.8790582999999993E-2</v>
      </c>
      <c r="H591">
        <f>estuary_data!Z586*weights!$C$16</f>
        <v>2.0578589163223688E-3</v>
      </c>
      <c r="J591">
        <f>SUM(B591:H591)</f>
        <v>0.21564596814823078</v>
      </c>
      <c r="K591" t="str">
        <f>IF(J591&gt;$N$2/5*4, "1", IF(J591&gt;$N$2/5*3, "2", IF(J591&gt;$N$2/5*2, "3", IF(J591&gt;$N$2/5, "4", "5"))))</f>
        <v>4</v>
      </c>
    </row>
    <row r="592" spans="1:11" x14ac:dyDescent="0.55000000000000004">
      <c r="A592">
        <v>1140</v>
      </c>
      <c r="B592">
        <f>climate_scores!H587*weights!$C$13</f>
        <v>5.106845885873202E-2</v>
      </c>
      <c r="D592">
        <f>bird_scores!D587*weights!$C$14</f>
        <v>0.10526270005424562</v>
      </c>
      <c r="F592">
        <f>size_scores!C587*weights!$C$15</f>
        <v>7.8387444000000001E-2</v>
      </c>
      <c r="H592">
        <f>estuary_data!Z587*weights!$C$16</f>
        <v>2.0578589163223688E-3</v>
      </c>
      <c r="J592">
        <f>SUM(B592:H592)</f>
        <v>0.23677646182930001</v>
      </c>
      <c r="K592" t="str">
        <f>IF(J592&gt;$N$2/5*4, "1", IF(J592&gt;$N$2/5*3, "2", IF(J592&gt;$N$2/5*2, "3", IF(J592&gt;$N$2/5, "4", "5"))))</f>
        <v>4</v>
      </c>
    </row>
    <row r="593" spans="1:11" x14ac:dyDescent="0.55000000000000004">
      <c r="A593">
        <v>1141</v>
      </c>
      <c r="B593">
        <f>climate_scores!H588*weights!$C$13</f>
        <v>4.4596477446988567E-2</v>
      </c>
      <c r="D593">
        <f>bird_scores!D588*weights!$C$14</f>
        <v>7.9450911329837892E-2</v>
      </c>
      <c r="F593">
        <f>size_scores!C588*weights!$C$15</f>
        <v>0.11758116599999999</v>
      </c>
      <c r="H593">
        <f>estuary_data!Z588*weights!$C$16</f>
        <v>2.0578589163223688E-3</v>
      </c>
      <c r="J593">
        <f>SUM(B593:H593)</f>
        <v>0.24368641369314881</v>
      </c>
      <c r="K593" t="str">
        <f>IF(J593&gt;$N$2/5*4, "1", IF(J593&gt;$N$2/5*3, "2", IF(J593&gt;$N$2/5*2, "3", IF(J593&gt;$N$2/5, "4", "5"))))</f>
        <v>4</v>
      </c>
    </row>
    <row r="594" spans="1:11" x14ac:dyDescent="0.55000000000000004">
      <c r="A594">
        <v>1143</v>
      </c>
      <c r="B594">
        <f>climate_scores!H590*weights!$C$13</f>
        <v>5.1757505526830415E-2</v>
      </c>
      <c r="D594">
        <f>bird_scores!D590*weights!$C$14</f>
        <v>0.10992465516404042</v>
      </c>
      <c r="F594">
        <f>size_scores!C590*weights!$C$15</f>
        <v>9.7984304999999994E-2</v>
      </c>
      <c r="H594">
        <f>estuary_data!Z590*weights!$C$16</f>
        <v>2.0578589163223688E-3</v>
      </c>
      <c r="J594">
        <f>SUM(B594:H594)</f>
        <v>0.26172432460719319</v>
      </c>
      <c r="K594" t="str">
        <f>IF(J594&gt;$N$2/5*4, "1", IF(J594&gt;$N$2/5*3, "2", IF(J594&gt;$N$2/5*2, "3", IF(J594&gt;$N$2/5, "4", "5"))))</f>
        <v>4</v>
      </c>
    </row>
    <row r="595" spans="1:11" x14ac:dyDescent="0.55000000000000004">
      <c r="A595">
        <v>1145</v>
      </c>
      <c r="B595">
        <f>climate_scores!H592*weights!$C$13</f>
        <v>5.1315708545784114E-2</v>
      </c>
      <c r="D595">
        <f>bird_scores!D592*weights!$C$14</f>
        <v>0.10182519631447613</v>
      </c>
      <c r="F595">
        <f>size_scores!C592*weights!$C$15</f>
        <v>0.11758116599999999</v>
      </c>
      <c r="H595">
        <f>estuary_data!Z592*weights!$C$16</f>
        <v>1.5798174189641146E-3</v>
      </c>
      <c r="J595">
        <f>SUM(B595:H595)</f>
        <v>0.27230188827922436</v>
      </c>
      <c r="K595" t="str">
        <f>IF(J595&gt;$N$2/5*4, "1", IF(J595&gt;$N$2/5*3, "2", IF(J595&gt;$N$2/5*2, "3", IF(J595&gt;$N$2/5, "4", "5"))))</f>
        <v>4</v>
      </c>
    </row>
    <row r="596" spans="1:11" x14ac:dyDescent="0.55000000000000004">
      <c r="A596">
        <v>1146</v>
      </c>
      <c r="B596">
        <f>climate_scores!H593*weights!$C$13</f>
        <v>5.2066821815724085E-2</v>
      </c>
      <c r="D596">
        <f>bird_scores!D593*weights!$C$14</f>
        <v>9.4689190513095892E-2</v>
      </c>
      <c r="F596">
        <f>size_scores!C593*weights!$C$15</f>
        <v>0.11758116599999999</v>
      </c>
      <c r="H596">
        <f>estuary_data!Z593*weights!$C$16</f>
        <v>7.8990870948205728E-4</v>
      </c>
      <c r="J596">
        <f>SUM(B596:H596)</f>
        <v>0.26512708703830201</v>
      </c>
      <c r="K596" t="str">
        <f>IF(J596&gt;$N$2/5*4, "1", IF(J596&gt;$N$2/5*3, "2", IF(J596&gt;$N$2/5*2, "3", IF(J596&gt;$N$2/5, "4", "5"))))</f>
        <v>4</v>
      </c>
    </row>
    <row r="597" spans="1:11" x14ac:dyDescent="0.55000000000000004">
      <c r="A597">
        <v>1147</v>
      </c>
      <c r="B597">
        <f>climate_scores!H594*weights!$C$13</f>
        <v>5.457945446884991E-2</v>
      </c>
      <c r="D597">
        <f>bird_scores!D594*weights!$C$14</f>
        <v>8.793054666480403E-2</v>
      </c>
      <c r="F597">
        <f>size_scores!C594*weights!$C$15</f>
        <v>5.8790582999999993E-2</v>
      </c>
      <c r="H597">
        <f>estuary_data!Z594*weights!$C$16</f>
        <v>2.0578589163223688E-3</v>
      </c>
      <c r="J597">
        <f>SUM(B597:H597)</f>
        <v>0.2033584430499763</v>
      </c>
      <c r="K597" t="str">
        <f>IF(J597&gt;$N$2/5*4, "1", IF(J597&gt;$N$2/5*3, "2", IF(J597&gt;$N$2/5*2, "3", IF(J597&gt;$N$2/5, "4", "5"))))</f>
        <v>4</v>
      </c>
    </row>
    <row r="598" spans="1:11" x14ac:dyDescent="0.55000000000000004">
      <c r="A598">
        <v>1148</v>
      </c>
      <c r="B598">
        <f>climate_scores!H595*weights!$C$13</f>
        <v>5.8545974787335794E-2</v>
      </c>
      <c r="D598">
        <f>bird_scores!D595*weights!$C$14</f>
        <v>0.10685771831789573</v>
      </c>
      <c r="F598">
        <f>size_scores!C595*weights!$C$15</f>
        <v>5.8790582999999993E-2</v>
      </c>
      <c r="H598">
        <f>estuary_data!Z595*weights!$C$16</f>
        <v>1.5798174189641146E-3</v>
      </c>
      <c r="J598">
        <f>SUM(B598:H598)</f>
        <v>0.22577409352419564</v>
      </c>
      <c r="K598" t="str">
        <f>IF(J598&gt;$N$2/5*4, "1", IF(J598&gt;$N$2/5*3, "2", IF(J598&gt;$N$2/5*2, "3", IF(J598&gt;$N$2/5, "4", "5"))))</f>
        <v>4</v>
      </c>
    </row>
    <row r="599" spans="1:11" x14ac:dyDescent="0.55000000000000004">
      <c r="A599">
        <v>1150</v>
      </c>
      <c r="B599">
        <f>climate_scores!H597*weights!$C$13</f>
        <v>6.5625351970227466E-2</v>
      </c>
      <c r="D599">
        <f>bird_scores!D597*weights!$C$14</f>
        <v>0.10112952200014519</v>
      </c>
      <c r="F599">
        <f>size_scores!C597*weights!$C$15</f>
        <v>5.8790582999999993E-2</v>
      </c>
      <c r="H599">
        <f>estuary_data!Z597*weights!$C$16</f>
        <v>1.6532972989159319E-3</v>
      </c>
      <c r="J599">
        <f>SUM(B599:H599)</f>
        <v>0.22719875426928859</v>
      </c>
      <c r="K599" t="str">
        <f>IF(J599&gt;$N$2/5*4, "1", IF(J599&gt;$N$2/5*3, "2", IF(J599&gt;$N$2/5*2, "3", IF(J599&gt;$N$2/5, "4", "5"))))</f>
        <v>4</v>
      </c>
    </row>
    <row r="600" spans="1:11" x14ac:dyDescent="0.55000000000000004">
      <c r="A600">
        <v>1154</v>
      </c>
      <c r="B600">
        <f>climate_scores!H601*weights!$C$13</f>
        <v>7.5949963043908469E-2</v>
      </c>
      <c r="D600">
        <f>bird_scores!D601*weights!$C$14</f>
        <v>9.8682456432657287E-2</v>
      </c>
      <c r="F600">
        <f>size_scores!C601*weights!$C$15</f>
        <v>7.8387444000000001E-2</v>
      </c>
      <c r="H600">
        <f>estuary_data!Z601*weights!$C$16</f>
        <v>1.6532972989159319E-3</v>
      </c>
      <c r="J600">
        <f>SUM(B600:H600)</f>
        <v>0.25467316077548174</v>
      </c>
      <c r="K600" t="str">
        <f>IF(J600&gt;$N$2/5*4, "1", IF(J600&gt;$N$2/5*3, "2", IF(J600&gt;$N$2/5*2, "3", IF(J600&gt;$N$2/5, "4", "5"))))</f>
        <v>4</v>
      </c>
    </row>
    <row r="601" spans="1:11" x14ac:dyDescent="0.55000000000000004">
      <c r="A601">
        <v>1155</v>
      </c>
      <c r="B601">
        <f>climate_scores!H602*weights!$C$13</f>
        <v>6.3747880837389401E-2</v>
      </c>
      <c r="D601">
        <f>bird_scores!D602*weights!$C$14</f>
        <v>8.7602312315034403E-2</v>
      </c>
      <c r="F601">
        <f>size_scores!C602*weights!$C$15</f>
        <v>7.8387444000000001E-2</v>
      </c>
      <c r="H601">
        <f>estuary_data!Z602*weights!$C$16</f>
        <v>1.2865880549716103E-3</v>
      </c>
      <c r="J601">
        <f>SUM(B601:H601)</f>
        <v>0.23102422520739543</v>
      </c>
      <c r="K601" t="str">
        <f>IF(J601&gt;$N$2/5*4, "1", IF(J601&gt;$N$2/5*3, "2", IF(J601&gt;$N$2/5*2, "3", IF(J601&gt;$N$2/5, "4", "5"))))</f>
        <v>4</v>
      </c>
    </row>
    <row r="602" spans="1:11" x14ac:dyDescent="0.55000000000000004">
      <c r="A602">
        <v>1156</v>
      </c>
      <c r="B602">
        <f>climate_scores!H603*weights!$C$13</f>
        <v>7.3619634728548045E-2</v>
      </c>
      <c r="D602">
        <f>bird_scores!D603*weights!$C$14</f>
        <v>0.10569495292679348</v>
      </c>
      <c r="F602">
        <f>size_scores!C603*weights!$C$15</f>
        <v>7.8387444000000001E-2</v>
      </c>
      <c r="H602">
        <f>estuary_data!Z603*weights!$C$16</f>
        <v>1.2865880549716103E-3</v>
      </c>
      <c r="J602">
        <f>SUM(B602:H602)</f>
        <v>0.25898861971031317</v>
      </c>
      <c r="K602" t="str">
        <f>IF(J602&gt;$N$2/5*4, "1", IF(J602&gt;$N$2/5*3, "2", IF(J602&gt;$N$2/5*2, "3", IF(J602&gt;$N$2/5, "4", "5"))))</f>
        <v>4</v>
      </c>
    </row>
    <row r="603" spans="1:11" x14ac:dyDescent="0.55000000000000004">
      <c r="A603">
        <v>1158</v>
      </c>
      <c r="B603">
        <f>climate_scores!H605*weights!$C$13</f>
        <v>9.7311851147861825E-2</v>
      </c>
      <c r="D603">
        <f>bird_scores!D605*weights!$C$14</f>
        <v>8.8823842547954057E-2</v>
      </c>
      <c r="F603">
        <f>size_scores!C605*weights!$C$15</f>
        <v>0.13717802699999998</v>
      </c>
      <c r="H603">
        <f>estuary_data!Z605*weights!$C$16</f>
        <v>1.0769218534206761E-3</v>
      </c>
      <c r="J603">
        <f>SUM(B603:H603)</f>
        <v>0.32439064254923655</v>
      </c>
      <c r="K603" t="str">
        <f>IF(J603&gt;$N$2/5*4, "1", IF(J603&gt;$N$2/5*3, "2", IF(J603&gt;$N$2/5*2, "3", IF(J603&gt;$N$2/5, "4", "5"))))</f>
        <v>3</v>
      </c>
    </row>
    <row r="604" spans="1:11" x14ac:dyDescent="0.55000000000000004">
      <c r="A604">
        <v>1159</v>
      </c>
      <c r="B604">
        <f>climate_scores!H606*weights!$C$13</f>
        <v>0.10037597718419079</v>
      </c>
      <c r="D604">
        <f>bird_scores!D606*weights!$C$14</f>
        <v>9.8968103166099525E-2</v>
      </c>
      <c r="F604">
        <f>size_scores!C606*weights!$C$15</f>
        <v>5.8790582999999993E-2</v>
      </c>
      <c r="H604">
        <f>estuary_data!Z606*weights!$C$16</f>
        <v>3.9331072584736964E-3</v>
      </c>
      <c r="J604">
        <f>SUM(B604:H604)</f>
        <v>0.26206777060876402</v>
      </c>
      <c r="K604" t="str">
        <f>IF(J604&gt;$N$2/5*4, "1", IF(J604&gt;$N$2/5*3, "2", IF(J604&gt;$N$2/5*2, "3", IF(J604&gt;$N$2/5, "4", "5"))))</f>
        <v>4</v>
      </c>
    </row>
    <row r="605" spans="1:11" x14ac:dyDescent="0.55000000000000004">
      <c r="A605">
        <v>1161</v>
      </c>
      <c r="B605">
        <f>climate_scores!H608*weights!$C$13</f>
        <v>7.3351663673186754E-2</v>
      </c>
      <c r="D605">
        <f>bird_scores!D608*weights!$C$14</f>
        <v>8.5739887098322282E-2</v>
      </c>
      <c r="F605">
        <f>size_scores!C608*weights!$C$15</f>
        <v>9.7984304999999994E-2</v>
      </c>
      <c r="H605">
        <f>estuary_data!Z608*weights!$C$16</f>
        <v>1.6788351901519311E-3</v>
      </c>
      <c r="J605">
        <f>SUM(B605:H605)</f>
        <v>0.25875469096166098</v>
      </c>
      <c r="K605" t="str">
        <f>IF(J605&gt;$N$2/5*4, "1", IF(J605&gt;$N$2/5*3, "2", IF(J605&gt;$N$2/5*2, "3", IF(J605&gt;$N$2/5, "4", "5"))))</f>
        <v>4</v>
      </c>
    </row>
    <row r="606" spans="1:11" x14ac:dyDescent="0.55000000000000004">
      <c r="A606">
        <v>1163</v>
      </c>
      <c r="B606">
        <f>climate_scores!H610*weights!$C$13</f>
        <v>7.1197925484694197E-2</v>
      </c>
      <c r="D606">
        <f>bird_scores!D610*weights!$C$14</f>
        <v>7.5267302710875617E-2</v>
      </c>
      <c r="F606">
        <f>size_scores!C610*weights!$C$15</f>
        <v>0.13717802699999998</v>
      </c>
      <c r="H606">
        <f>estuary_data!Z610*weights!$C$16</f>
        <v>1.6788351901519311E-3</v>
      </c>
      <c r="J606">
        <f>SUM(B606:H606)</f>
        <v>0.28532209038572171</v>
      </c>
      <c r="K606" t="str">
        <f>IF(J606&gt;$N$2/5*4, "1", IF(J606&gt;$N$2/5*3, "2", IF(J606&gt;$N$2/5*2, "3", IF(J606&gt;$N$2/5, "4", "5"))))</f>
        <v>4</v>
      </c>
    </row>
    <row r="607" spans="1:11" x14ac:dyDescent="0.55000000000000004">
      <c r="A607">
        <v>1164</v>
      </c>
      <c r="B607">
        <f>climate_scores!H611*weights!$C$13</f>
        <v>6.9496957884957702E-2</v>
      </c>
      <c r="D607">
        <f>bird_scores!D611*weights!$C$14</f>
        <v>0.1057943701321391</v>
      </c>
      <c r="F607">
        <f>size_scores!C611*weights!$C$15</f>
        <v>9.7984304999999994E-2</v>
      </c>
      <c r="H607">
        <f>estuary_data!Z611*weights!$C$16</f>
        <v>2.7782493854726684E-2</v>
      </c>
      <c r="J607">
        <f>SUM(B607:H607)</f>
        <v>0.30105812687182348</v>
      </c>
      <c r="K607" t="str">
        <f>IF(J607&gt;$N$2/5*4, "1", IF(J607&gt;$N$2/5*3, "2", IF(J607&gt;$N$2/5*2, "3", IF(J607&gt;$N$2/5, "4", "5"))))</f>
        <v>4</v>
      </c>
    </row>
    <row r="608" spans="1:11" x14ac:dyDescent="0.55000000000000004">
      <c r="A608">
        <v>1165</v>
      </c>
      <c r="B608">
        <f>climate_scores!H612*weights!$C$13</f>
        <v>6.4121110121871452E-2</v>
      </c>
      <c r="D608">
        <f>bird_scores!D612*weights!$C$14</f>
        <v>0.10301573125258129</v>
      </c>
      <c r="F608">
        <f>size_scores!C612*weights!$C$15</f>
        <v>3.9193722E-2</v>
      </c>
      <c r="H608">
        <f>estuary_data!Z612*weights!$C$16</f>
        <v>2.9208760918926577E-2</v>
      </c>
      <c r="J608">
        <f>SUM(B608:H608)</f>
        <v>0.23553932429337929</v>
      </c>
      <c r="K608" t="str">
        <f>IF(J608&gt;$N$2/5*4, "1", IF(J608&gt;$N$2/5*3, "2", IF(J608&gt;$N$2/5*2, "3", IF(J608&gt;$N$2/5, "4", "5"))))</f>
        <v>4</v>
      </c>
    </row>
    <row r="609" spans="1:11" x14ac:dyDescent="0.55000000000000004">
      <c r="A609">
        <v>2002</v>
      </c>
      <c r="B609">
        <f>climate_scores!H615*weights!$C$13</f>
        <v>5.5957260955486074E-2</v>
      </c>
      <c r="D609">
        <f>bird_scores!D615*weights!$C$14</f>
        <v>8.984521821111309E-2</v>
      </c>
      <c r="F609">
        <f>size_scores!C615*weights!$C$15</f>
        <v>3.9193722E-2</v>
      </c>
      <c r="H609">
        <f>estuary_data!Z615*weights!$C$16</f>
        <v>3.9331072584736964E-3</v>
      </c>
      <c r="J609">
        <f>SUM(B609:H609)</f>
        <v>0.18892930842507286</v>
      </c>
      <c r="K609" t="str">
        <f>IF(J609&gt;$N$2/5*4, "1", IF(J609&gt;$N$2/5*3, "2", IF(J609&gt;$N$2/5*2, "3", IF(J609&gt;$N$2/5, "4", "5"))))</f>
        <v>4</v>
      </c>
    </row>
    <row r="610" spans="1:11" x14ac:dyDescent="0.55000000000000004">
      <c r="A610">
        <v>2004</v>
      </c>
      <c r="B610">
        <f>climate_scores!H617*weights!$C$13</f>
        <v>6.0217348929790873E-2</v>
      </c>
      <c r="D610">
        <f>bird_scores!D617*weights!$C$14</f>
        <v>0.10812987802906777</v>
      </c>
      <c r="F610">
        <f>size_scores!C617*weights!$C$15</f>
        <v>5.8790582999999993E-2</v>
      </c>
      <c r="H610">
        <f>estuary_data!Z617*weights!$C$16</f>
        <v>3.9331072584736964E-3</v>
      </c>
      <c r="J610">
        <f>SUM(B610:H610)</f>
        <v>0.23107091721733233</v>
      </c>
      <c r="K610" t="str">
        <f>IF(J610&gt;$N$2/5*4, "1", IF(J610&gt;$N$2/5*3, "2", IF(J610&gt;$N$2/5*2, "3", IF(J610&gt;$N$2/5, "4", "5"))))</f>
        <v>4</v>
      </c>
    </row>
    <row r="611" spans="1:11" x14ac:dyDescent="0.55000000000000004">
      <c r="A611">
        <v>2006</v>
      </c>
      <c r="B611">
        <f>climate_scores!H619*weights!$C$13</f>
        <v>6.2330851988063214E-2</v>
      </c>
      <c r="D611">
        <f>bird_scores!D619*weights!$C$14</f>
        <v>9.2166273673468108E-2</v>
      </c>
      <c r="F611">
        <f>size_scores!C619*weights!$C$15</f>
        <v>0.17637174899999999</v>
      </c>
      <c r="H611">
        <f>estuary_data!Z619*weights!$C$16</f>
        <v>6.1389769378293038E-4</v>
      </c>
      <c r="J611">
        <f>SUM(B611:H611)</f>
        <v>0.33148277235531426</v>
      </c>
      <c r="K611" t="str">
        <f>IF(J611&gt;$N$2/5*4, "1", IF(J611&gt;$N$2/5*3, "2", IF(J611&gt;$N$2/5*2, "3", IF(J611&gt;$N$2/5, "4", "5"))))</f>
        <v>3</v>
      </c>
    </row>
    <row r="612" spans="1:11" x14ac:dyDescent="0.55000000000000004">
      <c r="A612">
        <v>2008</v>
      </c>
      <c r="B612">
        <f>climate_scores!H621*weights!$C$13</f>
        <v>5.7475677958134248E-2</v>
      </c>
      <c r="D612">
        <f>bird_scores!D621*weights!$C$14</f>
        <v>9.5730013802718936E-2</v>
      </c>
      <c r="F612">
        <f>size_scores!C621*weights!$C$15</f>
        <v>5.8790582999999993E-2</v>
      </c>
      <c r="H612">
        <f>estuary_data!Z621*weights!$C$16</f>
        <v>4.2972838564805157E-3</v>
      </c>
      <c r="J612">
        <f>SUM(B612:H612)</f>
        <v>0.21629355861733371</v>
      </c>
      <c r="K612" t="str">
        <f>IF(J612&gt;$N$2/5*4, "1", IF(J612&gt;$N$2/5*3, "2", IF(J612&gt;$N$2/5*2, "3", IF(J612&gt;$N$2/5, "4", "5"))))</f>
        <v>4</v>
      </c>
    </row>
    <row r="613" spans="1:11" x14ac:dyDescent="0.55000000000000004">
      <c r="A613">
        <v>2011</v>
      </c>
      <c r="B613">
        <f>climate_scores!H624*weights!$C$13</f>
        <v>3.7296103009873516E-2</v>
      </c>
      <c r="D613">
        <f>bird_scores!D624*weights!$C$14</f>
        <v>8.6848213625073403E-2</v>
      </c>
      <c r="F613">
        <f>size_scores!C624*weights!$C$15</f>
        <v>0.13717802699999998</v>
      </c>
      <c r="H613">
        <f>estuary_data!Z624*weights!$C$16</f>
        <v>2.1486419282402578E-3</v>
      </c>
      <c r="J613">
        <f>SUM(B613:H613)</f>
        <v>0.26347098556318715</v>
      </c>
      <c r="K613" t="str">
        <f>IF(J613&gt;$N$2/5*4, "1", IF(J613&gt;$N$2/5*3, "2", IF(J613&gt;$N$2/5*2, "3", IF(J613&gt;$N$2/5, "4", "5"))))</f>
        <v>4</v>
      </c>
    </row>
    <row r="614" spans="1:11" x14ac:dyDescent="0.55000000000000004">
      <c r="A614">
        <v>2012</v>
      </c>
      <c r="B614">
        <f>climate_scores!H625*weights!$C$13</f>
        <v>3.7815574024713534E-2</v>
      </c>
      <c r="D614">
        <f>bird_scores!D625*weights!$C$14</f>
        <v>9.5883795675289887E-2</v>
      </c>
      <c r="F614">
        <f>size_scores!C625*weights!$C$15</f>
        <v>3.9193722E-2</v>
      </c>
      <c r="H614">
        <f>estuary_data!Z625*weights!$C$16</f>
        <v>4.2972838564805157E-3</v>
      </c>
      <c r="J614">
        <f>SUM(B614:H614)</f>
        <v>0.17719037555648395</v>
      </c>
      <c r="K614" t="str">
        <f>IF(J614&gt;$N$2/5*4, "1", IF(J614&gt;$N$2/5*3, "2", IF(J614&gt;$N$2/5*2, "3", IF(J614&gt;$N$2/5, "4", "5"))))</f>
        <v>4</v>
      </c>
    </row>
    <row r="615" spans="1:11" x14ac:dyDescent="0.55000000000000004">
      <c r="A615">
        <v>2013</v>
      </c>
      <c r="B615">
        <f>climate_scores!H626*weights!$C$13</f>
        <v>3.8234677409448387E-2</v>
      </c>
      <c r="D615">
        <f>bird_scores!D626*weights!$C$14</f>
        <v>8.7605256154897573E-2</v>
      </c>
      <c r="F615">
        <f>size_scores!C626*weights!$C$15</f>
        <v>1.9596861E-2</v>
      </c>
      <c r="H615">
        <f>estuary_data!Z626*weights!$C$16</f>
        <v>4.2972838564805157E-3</v>
      </c>
      <c r="J615">
        <f>SUM(B615:H615)</f>
        <v>0.14973407842082648</v>
      </c>
      <c r="K615" t="str">
        <f>IF(J615&gt;$N$2/5*4, "1", IF(J615&gt;$N$2/5*3, "2", IF(J615&gt;$N$2/5*2, "3", IF(J615&gt;$N$2/5, "4", "5"))))</f>
        <v>5</v>
      </c>
    </row>
    <row r="616" spans="1:11" x14ac:dyDescent="0.55000000000000004">
      <c r="A616">
        <v>2015</v>
      </c>
      <c r="B616">
        <f>climate_scores!H628*weights!$C$13</f>
        <v>3.7245439251900339E-2</v>
      </c>
      <c r="D616">
        <f>bird_scores!D628*weights!$C$14</f>
        <v>0.10051943973288219</v>
      </c>
      <c r="F616">
        <f>size_scores!C628*weights!$C$15</f>
        <v>3.9193722E-2</v>
      </c>
      <c r="H616">
        <f>estuary_data!Z628*weights!$C$16</f>
        <v>4.2972838564805157E-3</v>
      </c>
      <c r="J616">
        <f>SUM(B616:H616)</f>
        <v>0.18125588484126301</v>
      </c>
      <c r="K616" t="str">
        <f>IF(J616&gt;$N$2/5*4, "1", IF(J616&gt;$N$2/5*3, "2", IF(J616&gt;$N$2/5*2, "3", IF(J616&gt;$N$2/5, "4", "5"))))</f>
        <v>4</v>
      </c>
    </row>
    <row r="617" spans="1:11" x14ac:dyDescent="0.55000000000000004">
      <c r="A617">
        <v>2016</v>
      </c>
      <c r="B617">
        <f>climate_scores!H629*weights!$C$13</f>
        <v>3.6562215351829817E-2</v>
      </c>
      <c r="D617">
        <f>bird_scores!D629*weights!$C$14</f>
        <v>8.8821230633935197E-2</v>
      </c>
      <c r="F617">
        <f>size_scores!C629*weights!$C$15</f>
        <v>9.7984304999999994E-2</v>
      </c>
      <c r="H617">
        <f>estuary_data!Z629*weights!$C$16</f>
        <v>2.3307302272436718E-3</v>
      </c>
      <c r="J617">
        <f>SUM(B617:H617)</f>
        <v>0.22569848121300867</v>
      </c>
      <c r="K617" t="str">
        <f>IF(J617&gt;$N$2/5*4, "1", IF(J617&gt;$N$2/5*3, "2", IF(J617&gt;$N$2/5*2, "3", IF(J617&gt;$N$2/5, "4", "5"))))</f>
        <v>4</v>
      </c>
    </row>
    <row r="618" spans="1:11" x14ac:dyDescent="0.55000000000000004">
      <c r="A618">
        <v>2017</v>
      </c>
      <c r="B618">
        <f>climate_scores!H630*weights!$C$13</f>
        <v>3.4818716515866883E-2</v>
      </c>
      <c r="D618">
        <f>bird_scores!D630*weights!$C$14</f>
        <v>8.2874618289319038E-2</v>
      </c>
      <c r="F618">
        <f>size_scores!C630*weights!$C$15</f>
        <v>9.7984304999999994E-2</v>
      </c>
      <c r="H618">
        <f>estuary_data!Z630*weights!$C$16</f>
        <v>2.3307302272436718E-3</v>
      </c>
      <c r="J618">
        <f>SUM(B618:H618)</f>
        <v>0.21800837003242959</v>
      </c>
      <c r="K618" t="str">
        <f>IF(J618&gt;$N$2/5*4, "1", IF(J618&gt;$N$2/5*3, "2", IF(J618&gt;$N$2/5*2, "3", IF(J618&gt;$N$2/5, "4", "5"))))</f>
        <v>4</v>
      </c>
    </row>
    <row r="619" spans="1:11" x14ac:dyDescent="0.55000000000000004">
      <c r="A619">
        <v>2018</v>
      </c>
      <c r="B619">
        <f>climate_scores!H631*weights!$C$13</f>
        <v>3.3762393386537221E-2</v>
      </c>
      <c r="D619">
        <f>bird_scores!D631*weights!$C$14</f>
        <v>9.4164234241353242E-2</v>
      </c>
      <c r="F619">
        <f>size_scores!C631*weights!$C$15</f>
        <v>3.9193722E-2</v>
      </c>
      <c r="H619">
        <f>estuary_data!Z631*weights!$C$16</f>
        <v>4.6614604544873341E-3</v>
      </c>
      <c r="J619">
        <f>SUM(B619:H619)</f>
        <v>0.17178181008237781</v>
      </c>
      <c r="K619" t="str">
        <f>IF(J619&gt;$N$2/5*4, "1", IF(J619&gt;$N$2/5*3, "2", IF(J619&gt;$N$2/5*2, "3", IF(J619&gt;$N$2/5, "4", "5"))))</f>
        <v>4</v>
      </c>
    </row>
    <row r="620" spans="1:11" x14ac:dyDescent="0.55000000000000004">
      <c r="A620">
        <v>2019</v>
      </c>
      <c r="B620">
        <f>climate_scores!H632*weights!$C$13</f>
        <v>3.353059398403032E-2</v>
      </c>
      <c r="D620">
        <f>bird_scores!D632*weights!$C$14</f>
        <v>9.0756450391926452E-2</v>
      </c>
      <c r="F620">
        <f>size_scores!C632*weights!$C$15</f>
        <v>3.9193722E-2</v>
      </c>
      <c r="H620">
        <f>estuary_data!Z632*weights!$C$16</f>
        <v>4.6614604544873341E-3</v>
      </c>
      <c r="J620">
        <f>SUM(B620:H620)</f>
        <v>0.16814222683044411</v>
      </c>
      <c r="K620" t="str">
        <f>IF(J620&gt;$N$2/5*4, "1", IF(J620&gt;$N$2/5*3, "2", IF(J620&gt;$N$2/5*2, "3", IF(J620&gt;$N$2/5, "4", "5"))))</f>
        <v>4</v>
      </c>
    </row>
    <row r="621" spans="1:11" x14ac:dyDescent="0.55000000000000004">
      <c r="A621">
        <v>2035</v>
      </c>
      <c r="B621">
        <f>climate_scores!H648*weights!$C$13</f>
        <v>3.6846669766455779E-2</v>
      </c>
      <c r="D621">
        <f>bird_scores!D648*weights!$C$14</f>
        <v>7.4045663360084168E-2</v>
      </c>
      <c r="F621">
        <f>size_scores!C648*weights!$C$15</f>
        <v>9.7984304999999994E-2</v>
      </c>
      <c r="H621">
        <f>estuary_data!Z648*weights!$C$16</f>
        <v>4.9528017328927965E-3</v>
      </c>
      <c r="J621">
        <f>SUM(B621:H621)</f>
        <v>0.21382943985943276</v>
      </c>
      <c r="K621" t="str">
        <f>IF(J621&gt;$N$2/5*4, "1", IF(J621&gt;$N$2/5*3, "2", IF(J621&gt;$N$2/5*2, "3", IF(J621&gt;$N$2/5, "4", "5"))))</f>
        <v>4</v>
      </c>
    </row>
    <row r="622" spans="1:11" x14ac:dyDescent="0.55000000000000004">
      <c r="A622">
        <v>2037</v>
      </c>
      <c r="B622">
        <f>climate_scores!H650*weights!$C$13</f>
        <v>4.3603083863352363E-2</v>
      </c>
      <c r="D622">
        <f>bird_scores!D650*weights!$C$14</f>
        <v>7.735972415220127E-2</v>
      </c>
      <c r="F622">
        <f>size_scores!C650*weights!$C$15</f>
        <v>0.11758116599999999</v>
      </c>
      <c r="H622">
        <f>estuary_data!Z650*weights!$C$16</f>
        <v>2.4855052813965665E-3</v>
      </c>
      <c r="J622">
        <f>SUM(B622:H622)</f>
        <v>0.24102947929695018</v>
      </c>
      <c r="K622" t="str">
        <f>IF(J622&gt;$N$2/5*4, "1", IF(J622&gt;$N$2/5*3, "2", IF(J622&gt;$N$2/5*2, "3", IF(J622&gt;$N$2/5, "4", "5"))))</f>
        <v>4</v>
      </c>
    </row>
    <row r="623" spans="1:11" x14ac:dyDescent="0.55000000000000004">
      <c r="A623">
        <v>2038</v>
      </c>
      <c r="B623">
        <f>climate_scores!H651*weights!$C$13</f>
        <v>6.1143711387498891E-2</v>
      </c>
      <c r="D623">
        <f>bird_scores!D651*weights!$C$14</f>
        <v>8.8432964507271339E-2</v>
      </c>
      <c r="F623">
        <f>size_scores!C651*weights!$C$15</f>
        <v>1.9596861E-2</v>
      </c>
      <c r="H623">
        <f>estuary_data!Z651*weights!$C$16</f>
        <v>4.9710105627931434E-3</v>
      </c>
      <c r="J623">
        <f>SUM(B623:H623)</f>
        <v>0.17414454745756336</v>
      </c>
      <c r="K623" t="str">
        <f>IF(J623&gt;$N$2/5*4, "1", IF(J623&gt;$N$2/5*3, "2", IF(J623&gt;$N$2/5*2, "3", IF(J623&gt;$N$2/5, "4", "5"))))</f>
        <v>4</v>
      </c>
    </row>
    <row r="624" spans="1:11" x14ac:dyDescent="0.55000000000000004">
      <c r="A624">
        <v>2043</v>
      </c>
      <c r="B624">
        <f>climate_scores!H656*weights!$C$13</f>
        <v>3.5052499531416752E-2</v>
      </c>
      <c r="D624">
        <f>bird_scores!D656*weights!$C$14</f>
        <v>8.5760493522983372E-2</v>
      </c>
      <c r="F624">
        <f>size_scores!C656*weights!$C$15</f>
        <v>5.8790582999999993E-2</v>
      </c>
      <c r="H624">
        <f>estuary_data!Z656*weights!$C$16</f>
        <v>4.9892193926934798E-3</v>
      </c>
      <c r="J624">
        <f>SUM(B624:H624)</f>
        <v>0.18459279544709362</v>
      </c>
      <c r="K624" t="str">
        <f>IF(J624&gt;$N$2/5*4, "1", IF(J624&gt;$N$2/5*3, "2", IF(J624&gt;$N$2/5*2, "3", IF(J624&gt;$N$2/5, "4", "5"))))</f>
        <v>4</v>
      </c>
    </row>
    <row r="625" spans="1:11" x14ac:dyDescent="0.55000000000000004">
      <c r="A625">
        <v>2045</v>
      </c>
      <c r="B625">
        <f>climate_scores!H658*weights!$C$13</f>
        <v>3.6984683266848208E-2</v>
      </c>
      <c r="D625">
        <f>bird_scores!D658*weights!$C$14</f>
        <v>9.3022450730029793E-2</v>
      </c>
      <c r="F625">
        <f>size_scores!C658*weights!$C$15</f>
        <v>0.17637174899999999</v>
      </c>
      <c r="H625">
        <f>estuary_data!Z658*weights!$C$16</f>
        <v>3.3261462617956562E-4</v>
      </c>
      <c r="J625">
        <f>SUM(B625:H625)</f>
        <v>0.30671149762305755</v>
      </c>
      <c r="K625" t="str">
        <f>IF(J625&gt;$N$2/5*4, "1", IF(J625&gt;$N$2/5*3, "2", IF(J625&gt;$N$2/5*2, "3", IF(J625&gt;$N$2/5, "4", "5"))))</f>
        <v>4</v>
      </c>
    </row>
    <row r="626" spans="1:11" x14ac:dyDescent="0.55000000000000004">
      <c r="A626">
        <v>2046</v>
      </c>
      <c r="B626">
        <f>climate_scores!H659*weights!$C$13</f>
        <v>3.4565589371593063E-2</v>
      </c>
      <c r="D626">
        <f>bird_scores!D659*weights!$C$14</f>
        <v>0.10298033260950601</v>
      </c>
      <c r="F626">
        <f>size_scores!C659*weights!$C$15</f>
        <v>1.9596861E-2</v>
      </c>
      <c r="H626">
        <f>estuary_data!Z659*weights!$C$16</f>
        <v>4.9892193926934798E-3</v>
      </c>
      <c r="J626">
        <f>SUM(B626:H626)</f>
        <v>0.16213200237379255</v>
      </c>
      <c r="K626" t="str">
        <f>IF(J626&gt;$N$2/5*4, "1", IF(J626&gt;$N$2/5*3, "2", IF(J626&gt;$N$2/5*2, "3", IF(J626&gt;$N$2/5, "4", "5"))))</f>
        <v>4</v>
      </c>
    </row>
    <row r="627" spans="1:11" x14ac:dyDescent="0.55000000000000004">
      <c r="A627">
        <v>2049</v>
      </c>
      <c r="B627">
        <f>climate_scores!H662*weights!$C$13</f>
        <v>3.5521072135506315E-2</v>
      </c>
      <c r="D627">
        <f>bird_scores!D662*weights!$C$14</f>
        <v>7.9123225322843979E-2</v>
      </c>
      <c r="F627">
        <f>size_scores!C662*weights!$C$15</f>
        <v>3.9193722E-2</v>
      </c>
      <c r="H627">
        <f>estuary_data!Z662*weights!$C$16</f>
        <v>5.7880596684576928E-3</v>
      </c>
      <c r="J627">
        <f>SUM(B627:H627)</f>
        <v>0.15962607912680798</v>
      </c>
      <c r="K627" t="str">
        <f>IF(J627&gt;$N$2/5*4, "1", IF(J627&gt;$N$2/5*3, "2", IF(J627&gt;$N$2/5*2, "3", IF(J627&gt;$N$2/5, "4", "5"))))</f>
        <v>4</v>
      </c>
    </row>
    <row r="628" spans="1:11" x14ac:dyDescent="0.55000000000000004">
      <c r="A628">
        <v>2051</v>
      </c>
      <c r="B628">
        <f>climate_scores!H664*weights!$C$13</f>
        <v>3.6216705138053862E-2</v>
      </c>
      <c r="D628">
        <f>bird_scores!D664*weights!$C$14</f>
        <v>0.10017611979189926</v>
      </c>
      <c r="F628">
        <f>size_scores!C664*weights!$C$15</f>
        <v>0.156774888</v>
      </c>
      <c r="H628">
        <f>estuary_data!Z664*weights!$C$16</f>
        <v>8.2686566692252684E-4</v>
      </c>
      <c r="J628">
        <f>SUM(B628:H628)</f>
        <v>0.29399457859687567</v>
      </c>
      <c r="K628" t="str">
        <f>IF(J628&gt;$N$2/5*4, "1", IF(J628&gt;$N$2/5*3, "2", IF(J628&gt;$N$2/5*2, "3", IF(J628&gt;$N$2/5, "4", "5"))))</f>
        <v>4</v>
      </c>
    </row>
    <row r="629" spans="1:11" x14ac:dyDescent="0.55000000000000004">
      <c r="A629">
        <v>2054</v>
      </c>
      <c r="B629">
        <f>climate_scores!H667*weights!$C$13</f>
        <v>3.5118250487177975E-2</v>
      </c>
      <c r="D629">
        <f>bird_scores!D667*weights!$C$14</f>
        <v>6.0916852407649123E-2</v>
      </c>
      <c r="F629">
        <f>size_scores!C667*weights!$C$15</f>
        <v>9.7984304999999994E-2</v>
      </c>
      <c r="H629">
        <f>estuary_data!Z667*weights!$C$16</f>
        <v>1.9293532228192307E-3</v>
      </c>
      <c r="J629">
        <f>SUM(B629:H629)</f>
        <v>0.19594876111764631</v>
      </c>
      <c r="K629" t="str">
        <f>IF(J629&gt;$N$2/5*4, "1", IF(J629&gt;$N$2/5*3, "2", IF(J629&gt;$N$2/5*2, "3", IF(J629&gt;$N$2/5, "4", "5"))))</f>
        <v>4</v>
      </c>
    </row>
    <row r="630" spans="1:11" x14ac:dyDescent="0.55000000000000004">
      <c r="A630">
        <v>2059</v>
      </c>
      <c r="B630">
        <f>climate_scores!H672*weights!$C$13</f>
        <v>3.2812888567934219E-2</v>
      </c>
      <c r="D630">
        <f>bird_scores!D672*weights!$C$14</f>
        <v>8.3169841943438322E-2</v>
      </c>
      <c r="F630">
        <f>size_scores!C672*weights!$C$15</f>
        <v>7.8387444000000001E-2</v>
      </c>
      <c r="H630">
        <f>estuary_data!Z672*weights!$C$16</f>
        <v>2.5128185262470763E-3</v>
      </c>
      <c r="J630">
        <f>SUM(B630:H630)</f>
        <v>0.19688299303761961</v>
      </c>
      <c r="K630" t="str">
        <f>IF(J630&gt;$N$2/5*4, "1", IF(J630&gt;$N$2/5*3, "2", IF(J630&gt;$N$2/5*2, "3", IF(J630&gt;$N$2/5, "4", "5"))))</f>
        <v>4</v>
      </c>
    </row>
    <row r="631" spans="1:11" x14ac:dyDescent="0.55000000000000004">
      <c r="A631">
        <v>2061</v>
      </c>
      <c r="B631">
        <f>climate_scores!H674*weights!$C$13</f>
        <v>2.8783708122800806E-2</v>
      </c>
      <c r="D631">
        <f>bird_scores!D674*weights!$C$14</f>
        <v>6.935434255095814E-2</v>
      </c>
      <c r="F631">
        <f>size_scores!C674*weights!$C$15</f>
        <v>0.11758116599999999</v>
      </c>
      <c r="H631">
        <f>estuary_data!Z674*weights!$C$16</f>
        <v>2.5128185262470763E-3</v>
      </c>
      <c r="J631">
        <f>SUM(B631:H631)</f>
        <v>0.218232035200006</v>
      </c>
      <c r="K631" t="str">
        <f>IF(J631&gt;$N$2/5*4, "1", IF(J631&gt;$N$2/5*3, "2", IF(J631&gt;$N$2/5*2, "3", IF(J631&gt;$N$2/5, "4", "5"))))</f>
        <v>4</v>
      </c>
    </row>
    <row r="632" spans="1:11" x14ac:dyDescent="0.55000000000000004">
      <c r="A632">
        <v>2062</v>
      </c>
      <c r="B632">
        <f>climate_scores!H675*weights!$C$13</f>
        <v>2.8372956853846946E-2</v>
      </c>
      <c r="D632">
        <f>bird_scores!D675*weights!$C$14</f>
        <v>6.2168714977450794E-2</v>
      </c>
      <c r="F632">
        <f>size_scores!C675*weights!$C$15</f>
        <v>0.11758116599999999</v>
      </c>
      <c r="H632">
        <f>estuary_data!Z675*weights!$C$16</f>
        <v>1.2564092631235429E-3</v>
      </c>
      <c r="J632">
        <f>SUM(B632:H632)</f>
        <v>0.20937924709442127</v>
      </c>
      <c r="K632" t="str">
        <f>IF(J632&gt;$N$2/5*4, "1", IF(J632&gt;$N$2/5*3, "2", IF(J632&gt;$N$2/5*2, "3", IF(J632&gt;$N$2/5, "4", "5"))))</f>
        <v>4</v>
      </c>
    </row>
    <row r="633" spans="1:11" x14ac:dyDescent="0.55000000000000004">
      <c r="A633">
        <v>2068</v>
      </c>
      <c r="B633">
        <f>climate_scores!H681*weights!$C$13</f>
        <v>2.9127560512575076E-2</v>
      </c>
      <c r="D633">
        <f>bird_scores!D681*weights!$C$14</f>
        <v>0.10373625246584964</v>
      </c>
      <c r="F633">
        <f>size_scores!C681*weights!$C$15</f>
        <v>9.7984304999999994E-2</v>
      </c>
      <c r="H633">
        <f>estuary_data!Z681*weights!$C$16</f>
        <v>2.3900398184443913E-3</v>
      </c>
      <c r="J633">
        <f>SUM(B633:H633)</f>
        <v>0.23323815779686907</v>
      </c>
      <c r="K633" t="str">
        <f>IF(J633&gt;$N$2/5*4, "1", IF(J633&gt;$N$2/5*3, "2", IF(J633&gt;$N$2/5*2, "3", IF(J633&gt;$N$2/5, "4", "5"))))</f>
        <v>4</v>
      </c>
    </row>
    <row r="634" spans="1:11" x14ac:dyDescent="0.55000000000000004">
      <c r="A634">
        <v>2069</v>
      </c>
      <c r="B634">
        <f>climate_scores!H682*weights!$C$13</f>
        <v>3.6535670443403757E-2</v>
      </c>
      <c r="D634">
        <f>bird_scores!D682*weights!$C$14</f>
        <v>9.9736332864894514E-2</v>
      </c>
      <c r="F634">
        <f>size_scores!C682*weights!$C$15</f>
        <v>0.11758116599999999</v>
      </c>
      <c r="H634">
        <f>estuary_data!Z682*weights!$C$16</f>
        <v>1.5933598789629275E-3</v>
      </c>
      <c r="J634">
        <f>SUM(B634:H634)</f>
        <v>0.25544652918726118</v>
      </c>
      <c r="K634" t="str">
        <f>IF(J634&gt;$N$2/5*4, "1", IF(J634&gt;$N$2/5*3, "2", IF(J634&gt;$N$2/5*2, "3", IF(J634&gt;$N$2/5, "4", "5"))))</f>
        <v>4</v>
      </c>
    </row>
    <row r="635" spans="1:11" x14ac:dyDescent="0.55000000000000004">
      <c r="A635">
        <v>2070</v>
      </c>
      <c r="B635">
        <f>climate_scores!H683*weights!$C$13</f>
        <v>3.2925174502352557E-2</v>
      </c>
      <c r="D635">
        <f>bird_scores!D683*weights!$C$14</f>
        <v>0.10812252168914585</v>
      </c>
      <c r="F635">
        <f>size_scores!C683*weights!$C$15</f>
        <v>0.13717802699999998</v>
      </c>
      <c r="H635">
        <f>estuary_data!Z683*weights!$C$16</f>
        <v>7.9667993948146279E-4</v>
      </c>
      <c r="J635">
        <f>SUM(B635:H635)</f>
        <v>0.27902240313097987</v>
      </c>
      <c r="K635" t="str">
        <f>IF(J635&gt;$N$2/5*4, "1", IF(J635&gt;$N$2/5*3, "2", IF(J635&gt;$N$2/5*2, "3", IF(J635&gt;$N$2/5, "4", "5"))))</f>
        <v>4</v>
      </c>
    </row>
    <row r="636" spans="1:11" x14ac:dyDescent="0.55000000000000004">
      <c r="A636">
        <v>2071</v>
      </c>
      <c r="B636">
        <f>climate_scores!H684*weights!$C$13</f>
        <v>3.4108685539110929E-2</v>
      </c>
      <c r="D636">
        <f>bird_scores!D684*weights!$C$14</f>
        <v>9.6799964385425472E-2</v>
      </c>
      <c r="F636">
        <f>size_scores!C684*weights!$C$15</f>
        <v>5.8790582999999993E-2</v>
      </c>
      <c r="H636">
        <f>estuary_data!Z684*weights!$C$16</f>
        <v>4.7800796368887826E-3</v>
      </c>
      <c r="J636">
        <f>SUM(B636:H636)</f>
        <v>0.19447931256142517</v>
      </c>
      <c r="K636" t="str">
        <f>IF(J636&gt;$N$2/5*4, "1", IF(J636&gt;$N$2/5*3, "2", IF(J636&gt;$N$2/5*2, "3", IF(J636&gt;$N$2/5, "4", "5"))))</f>
        <v>4</v>
      </c>
    </row>
    <row r="637" spans="1:11" x14ac:dyDescent="0.55000000000000004">
      <c r="A637">
        <v>2072</v>
      </c>
      <c r="B637">
        <f>climate_scores!H685*weights!$C$13</f>
        <v>3.6387562048228114E-2</v>
      </c>
      <c r="D637">
        <f>bird_scores!D685*weights!$C$14</f>
        <v>0.10509823385883808</v>
      </c>
      <c r="F637">
        <f>size_scores!C685*weights!$C$15</f>
        <v>0.13717802699999998</v>
      </c>
      <c r="H637">
        <f>estuary_data!Z685*weights!$C$16</f>
        <v>9.5601592737775559E-4</v>
      </c>
      <c r="J637">
        <f>SUM(B637:H637)</f>
        <v>0.27961983883444391</v>
      </c>
      <c r="K637" t="str">
        <f>IF(J637&gt;$N$2/5*4, "1", IF(J637&gt;$N$2/5*3, "2", IF(J637&gt;$N$2/5*2, "3", IF(J637&gt;$N$2/5, "4", "5"))))</f>
        <v>4</v>
      </c>
    </row>
    <row r="638" spans="1:11" x14ac:dyDescent="0.55000000000000004">
      <c r="A638">
        <v>2073</v>
      </c>
      <c r="B638">
        <f>climate_scores!H686*weights!$C$13</f>
        <v>3.9883602135301559E-2</v>
      </c>
      <c r="D638">
        <f>bird_scores!D686*weights!$C$14</f>
        <v>7.61150705746267E-2</v>
      </c>
      <c r="F638">
        <f>size_scores!C686*weights!$C$15</f>
        <v>0.13717802699999998</v>
      </c>
      <c r="H638">
        <f>estuary_data!Z686*weights!$C$16</f>
        <v>5.9750995461109783E-4</v>
      </c>
      <c r="J638">
        <f>SUM(B638:H638)</f>
        <v>0.25377420966453934</v>
      </c>
      <c r="K638" t="str">
        <f>IF(J638&gt;$N$2/5*4, "1", IF(J638&gt;$N$2/5*3, "2", IF(J638&gt;$N$2/5*2, "3", IF(J638&gt;$N$2/5, "4", "5"))))</f>
        <v>4</v>
      </c>
    </row>
    <row r="639" spans="1:11" x14ac:dyDescent="0.55000000000000004">
      <c r="A639">
        <v>2074</v>
      </c>
      <c r="B639">
        <f>climate_scores!H687*weights!$C$13</f>
        <v>4.4787968385002055E-2</v>
      </c>
      <c r="D639">
        <f>bird_scores!D687*weights!$C$14</f>
        <v>0.10970764720765119</v>
      </c>
      <c r="F639">
        <f>size_scores!C687*weights!$C$15</f>
        <v>0.13717802699999998</v>
      </c>
      <c r="H639">
        <f>estuary_data!Z687*weights!$C$16</f>
        <v>2.4527795215336413E-3</v>
      </c>
      <c r="J639">
        <f>SUM(B639:H639)</f>
        <v>0.29412642211418688</v>
      </c>
      <c r="K639" t="str">
        <f>IF(J639&gt;$N$2/5*4, "1", IF(J639&gt;$N$2/5*3, "2", IF(J639&gt;$N$2/5*2, "3", IF(J639&gt;$N$2/5, "4", "5"))))</f>
        <v>4</v>
      </c>
    </row>
    <row r="640" spans="1:11" x14ac:dyDescent="0.55000000000000004">
      <c r="A640">
        <v>2078</v>
      </c>
      <c r="B640">
        <f>climate_scores!H691*weights!$C$13</f>
        <v>4.380991110314144E-2</v>
      </c>
      <c r="D640">
        <f>bird_scores!D691*weights!$C$14</f>
        <v>0.10146117912144376</v>
      </c>
      <c r="F640">
        <f>size_scores!C691*weights!$C$15</f>
        <v>7.8387444000000001E-2</v>
      </c>
      <c r="H640">
        <f>estuary_data!Z691*weights!$C$16</f>
        <v>4.9055590430672827E-3</v>
      </c>
      <c r="J640">
        <f>SUM(B640:H640)</f>
        <v>0.22856409326765248</v>
      </c>
      <c r="K640" t="str">
        <f>IF(J640&gt;$N$2/5*4, "1", IF(J640&gt;$N$2/5*3, "2", IF(J640&gt;$N$2/5*2, "3", IF(J640&gt;$N$2/5, "4", "5"))))</f>
        <v>4</v>
      </c>
    </row>
    <row r="641" spans="1:11" x14ac:dyDescent="0.55000000000000004">
      <c r="A641">
        <v>2080</v>
      </c>
      <c r="B641">
        <f>climate_scores!H693*weights!$C$13</f>
        <v>4.2901615592969247E-2</v>
      </c>
      <c r="D641">
        <f>bird_scores!D693*weights!$C$14</f>
        <v>5.6850971578169103E-2</v>
      </c>
      <c r="F641">
        <f>size_scores!C693*weights!$C$15</f>
        <v>7.8387444000000001E-2</v>
      </c>
      <c r="H641">
        <f>estuary_data!Z693*weights!$C$16</f>
        <v>4.9055590430672827E-3</v>
      </c>
      <c r="J641">
        <f>SUM(B641:H641)</f>
        <v>0.18304559021420563</v>
      </c>
      <c r="K641" t="str">
        <f>IF(J641&gt;$N$2/5*4, "1", IF(J641&gt;$N$2/5*3, "2", IF(J641&gt;$N$2/5*2, "3", IF(J641&gt;$N$2/5, "4", "5"))))</f>
        <v>4</v>
      </c>
    </row>
    <row r="642" spans="1:11" x14ac:dyDescent="0.55000000000000004">
      <c r="A642">
        <v>2082</v>
      </c>
      <c r="B642">
        <f>climate_scores!H695*weights!$C$13</f>
        <v>4.2804882786263009E-2</v>
      </c>
      <c r="D642">
        <f>bird_scores!D695*weights!$C$14</f>
        <v>7.5055186737260235E-2</v>
      </c>
      <c r="F642">
        <f>size_scores!C695*weights!$C$15</f>
        <v>0.11758116599999999</v>
      </c>
      <c r="H642">
        <f>estuary_data!Z695*weights!$C$16</f>
        <v>8.1759317384454719E-4</v>
      </c>
      <c r="J642">
        <f>SUM(B642:H642)</f>
        <v>0.23625882869736778</v>
      </c>
      <c r="K642" t="str">
        <f>IF(J642&gt;$N$2/5*4, "1", IF(J642&gt;$N$2/5*3, "2", IF(J642&gt;$N$2/5*2, "3", IF(J642&gt;$N$2/5, "4", "5"))))</f>
        <v>4</v>
      </c>
    </row>
    <row r="643" spans="1:11" x14ac:dyDescent="0.55000000000000004">
      <c r="A643">
        <v>2084</v>
      </c>
      <c r="B643">
        <f>climate_scores!H697*weights!$C$13</f>
        <v>4.569509617065725E-2</v>
      </c>
      <c r="D643">
        <f>bird_scores!D697*weights!$C$14</f>
        <v>0.10402094647251285</v>
      </c>
      <c r="F643">
        <f>size_scores!C697*weights!$C$15</f>
        <v>3.9193722E-2</v>
      </c>
      <c r="H643">
        <f>estuary_data!Z697*weights!$C$16</f>
        <v>5.7175725887071271E-3</v>
      </c>
      <c r="J643">
        <f>SUM(B643:H643)</f>
        <v>0.19462733723187722</v>
      </c>
      <c r="K643" t="str">
        <f>IF(J643&gt;$N$2/5*4, "1", IF(J643&gt;$N$2/5*3, "2", IF(J643&gt;$N$2/5*2, "3", IF(J643&gt;$N$2/5, "4", "5"))))</f>
        <v>4</v>
      </c>
    </row>
    <row r="644" spans="1:11" x14ac:dyDescent="0.55000000000000004">
      <c r="A644">
        <v>2085</v>
      </c>
      <c r="B644">
        <f>climate_scores!H698*weights!$C$13</f>
        <v>5.0475835268646248E-2</v>
      </c>
      <c r="D644">
        <f>bird_scores!D698*weights!$C$14</f>
        <v>9.5791446292395124E-2</v>
      </c>
      <c r="F644">
        <f>size_scores!C698*weights!$C$15</f>
        <v>0.156774888</v>
      </c>
      <c r="H644">
        <f>estuary_data!Z698*weights!$C$16</f>
        <v>8.1679608410101842E-4</v>
      </c>
      <c r="J644">
        <f>SUM(B644:H644)</f>
        <v>0.30385896564514236</v>
      </c>
      <c r="K644" t="str">
        <f>IF(J644&gt;$N$2/5*4, "1", IF(J644&gt;$N$2/5*3, "2", IF(J644&gt;$N$2/5*2, "3", IF(J644&gt;$N$2/5, "4", "5"))))</f>
        <v>4</v>
      </c>
    </row>
    <row r="645" spans="1:11" x14ac:dyDescent="0.55000000000000004">
      <c r="A645">
        <v>2086</v>
      </c>
      <c r="B645">
        <f>climate_scores!H699*weights!$C$13</f>
        <v>5.1059189908850562E-2</v>
      </c>
      <c r="D645">
        <f>bird_scores!D699*weights!$C$14</f>
        <v>9.1928990563523841E-2</v>
      </c>
      <c r="F645">
        <f>size_scores!C699*weights!$C$15</f>
        <v>9.7984304999999994E-2</v>
      </c>
      <c r="H645">
        <f>estuary_data!Z699*weights!$C$16</f>
        <v>2.8041598046525391E-3</v>
      </c>
      <c r="J645">
        <f>SUM(B645:H645)</f>
        <v>0.24377664527702694</v>
      </c>
      <c r="K645" t="str">
        <f>IF(J645&gt;$N$2/5*4, "1", IF(J645&gt;$N$2/5*3, "2", IF(J645&gt;$N$2/5*2, "3", IF(J645&gt;$N$2/5, "4", "5"))))</f>
        <v>4</v>
      </c>
    </row>
    <row r="646" spans="1:11" x14ac:dyDescent="0.55000000000000004">
      <c r="A646">
        <v>2089</v>
      </c>
      <c r="B646">
        <f>climate_scores!H702*weights!$C$13</f>
        <v>4.9481727788027917E-2</v>
      </c>
      <c r="D646">
        <f>bird_scores!D702*weights!$C$14</f>
        <v>7.6621107916331657E-2</v>
      </c>
      <c r="F646">
        <f>size_scores!C702*weights!$C$15</f>
        <v>7.8387444000000001E-2</v>
      </c>
      <c r="H646">
        <f>estuary_data!Z702*weights!$C$16</f>
        <v>2.2334016143250308E-3</v>
      </c>
      <c r="J646">
        <f>SUM(B646:H646)</f>
        <v>0.2067236813186846</v>
      </c>
      <c r="K646" t="str">
        <f>IF(J646&gt;$N$2/5*4, "1", IF(J646&gt;$N$2/5*3, "2", IF(J646&gt;$N$2/5*2, "3", IF(J646&gt;$N$2/5, "4", "5"))))</f>
        <v>4</v>
      </c>
    </row>
    <row r="647" spans="1:11" x14ac:dyDescent="0.55000000000000004">
      <c r="A647">
        <v>2091</v>
      </c>
      <c r="B647">
        <f>climate_scores!H704*weights!$C$13</f>
        <v>4.4933457216971062E-2</v>
      </c>
      <c r="D647">
        <f>bird_scores!D704*weights!$C$14</f>
        <v>7.4931041980987392E-2</v>
      </c>
      <c r="F647">
        <f>size_scores!C704*weights!$C$15</f>
        <v>5.8790582999999993E-2</v>
      </c>
      <c r="H647">
        <f>estuary_data!Z704*weights!$C$16</f>
        <v>2.3276685655790109E-3</v>
      </c>
      <c r="J647">
        <f>SUM(B647:H647)</f>
        <v>0.18098275076353745</v>
      </c>
      <c r="K647" t="str">
        <f>IF(J647&gt;$N$2/5*4, "1", IF(J647&gt;$N$2/5*3, "2", IF(J647&gt;$N$2/5*2, "3", IF(J647&gt;$N$2/5, "4", "5"))))</f>
        <v>4</v>
      </c>
    </row>
    <row r="648" spans="1:11" x14ac:dyDescent="0.55000000000000004">
      <c r="A648">
        <v>2093</v>
      </c>
      <c r="B648">
        <f>climate_scores!H706*weights!$C$13</f>
        <v>4.6720819537739176E-2</v>
      </c>
      <c r="D648">
        <f>bird_scores!D706*weights!$C$14</f>
        <v>6.2574659359139737E-2</v>
      </c>
      <c r="F648">
        <f>size_scores!C706*weights!$C$15</f>
        <v>7.8387444000000001E-2</v>
      </c>
      <c r="H648">
        <f>estuary_data!Z706*weights!$C$16</f>
        <v>2.3276685655790109E-3</v>
      </c>
      <c r="J648">
        <f>SUM(B648:H648)</f>
        <v>0.19001059146245791</v>
      </c>
      <c r="K648" t="str">
        <f>IF(J648&gt;$N$2/5*4, "1", IF(J648&gt;$N$2/5*3, "2", IF(J648&gt;$N$2/5*2, "3", IF(J648&gt;$N$2/5, "4", "5"))))</f>
        <v>4</v>
      </c>
    </row>
    <row r="649" spans="1:11" x14ac:dyDescent="0.55000000000000004">
      <c r="A649">
        <v>2096</v>
      </c>
      <c r="B649">
        <f>climate_scores!H709*weights!$C$13</f>
        <v>4.6418052501743447E-2</v>
      </c>
      <c r="D649">
        <f>bird_scores!D709*weights!$C$14</f>
        <v>8.8093804501785181E-2</v>
      </c>
      <c r="F649">
        <f>size_scores!C709*weights!$C$15</f>
        <v>0.156774888</v>
      </c>
      <c r="H649">
        <f>estuary_data!Z709*weights!$C$16</f>
        <v>7.7588952185967015E-4</v>
      </c>
      <c r="J649">
        <f>SUM(B649:H649)</f>
        <v>0.29206263452538833</v>
      </c>
      <c r="K649" t="str">
        <f>IF(J649&gt;$N$2/5*4, "1", IF(J649&gt;$N$2/5*3, "2", IF(J649&gt;$N$2/5*2, "3", IF(J649&gt;$N$2/5, "4", "5"))))</f>
        <v>4</v>
      </c>
    </row>
    <row r="650" spans="1:11" x14ac:dyDescent="0.55000000000000004">
      <c r="A650">
        <v>2097</v>
      </c>
      <c r="B650">
        <f>climate_scores!H710*weights!$C$13</f>
        <v>4.7276504311687846E-2</v>
      </c>
      <c r="D650">
        <f>bird_scores!D710*weights!$C$14</f>
        <v>6.8011656091765682E-2</v>
      </c>
      <c r="F650">
        <f>size_scores!C710*weights!$C$15</f>
        <v>0.11758116599999999</v>
      </c>
      <c r="H650">
        <f>estuary_data!Z710*weights!$C$16</f>
        <v>1.1638342827895007E-3</v>
      </c>
      <c r="J650">
        <f>SUM(B650:H650)</f>
        <v>0.234033160686243</v>
      </c>
      <c r="K650" t="str">
        <f>IF(J650&gt;$N$2/5*4, "1", IF(J650&gt;$N$2/5*3, "2", IF(J650&gt;$N$2/5*2, "3", IF(J650&gt;$N$2/5, "4", "5"))))</f>
        <v>4</v>
      </c>
    </row>
    <row r="651" spans="1:11" x14ac:dyDescent="0.55000000000000004">
      <c r="A651">
        <v>2099</v>
      </c>
      <c r="B651">
        <f>climate_scores!H712*weights!$C$13</f>
        <v>4.7750303113656155E-2</v>
      </c>
      <c r="D651">
        <f>bird_scores!D712*weights!$C$14</f>
        <v>8.4047271135491847E-2</v>
      </c>
      <c r="F651">
        <f>size_scores!C712*weights!$C$15</f>
        <v>3.9193722E-2</v>
      </c>
      <c r="H651">
        <f>estuary_data!Z712*weights!$C$16</f>
        <v>2.3276685655790109E-3</v>
      </c>
      <c r="J651">
        <f>SUM(B651:H651)</f>
        <v>0.173318964814727</v>
      </c>
      <c r="K651" t="str">
        <f>IF(J651&gt;$N$2/5*4, "1", IF(J651&gt;$N$2/5*3, "2", IF(J651&gt;$N$2/5*2, "3", IF(J651&gt;$N$2/5, "4", "5"))))</f>
        <v>4</v>
      </c>
    </row>
    <row r="652" spans="1:11" x14ac:dyDescent="0.55000000000000004">
      <c r="A652">
        <v>2100</v>
      </c>
      <c r="B652">
        <f>climate_scores!H713*weights!$C$13</f>
        <v>5.1038000650756095E-2</v>
      </c>
      <c r="D652">
        <f>bird_scores!D713*weights!$C$14</f>
        <v>9.9225009658746408E-2</v>
      </c>
      <c r="F652">
        <f>size_scores!C713*weights!$C$15</f>
        <v>0.156774888</v>
      </c>
      <c r="H652">
        <f>estuary_data!Z713*weights!$C$16</f>
        <v>5.819171413947524E-4</v>
      </c>
      <c r="J652">
        <f>SUM(B652:H652)</f>
        <v>0.30761981545089728</v>
      </c>
      <c r="K652" t="str">
        <f>IF(J652&gt;$N$2/5*4, "1", IF(J652&gt;$N$2/5*3, "2", IF(J652&gt;$N$2/5*2, "3", IF(J652&gt;$N$2/5, "4", "5"))))</f>
        <v>4</v>
      </c>
    </row>
    <row r="653" spans="1:11" x14ac:dyDescent="0.55000000000000004">
      <c r="A653">
        <v>2103</v>
      </c>
      <c r="B653">
        <f>climate_scores!H716*weights!$C$13</f>
        <v>5.1038000650756095E-2</v>
      </c>
      <c r="D653">
        <f>bird_scores!D716*weights!$C$14</f>
        <v>9.6625624667685733E-2</v>
      </c>
      <c r="F653">
        <f>size_scores!C716*weights!$C$15</f>
        <v>0.13717802699999998</v>
      </c>
      <c r="H653">
        <f>estuary_data!Z716*weights!$C$16</f>
        <v>1.2109677584164959E-3</v>
      </c>
      <c r="J653">
        <f>SUM(B653:H653)</f>
        <v>0.28605262007685833</v>
      </c>
      <c r="K653" t="str">
        <f>IF(J653&gt;$N$2/5*4, "1", IF(J653&gt;$N$2/5*3, "2", IF(J653&gt;$N$2/5*2, "3", IF(J653&gt;$N$2/5, "4", "5"))))</f>
        <v>4</v>
      </c>
    </row>
    <row r="654" spans="1:11" x14ac:dyDescent="0.55000000000000004">
      <c r="A654">
        <v>2104</v>
      </c>
      <c r="B654">
        <f>climate_scores!H717*weights!$C$13</f>
        <v>5.1038000650756095E-2</v>
      </c>
      <c r="D654">
        <f>bird_scores!D717*weights!$C$14</f>
        <v>5.5727419137882865E-2</v>
      </c>
      <c r="F654">
        <f>size_scores!C717*weights!$C$15</f>
        <v>3.9193722E-2</v>
      </c>
      <c r="H654">
        <f>estuary_data!Z717*weights!$C$16</f>
        <v>2.4219355168329918E-3</v>
      </c>
      <c r="J654">
        <f>SUM(B654:H654)</f>
        <v>0.14838107730547193</v>
      </c>
      <c r="K654" t="str">
        <f>IF(J654&gt;$N$2/5*4, "1", IF(J654&gt;$N$2/5*3, "2", IF(J654&gt;$N$2/5*2, "3", IF(J654&gt;$N$2/5, "4", "5"))))</f>
        <v>5</v>
      </c>
    </row>
    <row r="655" spans="1:11" x14ac:dyDescent="0.55000000000000004">
      <c r="A655">
        <v>2108</v>
      </c>
      <c r="B655">
        <f>climate_scores!H721*weights!$C$13</f>
        <v>4.5022579502317916E-2</v>
      </c>
      <c r="D655">
        <f>bird_scores!D721*weights!$C$14</f>
        <v>7.7904383301649671E-2</v>
      </c>
      <c r="F655">
        <f>size_scores!C721*weights!$C$15</f>
        <v>1.9596861E-2</v>
      </c>
      <c r="H655">
        <f>estuary_data!Z721*weights!$C$16</f>
        <v>3.6921239715193024E-3</v>
      </c>
      <c r="J655">
        <f>SUM(B655:H655)</f>
        <v>0.14621594777548688</v>
      </c>
      <c r="K655" t="str">
        <f>IF(J655&gt;$N$2/5*4, "1", IF(J655&gt;$N$2/5*3, "2", IF(J655&gt;$N$2/5*2, "3", IF(J655&gt;$N$2/5, "4", "5"))))</f>
        <v>5</v>
      </c>
    </row>
    <row r="656" spans="1:11" x14ac:dyDescent="0.55000000000000004">
      <c r="A656">
        <v>2109</v>
      </c>
      <c r="B656">
        <f>climate_scores!H722*weights!$C$13</f>
        <v>4.7064545793960348E-2</v>
      </c>
      <c r="D656">
        <f>bird_scores!D722*weights!$C$14</f>
        <v>7.7893600005207828E-2</v>
      </c>
      <c r="F656">
        <f>size_scores!C722*weights!$C$15</f>
        <v>9.7984304999999994E-2</v>
      </c>
      <c r="H656">
        <f>estuary_data!Z722*weights!$C$16</f>
        <v>3.6921239715193024E-3</v>
      </c>
      <c r="J656">
        <f>SUM(B656:H656)</f>
        <v>0.22663457477068746</v>
      </c>
      <c r="K656" t="str">
        <f>IF(J656&gt;$N$2/5*4, "1", IF(J656&gt;$N$2/5*3, "2", IF(J656&gt;$N$2/5*2, "3", IF(J656&gt;$N$2/5, "4", "5"))))</f>
        <v>4</v>
      </c>
    </row>
    <row r="657" spans="1:11" x14ac:dyDescent="0.55000000000000004">
      <c r="A657">
        <v>3000</v>
      </c>
      <c r="B657">
        <f>climate_scores!H723*weights!$C$13</f>
        <v>4.6661995939265975E-2</v>
      </c>
      <c r="D657">
        <f>bird_scores!D723*weights!$C$14</f>
        <v>7.9213498320138589E-2</v>
      </c>
      <c r="F657">
        <f>size_scores!C723*weights!$C$15</f>
        <v>1.9596861E-2</v>
      </c>
      <c r="H657">
        <f>estuary_data!Z723*weights!$C$16</f>
        <v>3.6921239715193024E-3</v>
      </c>
      <c r="J657">
        <f>SUM(B657:H657)</f>
        <v>0.14916447923092385</v>
      </c>
      <c r="K657" t="str">
        <f>IF(J657&gt;$N$2/5*4, "1", IF(J657&gt;$N$2/5*3, "2", IF(J657&gt;$N$2/5*2, "3", IF(J657&gt;$N$2/5, "4", "5"))))</f>
        <v>5</v>
      </c>
    </row>
    <row r="658" spans="1:11" x14ac:dyDescent="0.55000000000000004">
      <c r="A658">
        <v>3001</v>
      </c>
      <c r="B658">
        <f>climate_scores!H724*weights!$C$13</f>
        <v>4.7349881578650561E-2</v>
      </c>
      <c r="D658">
        <f>bird_scores!D724*weights!$C$14</f>
        <v>9.5109002963137762E-2</v>
      </c>
      <c r="F658">
        <f>size_scores!C724*weights!$C$15</f>
        <v>0.17637174899999999</v>
      </c>
      <c r="H658">
        <f>estuary_data!Z724*weights!$C$16</f>
        <v>9.2303099287982559E-4</v>
      </c>
      <c r="J658">
        <f>SUM(B658:H658)</f>
        <v>0.31975366453466814</v>
      </c>
      <c r="K658" t="str">
        <f>IF(J658&gt;$N$2/5*4, "1", IF(J658&gt;$N$2/5*3, "2", IF(J658&gt;$N$2/5*2, "3", IF(J658&gt;$N$2/5, "4", "5"))))</f>
        <v>3</v>
      </c>
    </row>
    <row r="659" spans="1:11" x14ac:dyDescent="0.55000000000000004">
      <c r="A659">
        <v>3004</v>
      </c>
      <c r="B659">
        <f>climate_scores!H727*weights!$C$13</f>
        <v>3.1274825449914632E-2</v>
      </c>
      <c r="D659">
        <f>bird_scores!D727*weights!$C$14</f>
        <v>0.10198885503181468</v>
      </c>
      <c r="F659">
        <f>size_scores!C727*weights!$C$15</f>
        <v>3.9193722E-2</v>
      </c>
      <c r="H659">
        <f>estuary_data!Z727*weights!$C$16</f>
        <v>2.6757311548244664E-3</v>
      </c>
      <c r="J659">
        <f>SUM(B659:H659)</f>
        <v>0.17513313363655378</v>
      </c>
      <c r="K659" t="str">
        <f>IF(J659&gt;$N$2/5*4, "1", IF(J659&gt;$N$2/5*3, "2", IF(J659&gt;$N$2/5*2, "3", IF(J659&gt;$N$2/5, "4", "5"))))</f>
        <v>4</v>
      </c>
    </row>
    <row r="660" spans="1:11" x14ac:dyDescent="0.55000000000000004">
      <c r="A660">
        <v>3008</v>
      </c>
      <c r="B660">
        <f>climate_scores!H731*weights!$C$13</f>
        <v>4.0898454811122774E-2</v>
      </c>
      <c r="D660">
        <f>bird_scores!D731*weights!$C$14</f>
        <v>9.0576969434932417E-2</v>
      </c>
      <c r="F660">
        <f>size_scores!C731*weights!$C$15</f>
        <v>0.156774888</v>
      </c>
      <c r="H660">
        <f>estuary_data!Z731*weights!$C$16</f>
        <v>3.34466394353059E-4</v>
      </c>
      <c r="J660">
        <f>SUM(B660:H660)</f>
        <v>0.28858477864040827</v>
      </c>
      <c r="K660" t="str">
        <f>IF(J660&gt;$N$2/5*4, "1", IF(J660&gt;$N$2/5*3, "2", IF(J660&gt;$N$2/5*2, "3", IF(J660&gt;$N$2/5, "4", "5"))))</f>
        <v>4</v>
      </c>
    </row>
    <row r="661" spans="1:11" x14ac:dyDescent="0.55000000000000004">
      <c r="A661">
        <v>3009</v>
      </c>
      <c r="B661">
        <f>climate_scores!H732*weights!$C$13</f>
        <v>4.1747350235881137E-2</v>
      </c>
      <c r="D661">
        <f>bird_scores!D732*weights!$C$14</f>
        <v>6.3916809760180174E-2</v>
      </c>
      <c r="F661">
        <f>size_scores!C732*weights!$C$15</f>
        <v>7.8387444000000001E-2</v>
      </c>
      <c r="H661">
        <f>estuary_data!Z732*weights!$C$16</f>
        <v>2.6757311548244664E-3</v>
      </c>
      <c r="J661">
        <f>SUM(B661:H661)</f>
        <v>0.18672733515088577</v>
      </c>
      <c r="K661" t="str">
        <f>IF(J661&gt;$N$2/5*4, "1", IF(J661&gt;$N$2/5*3, "2", IF(J661&gt;$N$2/5*2, "3", IF(J661&gt;$N$2/5, "4", "5"))))</f>
        <v>4</v>
      </c>
    </row>
    <row r="662" spans="1:11" x14ac:dyDescent="0.55000000000000004">
      <c r="A662">
        <v>3010</v>
      </c>
      <c r="B662">
        <f>climate_scores!H733*weights!$C$13</f>
        <v>4.3971511705032454E-2</v>
      </c>
      <c r="D662">
        <f>bird_scores!D733*weights!$C$14</f>
        <v>6.3214269199846823E-2</v>
      </c>
      <c r="F662">
        <f>size_scores!C733*weights!$C$15</f>
        <v>5.8790582999999993E-2</v>
      </c>
      <c r="H662">
        <f>estuary_data!Z733*weights!$C$16</f>
        <v>2.6757311548244664E-3</v>
      </c>
      <c r="J662">
        <f>SUM(B662:H662)</f>
        <v>0.16865209505970374</v>
      </c>
      <c r="K662" t="str">
        <f>IF(J662&gt;$N$2/5*4, "1", IF(J662&gt;$N$2/5*3, "2", IF(J662&gt;$N$2/5*2, "3", IF(J662&gt;$N$2/5, "4", "5"))))</f>
        <v>4</v>
      </c>
    </row>
    <row r="663" spans="1:11" x14ac:dyDescent="0.55000000000000004">
      <c r="A663">
        <v>3011</v>
      </c>
      <c r="B663">
        <f>climate_scores!H734*weights!$C$13</f>
        <v>4.8107208391533374E-2</v>
      </c>
      <c r="D663">
        <f>bird_scores!D734*weights!$C$14</f>
        <v>5.6568628996429365E-2</v>
      </c>
      <c r="F663">
        <f>size_scores!C734*weights!$C$15</f>
        <v>5.8790582999999993E-2</v>
      </c>
      <c r="H663">
        <f>estuary_data!Z734*weights!$C$16</f>
        <v>2.6757311548244664E-3</v>
      </c>
      <c r="J663">
        <f>SUM(B663:H663)</f>
        <v>0.16614215154278719</v>
      </c>
      <c r="K663" t="str">
        <f>IF(J663&gt;$N$2/5*4, "1", IF(J663&gt;$N$2/5*3, "2", IF(J663&gt;$N$2/5*2, "3", IF(J663&gt;$N$2/5, "4", "5"))))</f>
        <v>4</v>
      </c>
    </row>
    <row r="664" spans="1:11" x14ac:dyDescent="0.55000000000000004">
      <c r="A664">
        <v>3012</v>
      </c>
      <c r="B664">
        <f>climate_scores!H735*weights!$C$13</f>
        <v>5.011699370550006E-2</v>
      </c>
      <c r="D664">
        <f>bird_scores!D735*weights!$C$14</f>
        <v>7.7306077498621548E-2</v>
      </c>
      <c r="F664">
        <f>size_scores!C735*weights!$C$15</f>
        <v>0.11758116599999999</v>
      </c>
      <c r="H664">
        <f>estuary_data!Z735*weights!$C$16</f>
        <v>8.9191038494148981E-4</v>
      </c>
      <c r="J664">
        <f>SUM(B664:H664)</f>
        <v>0.24589614758906309</v>
      </c>
      <c r="K664" t="str">
        <f>IF(J664&gt;$N$2/5*4, "1", IF(J664&gt;$N$2/5*3, "2", IF(J664&gt;$N$2/5*2, "3", IF(J664&gt;$N$2/5, "4", "5"))))</f>
        <v>4</v>
      </c>
    </row>
    <row r="665" spans="1:11" x14ac:dyDescent="0.55000000000000004">
      <c r="A665">
        <v>3013</v>
      </c>
      <c r="B665">
        <f>climate_scores!H736*weights!$C$13</f>
        <v>5.2577449437560028E-2</v>
      </c>
      <c r="D665">
        <f>bird_scores!D736*weights!$C$14</f>
        <v>0.10595301068861419</v>
      </c>
      <c r="F665">
        <f>size_scores!C736*weights!$C$15</f>
        <v>0.13717802699999998</v>
      </c>
      <c r="H665">
        <f>estuary_data!Z736*weights!$C$16</f>
        <v>3.34466394353059E-4</v>
      </c>
      <c r="J665">
        <f>SUM(B665:H665)</f>
        <v>0.29604295352052729</v>
      </c>
      <c r="K665" t="str">
        <f>IF(J665&gt;$N$2/5*4, "1", IF(J665&gt;$N$2/5*3, "2", IF(J665&gt;$N$2/5*2, "3", IF(J665&gt;$N$2/5, "4", "5"))))</f>
        <v>4</v>
      </c>
    </row>
    <row r="666" spans="1:11" x14ac:dyDescent="0.55000000000000004">
      <c r="A666">
        <v>3014</v>
      </c>
      <c r="B666">
        <f>climate_scores!H737*weights!$C$13</f>
        <v>5.269690643224683E-2</v>
      </c>
      <c r="D666">
        <f>bird_scores!D737*weights!$C$14</f>
        <v>0.10947698618153791</v>
      </c>
      <c r="F666">
        <f>size_scores!C737*weights!$C$15</f>
        <v>3.9193722E-2</v>
      </c>
      <c r="H666">
        <f>estuary_data!Z737*weights!$C$16</f>
        <v>2.6757311548244664E-3</v>
      </c>
      <c r="J666">
        <f>SUM(B666:H666)</f>
        <v>0.20404334576860919</v>
      </c>
      <c r="K666" t="str">
        <f>IF(J666&gt;$N$2/5*4, "1", IF(J666&gt;$N$2/5*3, "2", IF(J666&gt;$N$2/5*2, "3", IF(J666&gt;$N$2/5, "4", "5"))))</f>
        <v>4</v>
      </c>
    </row>
    <row r="667" spans="1:11" x14ac:dyDescent="0.55000000000000004">
      <c r="A667">
        <v>3016</v>
      </c>
      <c r="B667">
        <f>climate_scores!H739*weights!$C$13</f>
        <v>5.5639804907858928E-2</v>
      </c>
      <c r="D667">
        <f>bird_scores!D739*weights!$C$14</f>
        <v>6.6570160593091537E-2</v>
      </c>
      <c r="F667">
        <f>size_scores!C739*weights!$C$15</f>
        <v>3.9193722E-2</v>
      </c>
      <c r="H667">
        <f>estuary_data!Z739*weights!$C$16</f>
        <v>2.6757311548244664E-3</v>
      </c>
      <c r="J667">
        <f>SUM(B667:H667)</f>
        <v>0.16407941865577494</v>
      </c>
      <c r="K667" t="str">
        <f>IF(J667&gt;$N$2/5*4, "1", IF(J667&gt;$N$2/5*3, "2", IF(J667&gt;$N$2/5*2, "3", IF(J667&gt;$N$2/5, "4", "5"))))</f>
        <v>4</v>
      </c>
    </row>
    <row r="668" spans="1:11" x14ac:dyDescent="0.55000000000000004">
      <c r="A668">
        <v>3017</v>
      </c>
      <c r="B668">
        <f>climate_scores!H740*weights!$C$13</f>
        <v>5.6639709063802349E-2</v>
      </c>
      <c r="D668">
        <f>bird_scores!D740*weights!$C$14</f>
        <v>7.4793545601743727E-2</v>
      </c>
      <c r="F668">
        <f>size_scores!C740*weights!$C$15</f>
        <v>5.8790582999999993E-2</v>
      </c>
      <c r="H668">
        <f>estuary_data!Z740*weights!$C$16</f>
        <v>2.6757311548244664E-3</v>
      </c>
      <c r="J668">
        <f>SUM(B668:H668)</f>
        <v>0.19289956882037054</v>
      </c>
      <c r="K668" t="str">
        <f>IF(J668&gt;$N$2/5*4, "1", IF(J668&gt;$N$2/5*3, "2", IF(J668&gt;$N$2/5*2, "3", IF(J668&gt;$N$2/5, "4", "5"))))</f>
        <v>4</v>
      </c>
    </row>
    <row r="669" spans="1:11" x14ac:dyDescent="0.55000000000000004">
      <c r="A669">
        <v>3018</v>
      </c>
      <c r="B669">
        <f>climate_scores!H741*weights!$C$13</f>
        <v>6.1460519773205553E-2</v>
      </c>
      <c r="D669">
        <f>bird_scores!D741*weights!$C$14</f>
        <v>8.5343280552276649E-2</v>
      </c>
      <c r="F669">
        <f>size_scores!C741*weights!$C$15</f>
        <v>0.17637174899999999</v>
      </c>
      <c r="H669">
        <f>estuary_data!Z741*weights!$C$16</f>
        <v>2.6757311548244664E-4</v>
      </c>
      <c r="J669">
        <f>SUM(B669:H669)</f>
        <v>0.32344312244096463</v>
      </c>
      <c r="K669" t="str">
        <f>IF(J669&gt;$N$2/5*4, "1", IF(J669&gt;$N$2/5*3, "2", IF(J669&gt;$N$2/5*2, "3", IF(J669&gt;$N$2/5, "4", "5"))))</f>
        <v>3</v>
      </c>
    </row>
    <row r="670" spans="1:11" x14ac:dyDescent="0.55000000000000004">
      <c r="A670">
        <v>3019</v>
      </c>
      <c r="B670">
        <f>climate_scores!H742*weights!$C$13</f>
        <v>5.8075436143797718E-2</v>
      </c>
      <c r="D670">
        <f>bird_scores!D742*weights!$C$14</f>
        <v>7.6291357004400817E-2</v>
      </c>
      <c r="F670">
        <f>size_scores!C742*weights!$C$15</f>
        <v>5.8790582999999993E-2</v>
      </c>
      <c r="H670">
        <f>estuary_data!Z742*weights!$C$16</f>
        <v>2.6757311548244664E-3</v>
      </c>
      <c r="J670">
        <f>SUM(B670:H670)</f>
        <v>0.19583310730302303</v>
      </c>
      <c r="K670" t="str">
        <f>IF(J670&gt;$N$2/5*4, "1", IF(J670&gt;$N$2/5*3, "2", IF(J670&gt;$N$2/5*2, "3", IF(J670&gt;$N$2/5, "4", "5"))))</f>
        <v>4</v>
      </c>
    </row>
    <row r="671" spans="1:11" x14ac:dyDescent="0.55000000000000004">
      <c r="A671">
        <v>3020</v>
      </c>
      <c r="B671">
        <f>climate_scores!H743*weights!$C$13</f>
        <v>5.9584206111029242E-2</v>
      </c>
      <c r="D671">
        <f>bird_scores!D743*weights!$C$14</f>
        <v>7.3419553391175674E-2</v>
      </c>
      <c r="F671">
        <f>size_scores!C743*weights!$C$15</f>
        <v>0.156774888</v>
      </c>
      <c r="H671">
        <f>estuary_data!Z743*weights!$C$16</f>
        <v>3.9157041290114204E-4</v>
      </c>
      <c r="J671">
        <f>SUM(B671:H671)</f>
        <v>0.29017021791510611</v>
      </c>
      <c r="K671" t="str">
        <f>IF(J671&gt;$N$2/5*4, "1", IF(J671&gt;$N$2/5*3, "2", IF(J671&gt;$N$2/5*2, "3", IF(J671&gt;$N$2/5, "4", "5"))))</f>
        <v>4</v>
      </c>
    </row>
    <row r="672" spans="1:11" x14ac:dyDescent="0.55000000000000004">
      <c r="A672">
        <v>3022</v>
      </c>
      <c r="B672">
        <f>climate_scores!H745*weights!$C$13</f>
        <v>6.0020047739533434E-2</v>
      </c>
      <c r="D672">
        <f>bird_scores!D745*weights!$C$14</f>
        <v>7.2140148809912846E-2</v>
      </c>
      <c r="F672">
        <f>size_scores!C745*weights!$C$15</f>
        <v>0.156774888</v>
      </c>
      <c r="H672">
        <f>estuary_data!Z745*weights!$C$16</f>
        <v>3.426241112884989E-4</v>
      </c>
      <c r="J672">
        <f>SUM(B672:H672)</f>
        <v>0.28927770866073477</v>
      </c>
      <c r="K672" t="str">
        <f>IF(J672&gt;$N$2/5*4, "1", IF(J672&gt;$N$2/5*3, "2", IF(J672&gt;$N$2/5*2, "3", IF(J672&gt;$N$2/5, "4", "5"))))</f>
        <v>4</v>
      </c>
    </row>
    <row r="673" spans="1:11" x14ac:dyDescent="0.55000000000000004">
      <c r="A673">
        <v>3023</v>
      </c>
      <c r="B673">
        <f>climate_scores!H746*weights!$C$13</f>
        <v>5.9656614679060152E-2</v>
      </c>
      <c r="D673">
        <f>bird_scores!D746*weights!$C$14</f>
        <v>7.3596697277430803E-2</v>
      </c>
      <c r="F673">
        <f>size_scores!C746*weights!$C$15</f>
        <v>5.8790582999999993E-2</v>
      </c>
      <c r="H673">
        <f>estuary_data!Z746*weights!$C$16</f>
        <v>2.3018290795619517E-3</v>
      </c>
      <c r="J673">
        <f>SUM(B673:H673)</f>
        <v>0.19434572403605288</v>
      </c>
      <c r="K673" t="str">
        <f>IF(J673&gt;$N$2/5*4, "1", IF(J673&gt;$N$2/5*3, "2", IF(J673&gt;$N$2/5*2, "3", IF(J673&gt;$N$2/5, "4", "5"))))</f>
        <v>4</v>
      </c>
    </row>
    <row r="674" spans="1:11" x14ac:dyDescent="0.55000000000000004">
      <c r="A674">
        <v>3024</v>
      </c>
      <c r="B674">
        <f>climate_scores!H747*weights!$C$13</f>
        <v>5.928734691777475E-2</v>
      </c>
      <c r="D674">
        <f>bird_scores!D747*weights!$C$14</f>
        <v>7.1455947079899482E-2</v>
      </c>
      <c r="F674">
        <f>size_scores!C747*weights!$C$15</f>
        <v>7.8387444000000001E-2</v>
      </c>
      <c r="H674">
        <f>estuary_data!Z747*weights!$C$16</f>
        <v>2.3018290795619517E-3</v>
      </c>
      <c r="J674">
        <f>SUM(B674:H674)</f>
        <v>0.21143256707723618</v>
      </c>
      <c r="K674" t="str">
        <f>IF(J674&gt;$N$2/5*4, "1", IF(J674&gt;$N$2/5*3, "2", IF(J674&gt;$N$2/5*2, "3", IF(J674&gt;$N$2/5, "4", "5"))))</f>
        <v>4</v>
      </c>
    </row>
    <row r="675" spans="1:11" x14ac:dyDescent="0.55000000000000004">
      <c r="A675">
        <v>3026</v>
      </c>
      <c r="B675">
        <f>climate_scores!H749*weights!$C$13</f>
        <v>5.9104346893116069E-2</v>
      </c>
      <c r="D675">
        <f>bird_scores!D749*weights!$C$14</f>
        <v>6.9891871061277963E-2</v>
      </c>
      <c r="F675">
        <f>size_scores!C749*weights!$C$15</f>
        <v>5.8790582999999993E-2</v>
      </c>
      <c r="H675">
        <f>estuary_data!Z749*weights!$C$16</f>
        <v>2.3018290795619517E-3</v>
      </c>
      <c r="J675">
        <f>SUM(B675:H675)</f>
        <v>0.19008863003395599</v>
      </c>
      <c r="K675" t="str">
        <f>IF(J675&gt;$N$2/5*4, "1", IF(J675&gt;$N$2/5*3, "2", IF(J675&gt;$N$2/5*2, "3", IF(J675&gt;$N$2/5, "4", "5"))))</f>
        <v>4</v>
      </c>
    </row>
    <row r="676" spans="1:11" x14ac:dyDescent="0.55000000000000004">
      <c r="A676">
        <v>3027</v>
      </c>
      <c r="B676">
        <f>climate_scores!H750*weights!$C$13</f>
        <v>6.0884197068870993E-2</v>
      </c>
      <c r="D676">
        <f>bird_scores!D750*weights!$C$14</f>
        <v>9.2833618010427166E-2</v>
      </c>
      <c r="F676">
        <f>size_scores!C750*weights!$C$15</f>
        <v>0.11758116599999999</v>
      </c>
      <c r="H676">
        <f>estuary_data!Z750*weights!$C$16</f>
        <v>2.3018290795619517E-3</v>
      </c>
      <c r="J676">
        <f>SUM(B676:H676)</f>
        <v>0.27360081015886012</v>
      </c>
      <c r="K676" t="str">
        <f>IF(J676&gt;$N$2/5*4, "1", IF(J676&gt;$N$2/5*3, "2", IF(J676&gt;$N$2/5*2, "3", IF(J676&gt;$N$2/5, "4", "5"))))</f>
        <v>4</v>
      </c>
    </row>
    <row r="677" spans="1:11" x14ac:dyDescent="0.55000000000000004">
      <c r="A677">
        <v>3030</v>
      </c>
      <c r="B677">
        <f>climate_scores!H753*weights!$C$13</f>
        <v>6.0740717720950937E-2</v>
      </c>
      <c r="D677" t="e">
        <f>bird_scores!D753*weights!$C$14</f>
        <v>#VALUE!</v>
      </c>
      <c r="F677">
        <f>size_scores!C753*weights!$C$15</f>
        <v>0.13717802699999998</v>
      </c>
      <c r="H677">
        <f>estuary_data!Z753*weights!$C$16</f>
        <v>7.3317518830491645E-4</v>
      </c>
      <c r="J677" t="e">
        <f>SUM(B677:H677)</f>
        <v>#VALUE!</v>
      </c>
      <c r="K677" t="e">
        <f>IF(J677&gt;$N$2/5*4, "1", IF(J677&gt;$N$2/5*3, "2", IF(J677&gt;$N$2/5*2, "3", IF(J677&gt;$N$2/5, "4", "5"))))</f>
        <v>#VALUE!</v>
      </c>
    </row>
    <row r="678" spans="1:11" x14ac:dyDescent="0.55000000000000004">
      <c r="A678">
        <v>68</v>
      </c>
      <c r="B678">
        <f>climate_scores!H69*weights!$C$13</f>
        <v>3.6134191050419373E-2</v>
      </c>
      <c r="D678">
        <f>bird_scores!D69*weights!$C$14</f>
        <v>5.3253684422883911E-2</v>
      </c>
      <c r="F678">
        <f>size_scores!C69*weights!$C$15</f>
        <v>3.9193722E-2</v>
      </c>
      <c r="H678">
        <f>estuary_data!Z69*weights!$C$16</f>
        <v>2.4767315841706009E-2</v>
      </c>
      <c r="J678">
        <f>SUM(B678:H678)</f>
        <v>0.15334891331500927</v>
      </c>
      <c r="K678" t="str">
        <f>IF(J678&gt;$N$2/5*4, "1", IF(J678&gt;$N$2/5*3, "2", IF(J678&gt;$N$2/5*2, "3", IF(J678&gt;$N$2/5, "4", "5"))))</f>
        <v>5</v>
      </c>
    </row>
    <row r="679" spans="1:11" x14ac:dyDescent="0.55000000000000004">
      <c r="A679">
        <v>70</v>
      </c>
      <c r="B679">
        <f>climate_scores!H71*weights!$C$13</f>
        <v>3.55350057967809E-2</v>
      </c>
      <c r="D679">
        <f>bird_scores!D71*weights!$C$14</f>
        <v>3.4502699283263071E-2</v>
      </c>
      <c r="F679">
        <f>size_scores!C71*weights!$C$15</f>
        <v>3.9193722E-2</v>
      </c>
      <c r="H679">
        <f>estuary_data!Z71*weights!$C$16</f>
        <v>1.3870279069892839E-2</v>
      </c>
      <c r="J679">
        <f>SUM(B679:H679)</f>
        <v>0.12310170614993682</v>
      </c>
      <c r="K679" t="str">
        <f>IF(J679&gt;$N$2/5*4, "1", IF(J679&gt;$N$2/5*3, "2", IF(J679&gt;$N$2/5*2, "3", IF(J679&gt;$N$2/5, "4", "5"))))</f>
        <v>5</v>
      </c>
    </row>
    <row r="680" spans="1:11" x14ac:dyDescent="0.55000000000000004">
      <c r="A680">
        <v>77</v>
      </c>
      <c r="B680">
        <f>climate_scores!H78*weights!$C$13</f>
        <v>6.352059109168684E-2</v>
      </c>
      <c r="D680">
        <f>bird_scores!D78*weights!$C$14</f>
        <v>5.1840730838814762E-2</v>
      </c>
      <c r="F680">
        <f>size_scores!C78*weights!$C$15</f>
        <v>3.9193722E-2</v>
      </c>
      <c r="H680">
        <f>estuary_data!Z78*weights!$C$16</f>
        <v>0</v>
      </c>
      <c r="J680">
        <f>SUM(B680:H680)</f>
        <v>0.15455504393050162</v>
      </c>
      <c r="K680" t="str">
        <f>IF(J680&gt;$N$2/5*4, "1", IF(J680&gt;$N$2/5*3, "2", IF(J680&gt;$N$2/5*2, "3", IF(J680&gt;$N$2/5, "4", "5"))))</f>
        <v>5</v>
      </c>
    </row>
    <row r="681" spans="1:11" x14ac:dyDescent="0.55000000000000004">
      <c r="A681">
        <v>112</v>
      </c>
      <c r="B681">
        <f>climate_scores!H113*weights!$C$13</f>
        <v>4.089046283521388E-2</v>
      </c>
      <c r="D681">
        <f>bird_scores!D113*weights!$C$14</f>
        <v>4.8647074909830529E-2</v>
      </c>
      <c r="F681">
        <f>size_scores!C113*weights!$C$15</f>
        <v>1.9596861E-2</v>
      </c>
      <c r="H681">
        <f>estuary_data!Z113*weights!$C$16</f>
        <v>1.3870279069892839E-2</v>
      </c>
      <c r="J681">
        <f>SUM(B681:H681)</f>
        <v>0.12300467781493725</v>
      </c>
      <c r="K681" t="str">
        <f>IF(J681&gt;$N$2/5*4, "1", IF(J681&gt;$N$2/5*3, "2", IF(J681&gt;$N$2/5*2, "3", IF(J681&gt;$N$2/5, "4", "5"))))</f>
        <v>5</v>
      </c>
    </row>
    <row r="682" spans="1:11" x14ac:dyDescent="0.55000000000000004">
      <c r="A682">
        <v>223</v>
      </c>
      <c r="B682">
        <f>climate_scores!H224*weights!$C$13</f>
        <v>4.2708661614378161E-2</v>
      </c>
      <c r="D682">
        <f>bird_scores!D224*weights!$C$14</f>
        <v>0.15179547645991612</v>
      </c>
      <c r="F682">
        <f>size_scores!C224*weights!$C$15</f>
        <v>3.9193722E-2</v>
      </c>
      <c r="H682">
        <f>estuary_data!Z224*weights!$C$16</f>
        <v>6.5052253369625931E-2</v>
      </c>
      <c r="J682">
        <f>SUM(B682:H682)</f>
        <v>0.29875011344392022</v>
      </c>
      <c r="K682" t="str">
        <f>IF(J682&gt;$N$2/5*4, "1", IF(J682&gt;$N$2/5*3, "2", IF(J682&gt;$N$2/5*2, "3", IF(J682&gt;$N$2/5, "4", "5"))))</f>
        <v>4</v>
      </c>
    </row>
    <row r="683" spans="1:11" x14ac:dyDescent="0.55000000000000004">
      <c r="A683">
        <v>224</v>
      </c>
      <c r="B683">
        <f>climate_scores!H225*weights!$C$13</f>
        <v>4.2619929648422969E-2</v>
      </c>
      <c r="D683">
        <f>bird_scores!D225*weights!$C$14</f>
        <v>0.12125829575329244</v>
      </c>
      <c r="F683">
        <f>size_scores!C225*weights!$C$15</f>
        <v>5.8790582999999993E-2</v>
      </c>
      <c r="H683">
        <f>estuary_data!Z225*weights!$C$16</f>
        <v>2.779505371247655E-2</v>
      </c>
      <c r="J683">
        <f>SUM(B683:H683)</f>
        <v>0.25046386211419197</v>
      </c>
      <c r="K683" t="str">
        <f>IF(J683&gt;$N$2/5*4, "1", IF(J683&gt;$N$2/5*3, "2", IF(J683&gt;$N$2/5*2, "3", IF(J683&gt;$N$2/5, "4", "5"))))</f>
        <v>4</v>
      </c>
    </row>
    <row r="684" spans="1:11" x14ac:dyDescent="0.55000000000000004">
      <c r="A684">
        <v>236</v>
      </c>
      <c r="B684">
        <f>climate_scores!H237*weights!$C$13</f>
        <v>6.0096578804189955E-2</v>
      </c>
      <c r="D684">
        <f>bird_scores!D237*weights!$C$14</f>
        <v>0.11892711267467564</v>
      </c>
      <c r="F684">
        <f>size_scores!C237*weights!$C$15</f>
        <v>1.9596861E-2</v>
      </c>
      <c r="H684">
        <f>estuary_data!Z237*weights!$C$16</f>
        <v>3.6961507596378368E-2</v>
      </c>
      <c r="J684">
        <f>SUM(B684:H684)</f>
        <v>0.23558206007524396</v>
      </c>
      <c r="K684" t="str">
        <f>IF(J684&gt;$N$2/5*4, "1", IF(J684&gt;$N$2/5*3, "2", IF(J684&gt;$N$2/5*2, "3", IF(J684&gt;$N$2/5, "4", "5"))))</f>
        <v>4</v>
      </c>
    </row>
    <row r="685" spans="1:11" x14ac:dyDescent="0.55000000000000004">
      <c r="A685">
        <v>237</v>
      </c>
      <c r="B685">
        <f>climate_scores!H238*weights!$C$13</f>
        <v>6.2815414596212857E-2</v>
      </c>
      <c r="D685">
        <f>bird_scores!D238*weights!$C$14</f>
        <v>0.11562953524287785</v>
      </c>
      <c r="F685">
        <f>size_scores!C238*weights!$C$15</f>
        <v>1.9596861E-2</v>
      </c>
      <c r="H685">
        <f>estuary_data!Z238*weights!$C$16</f>
        <v>3.6961507596378368E-2</v>
      </c>
      <c r="J685">
        <f>SUM(B685:H685)</f>
        <v>0.23500331843546907</v>
      </c>
      <c r="K685" t="str">
        <f>IF(J685&gt;$N$2/5*4, "1", IF(J685&gt;$N$2/5*3, "2", IF(J685&gt;$N$2/5*2, "3", IF(J685&gt;$N$2/5, "4", "5"))))</f>
        <v>4</v>
      </c>
    </row>
    <row r="686" spans="1:11" x14ac:dyDescent="0.55000000000000004">
      <c r="A686">
        <v>271</v>
      </c>
      <c r="B686">
        <f>climate_scores!H272*weights!$C$13</f>
        <v>6.0443921401478105E-2</v>
      </c>
      <c r="D686">
        <f>bird_scores!D272*weights!$C$14</f>
        <v>0.11308940891469049</v>
      </c>
      <c r="F686">
        <f>size_scores!C272*weights!$C$15</f>
        <v>1.9596861E-2</v>
      </c>
      <c r="H686">
        <f>estuary_data!Z272*weights!$C$16</f>
        <v>3.7624921337083735E-2</v>
      </c>
      <c r="J686">
        <f>SUM(B686:H686)</f>
        <v>0.23075511265325233</v>
      </c>
      <c r="K686" t="str">
        <f>IF(J686&gt;$N$2/5*4, "1", IF(J686&gt;$N$2/5*3, "2", IF(J686&gt;$N$2/5*2, "3", IF(J686&gt;$N$2/5, "4", "5"))))</f>
        <v>4</v>
      </c>
    </row>
    <row r="687" spans="1:11" x14ac:dyDescent="0.55000000000000004">
      <c r="A687">
        <v>277</v>
      </c>
      <c r="B687">
        <f>climate_scores!H278*weights!$C$13</f>
        <v>5.8431465265313322E-2</v>
      </c>
      <c r="D687">
        <f>bird_scores!D278*weights!$C$14</f>
        <v>0.13456361030632702</v>
      </c>
      <c r="F687">
        <f>size_scores!C278*weights!$C$15</f>
        <v>1.9596861E-2</v>
      </c>
      <c r="H687">
        <f>estuary_data!Z278*weights!$C$16</f>
        <v>1.9419314238494776E-2</v>
      </c>
      <c r="J687">
        <f>SUM(B687:H687)</f>
        <v>0.2320112508101351</v>
      </c>
      <c r="K687" t="str">
        <f>IF(J687&gt;$N$2/5*4, "1", IF(J687&gt;$N$2/5*3, "2", IF(J687&gt;$N$2/5*2, "3", IF(J687&gt;$N$2/5, "4", "5"))))</f>
        <v>4</v>
      </c>
    </row>
    <row r="688" spans="1:11" x14ac:dyDescent="0.55000000000000004">
      <c r="A688">
        <v>281</v>
      </c>
      <c r="B688">
        <f>climate_scores!H282*weights!$C$13</f>
        <v>5.3549537352025715E-2</v>
      </c>
      <c r="D688">
        <f>bird_scores!D282*weights!$C$14</f>
        <v>0.1226531357061536</v>
      </c>
      <c r="F688">
        <f>size_scores!C282*weights!$C$15</f>
        <v>1.9596861E-2</v>
      </c>
      <c r="H688">
        <f>estuary_data!Z282*weights!$C$16</f>
        <v>1.9419314238494776E-2</v>
      </c>
      <c r="J688">
        <f>SUM(B688:H688)</f>
        <v>0.21521884829667409</v>
      </c>
      <c r="K688" t="str">
        <f>IF(J688&gt;$N$2/5*4, "1", IF(J688&gt;$N$2/5*3, "2", IF(J688&gt;$N$2/5*2, "3", IF(J688&gt;$N$2/5, "4", "5"))))</f>
        <v>4</v>
      </c>
    </row>
    <row r="689" spans="1:11" x14ac:dyDescent="0.55000000000000004">
      <c r="A689">
        <v>282</v>
      </c>
      <c r="B689">
        <f>climate_scores!H283*weights!$C$13</f>
        <v>5.3731944037224942E-2</v>
      </c>
      <c r="D689">
        <f>bird_scores!D283*weights!$C$14</f>
        <v>0.13577256899954115</v>
      </c>
      <c r="F689">
        <f>size_scores!C283*weights!$C$15</f>
        <v>3.9193722E-2</v>
      </c>
      <c r="H689">
        <f>estuary_data!Z283*weights!$C$16</f>
        <v>1.9419314238494776E-2</v>
      </c>
      <c r="J689">
        <f>SUM(B689:H689)</f>
        <v>0.24811754927526089</v>
      </c>
      <c r="K689" t="str">
        <f>IF(J689&gt;$N$2/5*4, "1", IF(J689&gt;$N$2/5*3, "2", IF(J689&gt;$N$2/5*2, "3", IF(J689&gt;$N$2/5, "4", "5"))))</f>
        <v>4</v>
      </c>
    </row>
    <row r="690" spans="1:11" x14ac:dyDescent="0.55000000000000004">
      <c r="A690">
        <v>302</v>
      </c>
      <c r="B690">
        <f>climate_scores!H303*weights!$C$13</f>
        <v>5.6834174452096625E-2</v>
      </c>
      <c r="D690">
        <f>bird_scores!D303*weights!$C$14</f>
        <v>8.4713605885025453E-2</v>
      </c>
      <c r="F690">
        <f>size_scores!C303*weights!$C$15</f>
        <v>1.9596861E-2</v>
      </c>
      <c r="H690">
        <f>estuary_data!Z303*weights!$C$16</f>
        <v>4.0149990336699061E-2</v>
      </c>
      <c r="J690">
        <f>SUM(B690:H690)</f>
        <v>0.20129463167382111</v>
      </c>
      <c r="K690" t="str">
        <f>IF(J690&gt;$N$2/5*4, "1", IF(J690&gt;$N$2/5*3, "2", IF(J690&gt;$N$2/5*2, "3", IF(J690&gt;$N$2/5, "4", "5"))))</f>
        <v>4</v>
      </c>
    </row>
    <row r="691" spans="1:11" x14ac:dyDescent="0.55000000000000004">
      <c r="A691">
        <v>304</v>
      </c>
      <c r="B691">
        <f>climate_scores!H305*weights!$C$13</f>
        <v>6.14682988306961E-2</v>
      </c>
      <c r="D691">
        <f>bird_scores!D305*weights!$C$14</f>
        <v>6.6608402660281882E-2</v>
      </c>
      <c r="F691">
        <f>size_scores!C305*weights!$C$15</f>
        <v>3.9193722E-2</v>
      </c>
      <c r="H691">
        <f>estuary_data!Z305*weights!$C$16</f>
        <v>1.9419314238494776E-2</v>
      </c>
      <c r="J691">
        <f>SUM(B691:H691)</f>
        <v>0.18668973772947275</v>
      </c>
      <c r="K691" t="str">
        <f>IF(J691&gt;$N$2/5*4, "1", IF(J691&gt;$N$2/5*3, "2", IF(J691&gt;$N$2/5*2, "3", IF(J691&gt;$N$2/5, "4", "5"))))</f>
        <v>4</v>
      </c>
    </row>
    <row r="692" spans="1:11" x14ac:dyDescent="0.55000000000000004">
      <c r="A692">
        <v>305</v>
      </c>
      <c r="B692">
        <f>climate_scores!H306*weights!$C$13</f>
        <v>5.8118569582011663E-2</v>
      </c>
      <c r="D692">
        <f>bird_scores!D306*weights!$C$14</f>
        <v>9.6220642324056277E-2</v>
      </c>
      <c r="F692">
        <f>size_scores!C306*weights!$C$15</f>
        <v>3.9193722E-2</v>
      </c>
      <c r="H692">
        <f>estuary_data!Z306*weights!$C$16</f>
        <v>1.9419314238494776E-2</v>
      </c>
      <c r="J692">
        <f>SUM(B692:H692)</f>
        <v>0.21295224814456273</v>
      </c>
      <c r="K692" t="str">
        <f>IF(J692&gt;$N$2/5*4, "1", IF(J692&gt;$N$2/5*3, "2", IF(J692&gt;$N$2/5*2, "3", IF(J692&gt;$N$2/5, "4", "5"))))</f>
        <v>4</v>
      </c>
    </row>
    <row r="693" spans="1:11" x14ac:dyDescent="0.55000000000000004">
      <c r="A693">
        <v>310</v>
      </c>
      <c r="B693">
        <f>climate_scores!H311*weights!$C$13</f>
        <v>6.0106514575821765E-2</v>
      </c>
      <c r="D693">
        <f>bird_scores!D311*weights!$C$14</f>
        <v>9.9206512560836596E-2</v>
      </c>
      <c r="F693">
        <f>size_scores!C311*weights!$C$15</f>
        <v>1.9596861E-2</v>
      </c>
      <c r="H693">
        <f>estuary_data!Z311*weights!$C$16</f>
        <v>4.0149990336699061E-2</v>
      </c>
      <c r="J693">
        <f>SUM(B693:H693)</f>
        <v>0.21905987847335739</v>
      </c>
      <c r="K693" t="str">
        <f>IF(J693&gt;$N$2/5*4, "1", IF(J693&gt;$N$2/5*3, "2", IF(J693&gt;$N$2/5*2, "3", IF(J693&gt;$N$2/5, "4", "5"))))</f>
        <v>4</v>
      </c>
    </row>
    <row r="694" spans="1:11" x14ac:dyDescent="0.55000000000000004">
      <c r="A694">
        <v>311</v>
      </c>
      <c r="B694">
        <f>climate_scores!H312*weights!$C$13</f>
        <v>6.1187929127069954E-2</v>
      </c>
      <c r="D694">
        <f>bird_scores!D312*weights!$C$14</f>
        <v>9.3010142308000976E-2</v>
      </c>
      <c r="F694">
        <f>size_scores!C312*weights!$C$15</f>
        <v>1.9596861E-2</v>
      </c>
      <c r="H694">
        <f>estuary_data!Z312*weights!$C$16</f>
        <v>1.9419314238494776E-2</v>
      </c>
      <c r="J694">
        <f>SUM(B694:H694)</f>
        <v>0.19321424667356568</v>
      </c>
      <c r="K694" t="str">
        <f>IF(J694&gt;$N$2/5*4, "1", IF(J694&gt;$N$2/5*3, "2", IF(J694&gt;$N$2/5*2, "3", IF(J694&gt;$N$2/5, "4", "5"))))</f>
        <v>4</v>
      </c>
    </row>
    <row r="695" spans="1:11" x14ac:dyDescent="0.55000000000000004">
      <c r="A695">
        <v>314</v>
      </c>
      <c r="B695">
        <f>climate_scores!H315*weights!$C$13</f>
        <v>5.3825501559943728E-2</v>
      </c>
      <c r="D695">
        <f>bird_scores!D315*weights!$C$14</f>
        <v>8.7192467102945342E-2</v>
      </c>
      <c r="F695">
        <f>size_scores!C315*weights!$C$15</f>
        <v>1.9596861E-2</v>
      </c>
      <c r="H695">
        <f>estuary_data!Z315*weights!$C$16</f>
        <v>1.2137071399059307E-3</v>
      </c>
      <c r="J695">
        <f>SUM(B695:H695)</f>
        <v>0.16182853680279499</v>
      </c>
      <c r="K695" t="str">
        <f>IF(J695&gt;$N$2/5*4, "1", IF(J695&gt;$N$2/5*3, "2", IF(J695&gt;$N$2/5*2, "3", IF(J695&gt;$N$2/5, "4", "5"))))</f>
        <v>4</v>
      </c>
    </row>
    <row r="696" spans="1:11" x14ac:dyDescent="0.55000000000000004">
      <c r="A696">
        <v>318</v>
      </c>
      <c r="B696">
        <f>climate_scores!H319*weights!$C$13</f>
        <v>5.7108479363801562E-2</v>
      </c>
      <c r="D696">
        <f>bird_scores!D319*weights!$C$14</f>
        <v>6.97631077628246E-2</v>
      </c>
      <c r="F696">
        <f>size_scores!C319*weights!$C$15</f>
        <v>1.9596861E-2</v>
      </c>
      <c r="H696">
        <f>estuary_data!Z319*weights!$C$16</f>
        <v>1.2137071399059307E-3</v>
      </c>
      <c r="J696">
        <f>SUM(B696:H696)</f>
        <v>0.14768215526653208</v>
      </c>
      <c r="K696" t="str">
        <f>IF(J696&gt;$N$2/5*4, "1", IF(J696&gt;$N$2/5*3, "2", IF(J696&gt;$N$2/5*2, "3", IF(J696&gt;$N$2/5, "4", "5"))))</f>
        <v>5</v>
      </c>
    </row>
    <row r="697" spans="1:11" x14ac:dyDescent="0.55000000000000004">
      <c r="A697">
        <v>321</v>
      </c>
      <c r="B697">
        <f>climate_scores!H322*weights!$C$13</f>
        <v>6.6820710388212953E-2</v>
      </c>
      <c r="D697">
        <f>bird_scores!D322*weights!$C$14</f>
        <v>6.324437976229369E-2</v>
      </c>
      <c r="F697">
        <f>size_scores!C322*weights!$C$15</f>
        <v>1.9596861E-2</v>
      </c>
      <c r="H697">
        <f>estuary_data!Z322*weights!$C$16</f>
        <v>0</v>
      </c>
      <c r="J697">
        <f>SUM(B697:H697)</f>
        <v>0.14966195115050665</v>
      </c>
      <c r="K697" t="str">
        <f>IF(J697&gt;$N$2/5*4, "1", IF(J697&gt;$N$2/5*3, "2", IF(J697&gt;$N$2/5*2, "3", IF(J697&gt;$N$2/5, "4", "5"))))</f>
        <v>5</v>
      </c>
    </row>
    <row r="698" spans="1:11" x14ac:dyDescent="0.55000000000000004">
      <c r="A698">
        <v>325</v>
      </c>
      <c r="B698">
        <f>climate_scores!H326*weights!$C$13</f>
        <v>4.3122090515569769E-2</v>
      </c>
      <c r="D698">
        <f>bird_scores!D326*weights!$C$14</f>
        <v>5.8425412112776173E-2</v>
      </c>
      <c r="F698">
        <f>size_scores!C326*weights!$C$15</f>
        <v>1.9596861E-2</v>
      </c>
      <c r="H698">
        <f>estuary_data!Z326*weights!$C$16</f>
        <v>1.2137071399059307E-3</v>
      </c>
      <c r="J698">
        <f>SUM(B698:H698)</f>
        <v>0.12235807076825186</v>
      </c>
      <c r="K698" t="str">
        <f>IF(J698&gt;$N$2/5*4, "1", IF(J698&gt;$N$2/5*3, "2", IF(J698&gt;$N$2/5*2, "3", IF(J698&gt;$N$2/5, "4", "5"))))</f>
        <v>5</v>
      </c>
    </row>
    <row r="699" spans="1:11" x14ac:dyDescent="0.55000000000000004">
      <c r="A699">
        <v>329</v>
      </c>
      <c r="B699">
        <f>climate_scores!H330*weights!$C$13</f>
        <v>4.595634783732272E-2</v>
      </c>
      <c r="D699">
        <f>bird_scores!D330*weights!$C$14</f>
        <v>7.0149120444084473E-2</v>
      </c>
      <c r="F699">
        <f>size_scores!C330*weights!$C$15</f>
        <v>1.9596861E-2</v>
      </c>
      <c r="H699">
        <f>estuary_data!Z330*weights!$C$16</f>
        <v>9.1028035492944429E-3</v>
      </c>
      <c r="J699">
        <f>SUM(B699:H699)</f>
        <v>0.14480513283070162</v>
      </c>
      <c r="K699" t="str">
        <f>IF(J699&gt;$N$2/5*4, "1", IF(J699&gt;$N$2/5*3, "2", IF(J699&gt;$N$2/5*2, "3", IF(J699&gt;$N$2/5, "4", "5"))))</f>
        <v>5</v>
      </c>
    </row>
    <row r="700" spans="1:11" x14ac:dyDescent="0.55000000000000004">
      <c r="A700">
        <v>331</v>
      </c>
      <c r="B700">
        <f>climate_scores!H332*weights!$C$13</f>
        <v>6.1034329488410866E-2</v>
      </c>
      <c r="D700">
        <f>bird_scores!D332*weights!$C$14</f>
        <v>6.6933531052775164E-2</v>
      </c>
      <c r="F700">
        <f>size_scores!C332*weights!$C$15</f>
        <v>1.9596861E-2</v>
      </c>
      <c r="H700">
        <f>estuary_data!Z332*weights!$C$16</f>
        <v>2.0633021378400784E-2</v>
      </c>
      <c r="J700">
        <f>SUM(B700:H700)</f>
        <v>0.16819774291958681</v>
      </c>
      <c r="K700" t="str">
        <f>IF(J700&gt;$N$2/5*4, "1", IF(J700&gt;$N$2/5*3, "2", IF(J700&gt;$N$2/5*2, "3", IF(J700&gt;$N$2/5, "4", "5"))))</f>
        <v>4</v>
      </c>
    </row>
    <row r="701" spans="1:11" x14ac:dyDescent="0.55000000000000004">
      <c r="A701">
        <v>335</v>
      </c>
      <c r="B701">
        <f>climate_scores!H336*weights!$C$13</f>
        <v>5.5272001955390476E-2</v>
      </c>
      <c r="D701">
        <f>bird_scores!D336*weights!$C$14</f>
        <v>7.9598326340559578E-2</v>
      </c>
      <c r="F701">
        <f>size_scores!C336*weights!$C$15</f>
        <v>1.9596861E-2</v>
      </c>
      <c r="H701">
        <f>estuary_data!Z336*weights!$C$16</f>
        <v>1.0316510689200344E-2</v>
      </c>
      <c r="J701">
        <f>SUM(B701:H701)</f>
        <v>0.16478369998515038</v>
      </c>
      <c r="K701" t="str">
        <f>IF(J701&gt;$N$2/5*4, "1", IF(J701&gt;$N$2/5*3, "2", IF(J701&gt;$N$2/5*2, "3", IF(J701&gt;$N$2/5, "4", "5"))))</f>
        <v>4</v>
      </c>
    </row>
    <row r="702" spans="1:11" x14ac:dyDescent="0.55000000000000004">
      <c r="A702">
        <v>344</v>
      </c>
      <c r="B702">
        <f>climate_scores!H345*weights!$C$13</f>
        <v>6.6072258880708973E-2</v>
      </c>
      <c r="D702">
        <f>bird_scores!D345*weights!$C$14</f>
        <v>6.1266557846625193E-2</v>
      </c>
      <c r="F702">
        <f>size_scores!C345*weights!$C$15</f>
        <v>1.9596861E-2</v>
      </c>
      <c r="H702">
        <f>estuary_data!Z345*weights!$C$16</f>
        <v>1.0316510689200344E-2</v>
      </c>
      <c r="J702">
        <f>SUM(B702:H702)</f>
        <v>0.15725218841653449</v>
      </c>
      <c r="K702" t="str">
        <f>IF(J702&gt;$N$2/5*4, "1", IF(J702&gt;$N$2/5*3, "2", IF(J702&gt;$N$2/5*2, "3", IF(J702&gt;$N$2/5, "4", "5"))))</f>
        <v>5</v>
      </c>
    </row>
    <row r="703" spans="1:11" x14ac:dyDescent="0.55000000000000004">
      <c r="A703">
        <v>345</v>
      </c>
      <c r="B703">
        <f>climate_scores!H346*weights!$C$13</f>
        <v>5.8249137746788651E-2</v>
      </c>
      <c r="D703">
        <f>bird_scores!D346*weights!$C$14</f>
        <v>7.5119367927364428E-2</v>
      </c>
      <c r="F703">
        <f>size_scores!C346*weights!$C$15</f>
        <v>1.9596861E-2</v>
      </c>
      <c r="H703">
        <f>estuary_data!Z346*weights!$C$16</f>
        <v>1.0316510689200344E-2</v>
      </c>
      <c r="J703">
        <f>SUM(B703:H703)</f>
        <v>0.16328187736335342</v>
      </c>
      <c r="K703" t="str">
        <f>IF(J703&gt;$N$2/5*4, "1", IF(J703&gt;$N$2/5*3, "2", IF(J703&gt;$N$2/5*2, "3", IF(J703&gt;$N$2/5, "4", "5"))))</f>
        <v>4</v>
      </c>
    </row>
    <row r="704" spans="1:11" x14ac:dyDescent="0.55000000000000004">
      <c r="A704">
        <v>347</v>
      </c>
      <c r="B704">
        <f>climate_scores!H348*weights!$C$13</f>
        <v>5.9635207299505562E-2</v>
      </c>
      <c r="D704">
        <f>bird_scores!D348*weights!$C$14</f>
        <v>6.7561709158111383E-2</v>
      </c>
      <c r="F704">
        <f>size_scores!C348*weights!$C$15</f>
        <v>3.9193722E-2</v>
      </c>
      <c r="H704">
        <f>estuary_data!Z348*weights!$C$16</f>
        <v>1.0316510689200344E-2</v>
      </c>
      <c r="J704">
        <f>SUM(B704:H704)</f>
        <v>0.17670714914681726</v>
      </c>
      <c r="K704" t="str">
        <f>IF(J704&gt;$N$2/5*4, "1", IF(J704&gt;$N$2/5*3, "2", IF(J704&gt;$N$2/5*2, "3", IF(J704&gt;$N$2/5, "4", "5"))))</f>
        <v>4</v>
      </c>
    </row>
    <row r="705" spans="1:11" x14ac:dyDescent="0.55000000000000004">
      <c r="A705">
        <v>349</v>
      </c>
      <c r="B705">
        <f>climate_scores!H350*weights!$C$13</f>
        <v>5.9794753646364392E-2</v>
      </c>
      <c r="D705">
        <f>bird_scores!D350*weights!$C$14</f>
        <v>7.4301086435993827E-2</v>
      </c>
      <c r="F705">
        <f>size_scores!C350*weights!$C$15</f>
        <v>3.9193722E-2</v>
      </c>
      <c r="H705">
        <f>estuary_data!Z350*weights!$C$16</f>
        <v>2.0633021378400784E-2</v>
      </c>
      <c r="J705">
        <f>SUM(B705:H705)</f>
        <v>0.19392258346075902</v>
      </c>
      <c r="K705" t="str">
        <f>IF(J705&gt;$N$2/5*4, "1", IF(J705&gt;$N$2/5*3, "2", IF(J705&gt;$N$2/5*2, "3", IF(J705&gt;$N$2/5, "4", "5"))))</f>
        <v>4</v>
      </c>
    </row>
    <row r="706" spans="1:11" x14ac:dyDescent="0.55000000000000004">
      <c r="A706">
        <v>352</v>
      </c>
      <c r="B706">
        <f>climate_scores!H353*weights!$C$13</f>
        <v>4.8296177848060715E-2</v>
      </c>
      <c r="D706">
        <f>bird_scores!D353*weights!$C$14</f>
        <v>6.2665064262643663E-2</v>
      </c>
      <c r="F706">
        <f>size_scores!C353*weights!$C$15</f>
        <v>1.9596861E-2</v>
      </c>
      <c r="H706">
        <f>estuary_data!Z353*weights!$C$16</f>
        <v>1.5171339248824087E-2</v>
      </c>
      <c r="J706">
        <f>SUM(B706:H706)</f>
        <v>0.14572944235952845</v>
      </c>
      <c r="K706" t="str">
        <f>IF(J706&gt;$N$2/5*4, "1", IF(J706&gt;$N$2/5*3, "2", IF(J706&gt;$N$2/5*2, "3", IF(J706&gt;$N$2/5, "4", "5"))))</f>
        <v>5</v>
      </c>
    </row>
    <row r="707" spans="1:11" x14ac:dyDescent="0.55000000000000004">
      <c r="A707">
        <v>370</v>
      </c>
      <c r="B707">
        <f>climate_scores!H371*weights!$C$13</f>
        <v>5.076093148857589E-2</v>
      </c>
      <c r="D707">
        <f>bird_scores!D371*weights!$C$14</f>
        <v>9.0143037944543203E-2</v>
      </c>
      <c r="F707">
        <f>size_scores!C371*weights!$C$15</f>
        <v>3.9193722E-2</v>
      </c>
      <c r="H707">
        <f>estuary_data!Z371*weights!$C$16</f>
        <v>0</v>
      </c>
      <c r="J707">
        <f>SUM(B707:H707)</f>
        <v>0.1800976914331191</v>
      </c>
      <c r="K707" t="str">
        <f>IF(J707&gt;$N$2/5*4, "1", IF(J707&gt;$N$2/5*3, "2", IF(J707&gt;$N$2/5*2, "3", IF(J707&gt;$N$2/5, "4", "5"))))</f>
        <v>4</v>
      </c>
    </row>
    <row r="708" spans="1:11" x14ac:dyDescent="0.55000000000000004">
      <c r="A708">
        <v>372</v>
      </c>
      <c r="B708">
        <f>climate_scores!H373*weights!$C$13</f>
        <v>5.4591435707606564E-2</v>
      </c>
      <c r="D708">
        <f>bird_scores!D373*weights!$C$14</f>
        <v>7.8847602964525823E-2</v>
      </c>
      <c r="F708">
        <f>size_scores!C373*weights!$C$15</f>
        <v>3.9193722E-2</v>
      </c>
      <c r="H708">
        <f>estuary_data!Z373*weights!$C$16</f>
        <v>0</v>
      </c>
      <c r="J708">
        <f>SUM(B708:H708)</f>
        <v>0.1726327606721324</v>
      </c>
      <c r="K708" t="str">
        <f>IF(J708&gt;$N$2/5*4, "1", IF(J708&gt;$N$2/5*3, "2", IF(J708&gt;$N$2/5*2, "3", IF(J708&gt;$N$2/5, "4", "5"))))</f>
        <v>4</v>
      </c>
    </row>
    <row r="709" spans="1:11" x14ac:dyDescent="0.55000000000000004">
      <c r="A709">
        <v>375</v>
      </c>
      <c r="B709">
        <f>climate_scores!H376*weights!$C$13</f>
        <v>6.0577337060441432E-2</v>
      </c>
      <c r="D709">
        <f>bird_scores!D376*weights!$C$14</f>
        <v>6.26162868078185E-2</v>
      </c>
      <c r="F709">
        <f>size_scores!C376*weights!$C$15</f>
        <v>3.9193722E-2</v>
      </c>
      <c r="H709">
        <f>estuary_data!Z376*weights!$C$16</f>
        <v>0</v>
      </c>
      <c r="J709">
        <f>SUM(B709:H709)</f>
        <v>0.16238734586825992</v>
      </c>
      <c r="K709" t="str">
        <f>IF(J709&gt;$N$2/5*4, "1", IF(J709&gt;$N$2/5*3, "2", IF(J709&gt;$N$2/5*2, "3", IF(J709&gt;$N$2/5, "4", "5"))))</f>
        <v>4</v>
      </c>
    </row>
    <row r="710" spans="1:11" x14ac:dyDescent="0.55000000000000004">
      <c r="A710">
        <v>378</v>
      </c>
      <c r="B710">
        <f>climate_scores!H379*weights!$C$13</f>
        <v>5.2898828283183243E-2</v>
      </c>
      <c r="D710">
        <f>bird_scores!D379*weights!$C$14</f>
        <v>6.6156758002946847E-2</v>
      </c>
      <c r="F710">
        <f>size_scores!C379*weights!$C$15</f>
        <v>5.8790582999999993E-2</v>
      </c>
      <c r="H710">
        <f>estuary_data!Z379*weights!$C$16</f>
        <v>0</v>
      </c>
      <c r="J710">
        <f>SUM(B710:H710)</f>
        <v>0.17784616928613006</v>
      </c>
      <c r="K710" t="str">
        <f>IF(J710&gt;$N$2/5*4, "1", IF(J710&gt;$N$2/5*3, "2", IF(J710&gt;$N$2/5*2, "3", IF(J710&gt;$N$2/5, "4", "5"))))</f>
        <v>4</v>
      </c>
    </row>
    <row r="711" spans="1:11" x14ac:dyDescent="0.55000000000000004">
      <c r="A711">
        <v>379</v>
      </c>
      <c r="B711">
        <f>climate_scores!H380*weights!$C$13</f>
        <v>6.1770877931631392E-2</v>
      </c>
      <c r="D711">
        <f>bird_scores!D380*weights!$C$14</f>
        <v>7.9483932628905504E-2</v>
      </c>
      <c r="F711">
        <f>size_scores!C380*weights!$C$15</f>
        <v>3.9193722E-2</v>
      </c>
      <c r="H711">
        <f>estuary_data!Z380*weights!$C$16</f>
        <v>0</v>
      </c>
      <c r="J711">
        <f>SUM(B711:H711)</f>
        <v>0.18044853256053689</v>
      </c>
      <c r="K711" t="str">
        <f>IF(J711&gt;$N$2/5*4, "1", IF(J711&gt;$N$2/5*3, "2", IF(J711&gt;$N$2/5*2, "3", IF(J711&gt;$N$2/5, "4", "5"))))</f>
        <v>4</v>
      </c>
    </row>
    <row r="712" spans="1:11" x14ac:dyDescent="0.55000000000000004">
      <c r="A712">
        <v>385</v>
      </c>
      <c r="B712">
        <f>climate_scores!H386*weights!$C$13</f>
        <v>5.6404259678884031E-2</v>
      </c>
      <c r="D712">
        <f>bird_scores!D386*weights!$C$14</f>
        <v>6.3734193229862915E-2</v>
      </c>
      <c r="F712">
        <f>size_scores!C386*weights!$C$15</f>
        <v>3.9193722E-2</v>
      </c>
      <c r="H712">
        <f>estuary_data!Z386*weights!$C$16</f>
        <v>0</v>
      </c>
      <c r="J712">
        <f>SUM(B712:H712)</f>
        <v>0.15933217490874696</v>
      </c>
      <c r="K712" t="str">
        <f>IF(J712&gt;$N$2/5*4, "1", IF(J712&gt;$N$2/5*3, "2", IF(J712&gt;$N$2/5*2, "3", IF(J712&gt;$N$2/5, "4", "5"))))</f>
        <v>4</v>
      </c>
    </row>
    <row r="713" spans="1:11" x14ac:dyDescent="0.55000000000000004">
      <c r="A713">
        <v>386</v>
      </c>
      <c r="B713">
        <f>climate_scores!H387*weights!$C$13</f>
        <v>6.1119451990161687E-2</v>
      </c>
      <c r="D713">
        <f>bird_scores!D387*weights!$C$14</f>
        <v>7.6121918952436016E-2</v>
      </c>
      <c r="F713">
        <f>size_scores!C387*weights!$C$15</f>
        <v>1.9596861E-2</v>
      </c>
      <c r="H713">
        <f>estuary_data!Z387*weights!$C$16</f>
        <v>0</v>
      </c>
      <c r="J713">
        <f>SUM(B713:H713)</f>
        <v>0.15683823194259769</v>
      </c>
      <c r="K713" t="str">
        <f>IF(J713&gt;$N$2/5*4, "1", IF(J713&gt;$N$2/5*3, "2", IF(J713&gt;$N$2/5*2, "3", IF(J713&gt;$N$2/5, "4", "5"))))</f>
        <v>5</v>
      </c>
    </row>
    <row r="714" spans="1:11" x14ac:dyDescent="0.55000000000000004">
      <c r="A714">
        <v>398</v>
      </c>
      <c r="B714">
        <f>climate_scores!H399*weights!$C$13</f>
        <v>6.49747879162373E-2</v>
      </c>
      <c r="D714">
        <f>bird_scores!D399*weights!$C$14</f>
        <v>7.4324070558771257E-2</v>
      </c>
      <c r="F714">
        <f>size_scores!C399*weights!$C$15</f>
        <v>3.9193722E-2</v>
      </c>
      <c r="H714">
        <f>estuary_data!Z399*weights!$C$16</f>
        <v>0</v>
      </c>
      <c r="J714">
        <f>SUM(B714:H714)</f>
        <v>0.17849258047500854</v>
      </c>
      <c r="K714" t="str">
        <f>IF(J714&gt;$N$2/5*4, "1", IF(J714&gt;$N$2/5*3, "2", IF(J714&gt;$N$2/5*2, "3", IF(J714&gt;$N$2/5, "4", "5"))))</f>
        <v>4</v>
      </c>
    </row>
    <row r="715" spans="1:11" x14ac:dyDescent="0.55000000000000004">
      <c r="A715">
        <v>399</v>
      </c>
      <c r="B715">
        <f>climate_scores!H400*weights!$C$13</f>
        <v>6.1959845096752168E-2</v>
      </c>
      <c r="D715">
        <f>bird_scores!D400*weights!$C$14</f>
        <v>7.4262426412598642E-2</v>
      </c>
      <c r="F715">
        <f>size_scores!C400*weights!$C$15</f>
        <v>3.9193722E-2</v>
      </c>
      <c r="H715">
        <f>estuary_data!Z400*weights!$C$16</f>
        <v>0</v>
      </c>
      <c r="J715">
        <f>SUM(B715:H715)</f>
        <v>0.17541599350935083</v>
      </c>
      <c r="K715" t="str">
        <f>IF(J715&gt;$N$2/5*4, "1", IF(J715&gt;$N$2/5*3, "2", IF(J715&gt;$N$2/5*2, "3", IF(J715&gt;$N$2/5, "4", "5"))))</f>
        <v>4</v>
      </c>
    </row>
    <row r="716" spans="1:11" x14ac:dyDescent="0.55000000000000004">
      <c r="A716">
        <v>412</v>
      </c>
      <c r="B716">
        <f>climate_scores!H413*weights!$C$13</f>
        <v>4.9750260186912441E-2</v>
      </c>
      <c r="D716">
        <f>bird_scores!D413*weights!$C$14</f>
        <v>6.1240146696726117E-2</v>
      </c>
      <c r="F716">
        <f>size_scores!C413*weights!$C$15</f>
        <v>3.9193722E-2</v>
      </c>
      <c r="H716">
        <f>estuary_data!Z413*weights!$C$16</f>
        <v>0</v>
      </c>
      <c r="J716">
        <f>SUM(B716:H716)</f>
        <v>0.15018412888363858</v>
      </c>
      <c r="K716" t="str">
        <f>IF(J716&gt;$N$2/5*4, "1", IF(J716&gt;$N$2/5*3, "2", IF(J716&gt;$N$2/5*2, "3", IF(J716&gt;$N$2/5, "4", "5"))))</f>
        <v>5</v>
      </c>
    </row>
    <row r="717" spans="1:11" x14ac:dyDescent="0.55000000000000004">
      <c r="A717">
        <v>415</v>
      </c>
      <c r="B717">
        <f>climate_scores!H416*weights!$C$13</f>
        <v>5.0859188305540801E-2</v>
      </c>
      <c r="D717">
        <f>bird_scores!D416*weights!$C$14</f>
        <v>6.3410594099920087E-2</v>
      </c>
      <c r="F717">
        <f>size_scores!C416*weights!$C$15</f>
        <v>1.9596861E-2</v>
      </c>
      <c r="H717">
        <f>estuary_data!Z416*weights!$C$16</f>
        <v>0</v>
      </c>
      <c r="J717">
        <f>SUM(B717:H717)</f>
        <v>0.13386664340546089</v>
      </c>
      <c r="K717" t="str">
        <f>IF(J717&gt;$N$2/5*4, "1", IF(J717&gt;$N$2/5*3, "2", IF(J717&gt;$N$2/5*2, "3", IF(J717&gt;$N$2/5, "4", "5"))))</f>
        <v>5</v>
      </c>
    </row>
    <row r="718" spans="1:11" x14ac:dyDescent="0.55000000000000004">
      <c r="A718">
        <v>421</v>
      </c>
      <c r="B718">
        <f>climate_scores!H422*weights!$C$13</f>
        <v>4.8658427595737908E-2</v>
      </c>
      <c r="D718">
        <f>bird_scores!D422*weights!$C$14</f>
        <v>8.9232531802922968E-2</v>
      </c>
      <c r="F718">
        <f>size_scores!C422*weights!$C$15</f>
        <v>1.9596861E-2</v>
      </c>
      <c r="H718">
        <f>estuary_data!Z422*weights!$C$16</f>
        <v>2.8700132427872907E-2</v>
      </c>
      <c r="J718">
        <f>SUM(B718:H718)</f>
        <v>0.18618795282653378</v>
      </c>
      <c r="K718" t="str">
        <f>IF(J718&gt;$N$2/5*4, "1", IF(J718&gt;$N$2/5*3, "2", IF(J718&gt;$N$2/5*2, "3", IF(J718&gt;$N$2/5, "4", "5"))))</f>
        <v>4</v>
      </c>
    </row>
    <row r="719" spans="1:11" x14ac:dyDescent="0.55000000000000004">
      <c r="A719">
        <v>426</v>
      </c>
      <c r="B719">
        <f>climate_scores!H427*weights!$C$13</f>
        <v>4.869864952524449E-2</v>
      </c>
      <c r="D719">
        <f>bird_scores!D427*weights!$C$14</f>
        <v>7.8708726178402466E-2</v>
      </c>
      <c r="F719">
        <f>size_scores!C427*weights!$C$15</f>
        <v>1.9596861E-2</v>
      </c>
      <c r="H719">
        <f>estuary_data!Z427*weights!$C$16</f>
        <v>6.9177637363647777E-3</v>
      </c>
      <c r="J719">
        <f>SUM(B719:H719)</f>
        <v>0.15392200044001172</v>
      </c>
      <c r="K719" t="str">
        <f>IF(J719&gt;$N$2/5*4, "1", IF(J719&gt;$N$2/5*3, "2", IF(J719&gt;$N$2/5*2, "3", IF(J719&gt;$N$2/5, "4", "5"))))</f>
        <v>5</v>
      </c>
    </row>
    <row r="720" spans="1:11" x14ac:dyDescent="0.55000000000000004">
      <c r="A720">
        <v>2005</v>
      </c>
      <c r="B720">
        <f>climate_scores!H618*weights!$C$13</f>
        <v>6.2568754853412012E-2</v>
      </c>
      <c r="D720">
        <f>bird_scores!D618*weights!$C$14</f>
        <v>0.10757658066921283</v>
      </c>
      <c r="F720">
        <f>size_scores!C618*weights!$C$15</f>
        <v>1.9596861E-2</v>
      </c>
      <c r="H720">
        <f>estuary_data!Z618*weights!$C$16</f>
        <v>3.9331072584736964E-3</v>
      </c>
      <c r="J720">
        <f>SUM(B720:H720)</f>
        <v>0.19367530378109854</v>
      </c>
      <c r="K720" t="str">
        <f>IF(J720&gt;$N$2/5*4, "1", IF(J720&gt;$N$2/5*3, "2", IF(J720&gt;$N$2/5*2, "3", IF(J720&gt;$N$2/5, "4", "5"))))</f>
        <v>4</v>
      </c>
    </row>
    <row r="721" spans="1:11" x14ac:dyDescent="0.55000000000000004">
      <c r="A721">
        <v>2007</v>
      </c>
      <c r="B721">
        <f>climate_scores!H620*weights!$C$13</f>
        <v>6.0571470905539812E-2</v>
      </c>
      <c r="D721">
        <f>bird_scores!D620*weights!$C$14</f>
        <v>8.8623778162267505E-2</v>
      </c>
      <c r="F721">
        <f>size_scores!C620*weights!$C$15</f>
        <v>1.9596861E-2</v>
      </c>
      <c r="H721">
        <f>estuary_data!Z620*weights!$C$16</f>
        <v>4.2972838564805157E-3</v>
      </c>
      <c r="J721">
        <f>SUM(B721:H721)</f>
        <v>0.17308939392428782</v>
      </c>
      <c r="K721" t="str">
        <f>IF(J721&gt;$N$2/5*4, "1", IF(J721&gt;$N$2/5*3, "2", IF(J721&gt;$N$2/5*2, "3", IF(J721&gt;$N$2/5, "4", "5"))))</f>
        <v>4</v>
      </c>
    </row>
    <row r="722" spans="1:11" x14ac:dyDescent="0.55000000000000004">
      <c r="A722">
        <v>2010</v>
      </c>
      <c r="B722">
        <f>climate_scores!H623*weights!$C$13</f>
        <v>4.1599387712551741E-2</v>
      </c>
      <c r="D722">
        <f>bird_scores!D623*weights!$C$14</f>
        <v>0.10509072553981048</v>
      </c>
      <c r="F722">
        <f>size_scores!C623*weights!$C$15</f>
        <v>1.9596861E-2</v>
      </c>
      <c r="H722">
        <f>estuary_data!Z623*weights!$C$16</f>
        <v>4.2972838564805157E-3</v>
      </c>
      <c r="J722">
        <f>SUM(B722:H722)</f>
        <v>0.17058425810884273</v>
      </c>
      <c r="K722" t="str">
        <f>IF(J722&gt;$N$2/5*4, "1", IF(J722&gt;$N$2/5*3, "2", IF(J722&gt;$N$2/5*2, "3", IF(J722&gt;$N$2/5, "4", "5"))))</f>
        <v>4</v>
      </c>
    </row>
    <row r="723" spans="1:11" x14ac:dyDescent="0.55000000000000004">
      <c r="A723">
        <v>2044</v>
      </c>
      <c r="B723">
        <f>climate_scores!H657*weights!$C$13</f>
        <v>3.4507251686781079E-2</v>
      </c>
      <c r="D723">
        <f>bird_scores!D657*weights!$C$14</f>
        <v>9.062268896488189E-2</v>
      </c>
      <c r="F723">
        <f>size_scores!C657*weights!$C$15</f>
        <v>3.9193722E-2</v>
      </c>
      <c r="H723">
        <f>estuary_data!Z657*weights!$C$16</f>
        <v>4.9892193926934798E-3</v>
      </c>
      <c r="J723">
        <f>SUM(B723:H723)</f>
        <v>0.16931288204435646</v>
      </c>
      <c r="K723" t="str">
        <f>IF(J723&gt;$N$2/5*4, "1", IF(J723&gt;$N$2/5*3, "2", IF(J723&gt;$N$2/5*2, "3", IF(J723&gt;$N$2/5, "4", "5"))))</f>
        <v>4</v>
      </c>
    </row>
    <row r="724" spans="1:11" x14ac:dyDescent="0.55000000000000004">
      <c r="A724">
        <v>2048</v>
      </c>
      <c r="B724">
        <f>climate_scores!H661*weights!$C$13</f>
        <v>3.718887275908813E-2</v>
      </c>
      <c r="D724">
        <f>bird_scores!D661*weights!$C$14</f>
        <v>9.8955944336924825E-2</v>
      </c>
      <c r="F724">
        <f>size_scores!C661*weights!$C$15</f>
        <v>3.9193722E-2</v>
      </c>
      <c r="H724">
        <f>estuary_data!Z661*weights!$C$16</f>
        <v>4.9892193926934798E-3</v>
      </c>
      <c r="J724">
        <f>SUM(B724:H724)</f>
        <v>0.18032775848870641</v>
      </c>
      <c r="K724" t="str">
        <f>IF(J724&gt;$N$2/5*4, "1", IF(J724&gt;$N$2/5*3, "2", IF(J724&gt;$N$2/5*2, "3", IF(J724&gt;$N$2/5, "4", "5"))))</f>
        <v>4</v>
      </c>
    </row>
    <row r="725" spans="1:11" x14ac:dyDescent="0.55000000000000004">
      <c r="A725">
        <v>2053</v>
      </c>
      <c r="B725">
        <f>climate_scores!H666*weights!$C$13</f>
        <v>3.6361234530735427E-2</v>
      </c>
      <c r="D725">
        <f>bird_scores!D666*weights!$C$14</f>
        <v>8.2048756638399084E-2</v>
      </c>
      <c r="F725">
        <f>size_scores!C666*weights!$C$15</f>
        <v>5.8790582999999993E-2</v>
      </c>
      <c r="H725">
        <f>estuary_data!Z666*weights!$C$16</f>
        <v>5.7880596684576928E-3</v>
      </c>
      <c r="J725">
        <f>SUM(B725:H725)</f>
        <v>0.18298863383759217</v>
      </c>
      <c r="K725" t="str">
        <f>IF(J725&gt;$N$2/5*4, "1", IF(J725&gt;$N$2/5*3, "2", IF(J725&gt;$N$2/5*2, "3", IF(J725&gt;$N$2/5, "4", "5"))))</f>
        <v>4</v>
      </c>
    </row>
    <row r="726" spans="1:11" x14ac:dyDescent="0.55000000000000004">
      <c r="A726">
        <v>2055</v>
      </c>
      <c r="B726">
        <f>climate_scores!H668*weights!$C$13</f>
        <v>3.7936136698793567E-2</v>
      </c>
      <c r="D726">
        <f>bird_scores!D668*weights!$C$14</f>
        <v>7.3182428732462973E-2</v>
      </c>
      <c r="F726">
        <f>size_scores!C668*weights!$C$15</f>
        <v>1.9596861E-2</v>
      </c>
      <c r="H726">
        <f>estuary_data!Z668*weights!$C$16</f>
        <v>5.0256370524941621E-3</v>
      </c>
      <c r="J726">
        <f>SUM(B726:H726)</f>
        <v>0.1357410634837507</v>
      </c>
      <c r="K726" t="str">
        <f>IF(J726&gt;$N$2/5*4, "1", IF(J726&gt;$N$2/5*3, "2", IF(J726&gt;$N$2/5*2, "3", IF(J726&gt;$N$2/5, "4", "5"))))</f>
        <v>5</v>
      </c>
    </row>
    <row r="727" spans="1:11" x14ac:dyDescent="0.55000000000000004">
      <c r="A727">
        <v>2056</v>
      </c>
      <c r="B727">
        <f>climate_scores!H669*weights!$C$13</f>
        <v>4.1093760051884552E-2</v>
      </c>
      <c r="D727">
        <f>bird_scores!D669*weights!$C$14</f>
        <v>6.8416901549032655E-2</v>
      </c>
      <c r="F727">
        <f>size_scores!C669*weights!$C$15</f>
        <v>1.9596861E-2</v>
      </c>
      <c r="H727">
        <f>estuary_data!Z669*weights!$C$16</f>
        <v>5.0256370524941621E-3</v>
      </c>
      <c r="J727">
        <f>SUM(B727:H727)</f>
        <v>0.13413315965341138</v>
      </c>
      <c r="K727" t="str">
        <f>IF(J727&gt;$N$2/5*4, "1", IF(J727&gt;$N$2/5*3, "2", IF(J727&gt;$N$2/5*2, "3", IF(J727&gt;$N$2/5, "4", "5"))))</f>
        <v>5</v>
      </c>
    </row>
    <row r="728" spans="1:11" x14ac:dyDescent="0.55000000000000004">
      <c r="A728">
        <v>2057</v>
      </c>
      <c r="B728">
        <f>climate_scores!H670*weights!$C$13</f>
        <v>3.6564297208853437E-2</v>
      </c>
      <c r="D728">
        <f>bird_scores!D670*weights!$C$14</f>
        <v>9.3558378542725668E-2</v>
      </c>
      <c r="F728">
        <f>size_scores!C670*weights!$C$15</f>
        <v>1.9596861E-2</v>
      </c>
      <c r="H728">
        <f>estuary_data!Z670*weights!$C$16</f>
        <v>5.0256370524941621E-3</v>
      </c>
      <c r="J728">
        <f>SUM(B728:H728)</f>
        <v>0.15474517380407327</v>
      </c>
      <c r="K728" t="str">
        <f>IF(J728&gt;$N$2/5*4, "1", IF(J728&gt;$N$2/5*3, "2", IF(J728&gt;$N$2/5*2, "3", IF(J728&gt;$N$2/5, "4", "5"))))</f>
        <v>5</v>
      </c>
    </row>
    <row r="729" spans="1:11" x14ac:dyDescent="0.55000000000000004">
      <c r="A729">
        <v>2058</v>
      </c>
      <c r="B729">
        <f>climate_scores!H671*weights!$C$13</f>
        <v>4.1064213242216367E-2</v>
      </c>
      <c r="D729">
        <f>bird_scores!D671*weights!$C$14</f>
        <v>8.8883545971600392E-2</v>
      </c>
      <c r="F729">
        <f>size_scores!C671*weights!$C$15</f>
        <v>1.9596861E-2</v>
      </c>
      <c r="H729">
        <f>estuary_data!Z671*weights!$C$16</f>
        <v>5.0256370524941621E-3</v>
      </c>
      <c r="J729">
        <f>SUM(B729:H729)</f>
        <v>0.15457025726631093</v>
      </c>
      <c r="K729" t="str">
        <f>IF(J729&gt;$N$2/5*4, "1", IF(J729&gt;$N$2/5*3, "2", IF(J729&gt;$N$2/5*2, "3", IF(J729&gt;$N$2/5, "4", "5"))))</f>
        <v>5</v>
      </c>
    </row>
    <row r="730" spans="1:11" x14ac:dyDescent="0.55000000000000004">
      <c r="A730">
        <v>2066</v>
      </c>
      <c r="B730">
        <f>climate_scores!H679*weights!$C$13</f>
        <v>3.4051435357014395E-2</v>
      </c>
      <c r="D730">
        <f>bird_scores!D679*weights!$C$14</f>
        <v>8.9337132020403331E-2</v>
      </c>
      <c r="F730">
        <f>size_scores!C679*weights!$C$15</f>
        <v>1.9596861E-2</v>
      </c>
      <c r="H730">
        <f>estuary_data!Z679*weights!$C$16</f>
        <v>4.9704752012525184E-3</v>
      </c>
      <c r="J730">
        <f>SUM(B730:H730)</f>
        <v>0.14795590357867025</v>
      </c>
      <c r="K730" t="str">
        <f>IF(J730&gt;$N$2/5*4, "1", IF(J730&gt;$N$2/5*3, "2", IF(J730&gt;$N$2/5*2, "3", IF(J730&gt;$N$2/5, "4", "5"))))</f>
        <v>5</v>
      </c>
    </row>
    <row r="731" spans="1:11" x14ac:dyDescent="0.55000000000000004">
      <c r="A731">
        <v>2075</v>
      </c>
      <c r="B731">
        <f>climate_scores!H688*weights!$C$13</f>
        <v>4.4465715200973227E-2</v>
      </c>
      <c r="D731">
        <f>bird_scores!D688*weights!$C$14</f>
        <v>8.5451887712696351E-2</v>
      </c>
      <c r="F731">
        <f>size_scores!C688*weights!$C$15</f>
        <v>1.9596861E-2</v>
      </c>
      <c r="H731">
        <f>estuary_data!Z688*weights!$C$16</f>
        <v>4.9055590430672827E-3</v>
      </c>
      <c r="J731">
        <f>SUM(B731:H731)</f>
        <v>0.15442002295673685</v>
      </c>
      <c r="K731" t="str">
        <f>IF(J731&gt;$N$2/5*4, "1", IF(J731&gt;$N$2/5*3, "2", IF(J731&gt;$N$2/5*2, "3", IF(J731&gt;$N$2/5, "4", "5"))))</f>
        <v>5</v>
      </c>
    </row>
    <row r="732" spans="1:11" x14ac:dyDescent="0.55000000000000004">
      <c r="A732">
        <v>2076</v>
      </c>
      <c r="B732">
        <f>climate_scores!H689*weights!$C$13</f>
        <v>4.447366827664341E-2</v>
      </c>
      <c r="D732">
        <f>bird_scores!D689*weights!$C$14</f>
        <v>6.6131718877314893E-2</v>
      </c>
      <c r="F732">
        <f>size_scores!C689*weights!$C$15</f>
        <v>1.9596861E-2</v>
      </c>
      <c r="H732">
        <f>estuary_data!Z689*weights!$C$16</f>
        <v>4.9055590430672827E-3</v>
      </c>
      <c r="J732">
        <f>SUM(B732:H732)</f>
        <v>0.13510780719702559</v>
      </c>
      <c r="K732" t="str">
        <f>IF(J732&gt;$N$2/5*4, "1", IF(J732&gt;$N$2/5*3, "2", IF(J732&gt;$N$2/5*2, "3", IF(J732&gt;$N$2/5, "4", "5"))))</f>
        <v>5</v>
      </c>
    </row>
    <row r="733" spans="1:11" x14ac:dyDescent="0.55000000000000004">
      <c r="A733">
        <v>2077</v>
      </c>
      <c r="B733">
        <f>climate_scores!H690*weights!$C$13</f>
        <v>4.3567588128762491E-2</v>
      </c>
      <c r="D733">
        <f>bird_scores!D690*weights!$C$14</f>
        <v>8.9366385560547143E-2</v>
      </c>
      <c r="F733">
        <f>size_scores!C690*weights!$C$15</f>
        <v>1.9596861E-2</v>
      </c>
      <c r="H733">
        <f>estuary_data!Z690*weights!$C$16</f>
        <v>4.9055590430672827E-3</v>
      </c>
      <c r="J733">
        <f>SUM(B733:H733)</f>
        <v>0.15743639373237692</v>
      </c>
      <c r="K733" t="str">
        <f>IF(J733&gt;$N$2/5*4, "1", IF(J733&gt;$N$2/5*3, "2", IF(J733&gt;$N$2/5*2, "3", IF(J733&gt;$N$2/5, "4", "5"))))</f>
        <v>5</v>
      </c>
    </row>
    <row r="734" spans="1:11" x14ac:dyDescent="0.55000000000000004">
      <c r="A734">
        <v>2081</v>
      </c>
      <c r="B734">
        <f>climate_scores!H694*weights!$C$13</f>
        <v>4.2582135160786752E-2</v>
      </c>
      <c r="D734">
        <f>bird_scores!D694*weights!$C$14</f>
        <v>5.8159648900574082E-2</v>
      </c>
      <c r="F734">
        <f>size_scores!C694*weights!$C$15</f>
        <v>1.9596861E-2</v>
      </c>
      <c r="H734">
        <f>estuary_data!Z694*weights!$C$16</f>
        <v>4.9055590430672827E-3</v>
      </c>
      <c r="J734">
        <f>SUM(B734:H734)</f>
        <v>0.1252442041044281</v>
      </c>
      <c r="K734" t="str">
        <f>IF(J734&gt;$N$2/5*4, "1", IF(J734&gt;$N$2/5*3, "2", IF(J734&gt;$N$2/5*2, "3", IF(J734&gt;$N$2/5, "4", "5"))))</f>
        <v>5</v>
      </c>
    </row>
    <row r="735" spans="1:11" x14ac:dyDescent="0.55000000000000004">
      <c r="A735">
        <v>2083</v>
      </c>
      <c r="B735">
        <f>climate_scores!H696*weights!$C$13</f>
        <v>4.3386884983590071E-2</v>
      </c>
      <c r="D735">
        <f>bird_scores!D696*weights!$C$14</f>
        <v>8.6482814422639387E-2</v>
      </c>
      <c r="F735">
        <f>size_scores!C696*weights!$C$15</f>
        <v>1.9596861E-2</v>
      </c>
      <c r="H735">
        <f>estuary_data!Z696*weights!$C$16</f>
        <v>5.7175725887071271E-3</v>
      </c>
      <c r="J735">
        <f>SUM(B735:H735)</f>
        <v>0.15518413299493655</v>
      </c>
      <c r="K735" t="str">
        <f>IF(J735&gt;$N$2/5*4, "1", IF(J735&gt;$N$2/5*3, "2", IF(J735&gt;$N$2/5*2, "3", IF(J735&gt;$N$2/5, "4", "5"))))</f>
        <v>5</v>
      </c>
    </row>
    <row r="736" spans="1:11" x14ac:dyDescent="0.55000000000000004">
      <c r="A736">
        <v>2092</v>
      </c>
      <c r="B736">
        <f>climate_scores!H705*weights!$C$13</f>
        <v>4.504430035023619E-2</v>
      </c>
      <c r="D736">
        <f>bird_scores!D705*weights!$C$14</f>
        <v>8.1238717758916654E-2</v>
      </c>
      <c r="F736">
        <f>size_scores!C705*weights!$C$15</f>
        <v>1.9596861E-2</v>
      </c>
      <c r="H736">
        <f>estuary_data!Z705*weights!$C$16</f>
        <v>2.3276685655790109E-3</v>
      </c>
      <c r="J736">
        <f>SUM(B736:H736)</f>
        <v>0.14820754767473185</v>
      </c>
      <c r="K736" t="str">
        <f>IF(J736&gt;$N$2/5*4, "1", IF(J736&gt;$N$2/5*3, "2", IF(J736&gt;$N$2/5*2, "3", IF(J736&gt;$N$2/5, "4", "5"))))</f>
        <v>5</v>
      </c>
    </row>
    <row r="737" spans="1:11" x14ac:dyDescent="0.55000000000000004">
      <c r="A737">
        <v>2095</v>
      </c>
      <c r="B737">
        <f>climate_scores!H708*weights!$C$13</f>
        <v>4.4544606218558117E-2</v>
      </c>
      <c r="D737">
        <f>bird_scores!D708*weights!$C$14</f>
        <v>8.563809105629791E-2</v>
      </c>
      <c r="F737">
        <f>size_scores!C708*weights!$C$15</f>
        <v>1.9596861E-2</v>
      </c>
      <c r="H737">
        <f>estuary_data!Z708*weights!$C$16</f>
        <v>2.3276685655790109E-3</v>
      </c>
      <c r="J737">
        <f>SUM(B737:H737)</f>
        <v>0.15210722684043504</v>
      </c>
      <c r="K737" t="str">
        <f>IF(J737&gt;$N$2/5*4, "1", IF(J737&gt;$N$2/5*3, "2", IF(J737&gt;$N$2/5*2, "3", IF(J737&gt;$N$2/5, "4", "5"))))</f>
        <v>5</v>
      </c>
    </row>
    <row r="738" spans="1:11" x14ac:dyDescent="0.55000000000000004">
      <c r="A738">
        <v>2098</v>
      </c>
      <c r="B738">
        <f>climate_scores!H711*weights!$C$13</f>
        <v>4.8760556454348881E-2</v>
      </c>
      <c r="D738">
        <f>bird_scores!D711*weights!$C$14</f>
        <v>6.9897473785816816E-2</v>
      </c>
      <c r="F738">
        <f>size_scores!C711*weights!$C$15</f>
        <v>1.9596861E-2</v>
      </c>
      <c r="H738">
        <f>estuary_data!Z711*weights!$C$16</f>
        <v>2.3276685655790109E-3</v>
      </c>
      <c r="J738">
        <f>SUM(B738:H738)</f>
        <v>0.14058255980574469</v>
      </c>
      <c r="K738" t="str">
        <f>IF(J738&gt;$N$2/5*4, "1", IF(J738&gt;$N$2/5*3, "2", IF(J738&gt;$N$2/5*2, "3", IF(J738&gt;$N$2/5, "4", "5"))))</f>
        <v>5</v>
      </c>
    </row>
    <row r="739" spans="1:11" x14ac:dyDescent="0.55000000000000004">
      <c r="A739">
        <v>3002</v>
      </c>
      <c r="B739">
        <f>climate_scores!H725*weights!$C$13</f>
        <v>4.0989003230860681E-2</v>
      </c>
      <c r="D739">
        <f>bird_scores!D725*weights!$C$14</f>
        <v>9.0731099204140714E-2</v>
      </c>
      <c r="F739">
        <f>size_scores!C725*weights!$C$15</f>
        <v>1.9596861E-2</v>
      </c>
      <c r="H739">
        <f>estuary_data!Z725*weights!$C$16</f>
        <v>2.6104694193409437E-3</v>
      </c>
      <c r="J739">
        <f>SUM(B739:H739)</f>
        <v>0.15392743285434235</v>
      </c>
      <c r="K739" t="str">
        <f>IF(J739&gt;$N$2/5*4, "1", IF(J739&gt;$N$2/5*3, "2", IF(J739&gt;$N$2/5*2, "3", IF(J739&gt;$N$2/5, "4", "5"))))</f>
        <v>5</v>
      </c>
    </row>
    <row r="740" spans="1:11" x14ac:dyDescent="0.55000000000000004">
      <c r="A740">
        <v>3003</v>
      </c>
      <c r="B740">
        <f>climate_scores!H726*weights!$C$13</f>
        <v>3.2239555916464629E-2</v>
      </c>
      <c r="D740">
        <f>bird_scores!D726*weights!$C$14</f>
        <v>8.4087094276500615E-2</v>
      </c>
      <c r="F740">
        <f>size_scores!C726*weights!$C$15</f>
        <v>5.8790582999999993E-2</v>
      </c>
      <c r="H740">
        <f>estuary_data!Z726*weights!$C$16</f>
        <v>2.6104694193409437E-3</v>
      </c>
      <c r="J740">
        <f>SUM(B740:H740)</f>
        <v>0.17772770261230619</v>
      </c>
      <c r="K740" t="str">
        <f>IF(J740&gt;$N$2/5*4, "1", IF(J740&gt;$N$2/5*3, "2", IF(J740&gt;$N$2/5*2, "3", IF(J740&gt;$N$2/5, "4", "5"))))</f>
        <v>4</v>
      </c>
    </row>
    <row r="741" spans="1:11" x14ac:dyDescent="0.55000000000000004">
      <c r="A741">
        <v>3005</v>
      </c>
      <c r="B741">
        <f>climate_scores!H728*weights!$C$13</f>
        <v>3.2813595717945981E-2</v>
      </c>
      <c r="D741">
        <f>bird_scores!D728*weights!$C$14</f>
        <v>8.3786438319044698E-2</v>
      </c>
      <c r="F741">
        <f>size_scores!C728*weights!$C$15</f>
        <v>3.9193722E-2</v>
      </c>
      <c r="H741">
        <f>estuary_data!Z728*weights!$C$16</f>
        <v>2.6757311548244664E-3</v>
      </c>
      <c r="J741">
        <f>SUM(B741:H741)</f>
        <v>0.15846948719181517</v>
      </c>
      <c r="K741" t="str">
        <f>IF(J741&gt;$N$2/5*4, "1", IF(J741&gt;$N$2/5*3, "2", IF(J741&gt;$N$2/5*2, "3", IF(J741&gt;$N$2/5, "4", "5"))))</f>
        <v>5</v>
      </c>
    </row>
    <row r="742" spans="1:11" x14ac:dyDescent="0.55000000000000004">
      <c r="A742">
        <v>3006</v>
      </c>
      <c r="B742">
        <f>climate_scores!H729*weights!$C$13</f>
        <v>3.5224128338454765E-2</v>
      </c>
      <c r="D742">
        <f>bird_scores!D729*weights!$C$14</f>
        <v>7.7751760885291774E-2</v>
      </c>
      <c r="F742">
        <f>size_scores!C729*weights!$C$15</f>
        <v>1.9596861E-2</v>
      </c>
      <c r="H742">
        <f>estuary_data!Z729*weights!$C$16</f>
        <v>2.6757311548244664E-3</v>
      </c>
      <c r="J742">
        <f>SUM(B742:H742)</f>
        <v>0.13524848137857101</v>
      </c>
      <c r="K742" t="str">
        <f>IF(J742&gt;$N$2/5*4, "1", IF(J742&gt;$N$2/5*3, "2", IF(J742&gt;$N$2/5*2, "3", IF(J742&gt;$N$2/5, "4", "5"))))</f>
        <v>5</v>
      </c>
    </row>
    <row r="743" spans="1:11" x14ac:dyDescent="0.55000000000000004">
      <c r="A743">
        <v>3007</v>
      </c>
      <c r="B743">
        <f>climate_scores!H730*weights!$C$13</f>
        <v>3.6131138866913187E-2</v>
      </c>
      <c r="D743">
        <f>bird_scores!D730*weights!$C$14</f>
        <v>6.2529982019221567E-2</v>
      </c>
      <c r="F743">
        <f>size_scores!C730*weights!$C$15</f>
        <v>5.8790582999999993E-2</v>
      </c>
      <c r="H743">
        <f>estuary_data!Z730*weights!$C$16</f>
        <v>2.6757311548244664E-3</v>
      </c>
      <c r="J743">
        <f>SUM(B743:H743)</f>
        <v>0.16012743504095922</v>
      </c>
      <c r="K743" t="str">
        <f>IF(J743&gt;$N$2/5*4, "1", IF(J743&gt;$N$2/5*3, "2", IF(J743&gt;$N$2/5*2, "3", IF(J743&gt;$N$2/5, "4", "5"))))</f>
        <v>4</v>
      </c>
    </row>
    <row r="744" spans="1:11" x14ac:dyDescent="0.55000000000000004">
      <c r="A744">
        <v>3015</v>
      </c>
      <c r="B744">
        <f>climate_scores!H738*weights!$C$13</f>
        <v>5.4026820656439725E-2</v>
      </c>
      <c r="D744">
        <f>bird_scores!D738*weights!$C$14</f>
        <v>9.6062492341979056E-2</v>
      </c>
      <c r="F744">
        <f>size_scores!C738*weights!$C$15</f>
        <v>1.9596861E-2</v>
      </c>
      <c r="H744">
        <f>estuary_data!Z738*weights!$C$16</f>
        <v>2.6757311548244664E-3</v>
      </c>
      <c r="J744">
        <f>SUM(B744:H744)</f>
        <v>0.17236190515324323</v>
      </c>
      <c r="K744" t="str">
        <f>IF(J744&gt;$N$2/5*4, "1", IF(J744&gt;$N$2/5*3, "2", IF(J744&gt;$N$2/5*2, "3", IF(J744&gt;$N$2/5, "4", "5"))))</f>
        <v>4</v>
      </c>
    </row>
    <row r="745" spans="1:11" x14ac:dyDescent="0.55000000000000004">
      <c r="A745">
        <v>3021</v>
      </c>
      <c r="B745">
        <f>climate_scores!H744*weights!$C$13</f>
        <v>5.9584206111029242E-2</v>
      </c>
      <c r="D745">
        <f>bird_scores!D744*weights!$C$14</f>
        <v>7.9944505961491413E-2</v>
      </c>
      <c r="F745">
        <f>size_scores!C744*weights!$C$15</f>
        <v>1.9596861E-2</v>
      </c>
      <c r="H745">
        <f>estuary_data!Z744*weights!$C$16</f>
        <v>2.7409928903079895E-3</v>
      </c>
      <c r="J745">
        <f>SUM(B745:H745)</f>
        <v>0.16186656596282864</v>
      </c>
      <c r="K745" t="str">
        <f>IF(J745&gt;$N$2/5*4, "1", IF(J745&gt;$N$2/5*3, "2", IF(J745&gt;$N$2/5*2, "3", IF(J745&gt;$N$2/5, "4", "5"))))</f>
        <v>4</v>
      </c>
    </row>
    <row r="746" spans="1:11" x14ac:dyDescent="0.55000000000000004">
      <c r="A746">
        <v>3025</v>
      </c>
      <c r="B746">
        <f>climate_scores!H748*weights!$C$13</f>
        <v>6.0437553822216716E-2</v>
      </c>
      <c r="D746">
        <f>bird_scores!D748*weights!$C$14</f>
        <v>6.931043926818771E-2</v>
      </c>
      <c r="F746">
        <f>size_scores!C748*weights!$C$15</f>
        <v>1.9596861E-2</v>
      </c>
      <c r="H746">
        <f>estuary_data!Z748*weights!$C$16</f>
        <v>2.3018290795619517E-3</v>
      </c>
      <c r="J746">
        <f>SUM(B746:H746)</f>
        <v>0.15164668316996635</v>
      </c>
      <c r="K746" t="str">
        <f>IF(J746&gt;$N$2/5*4, "1", IF(J746&gt;$N$2/5*3, "2", IF(J746&gt;$N$2/5*2, "3", IF(J746&gt;$N$2/5, "4", "5"))))</f>
        <v>5</v>
      </c>
    </row>
    <row r="747" spans="1:11" x14ac:dyDescent="0.55000000000000004">
      <c r="A747">
        <v>151</v>
      </c>
      <c r="B747">
        <f>climate_scores!H152*weights!$C$13</f>
        <v>7.6323370949542835E-2</v>
      </c>
      <c r="D747">
        <f>bird_scores!D152*weights!$C$14</f>
        <v>0.27726097362224489</v>
      </c>
      <c r="F747">
        <f>size_scores!C152*weights!$C$15</f>
        <v>7.8387444000000001E-2</v>
      </c>
      <c r="H747">
        <f>estuary_data!Z152*weights!$C$16</f>
        <v>4.8548285596237042E-2</v>
      </c>
      <c r="J747">
        <f>SUM(B747:H747)</f>
        <v>0.48052007416802478</v>
      </c>
      <c r="K747" t="str">
        <f>IF(J747&gt;$N$2/5*4, "1", IF(J747&gt;$N$2/5*3, "2", IF(J747&gt;$N$2/5*2, "3", IF(J747&gt;$N$2/5, "4", "5"))))</f>
        <v>2</v>
      </c>
    </row>
    <row r="748" spans="1:11" x14ac:dyDescent="0.55000000000000004">
      <c r="A748">
        <v>254</v>
      </c>
      <c r="B748" t="e">
        <f>climate_scores!H255*weights!$C$13</f>
        <v>#VALUE!</v>
      </c>
      <c r="D748">
        <f>bird_scores!D255*weights!$C$14</f>
        <v>0.11116965625596367</v>
      </c>
      <c r="F748">
        <f>size_scores!C255*weights!$C$15</f>
        <v>0.17637174899999999</v>
      </c>
      <c r="H748">
        <f>estuary_data!Z255*weights!$C$16</f>
        <v>3.4388368964001241E-3</v>
      </c>
      <c r="J748" t="e">
        <f>SUM(B748:H748)</f>
        <v>#VALUE!</v>
      </c>
      <c r="K748" t="e">
        <f>IF(J748&gt;$N$2/5*4, "1", IF(J748&gt;$N$2/5*3, "2", IF(J748&gt;$N$2/5*2, "3", IF(J748&gt;$N$2/5, "4", "5"))))</f>
        <v>#VALUE!</v>
      </c>
    </row>
    <row r="749" spans="1:11" x14ac:dyDescent="0.55000000000000004">
      <c r="A749">
        <v>369</v>
      </c>
      <c r="B749" t="e">
        <f>climate_scores!H370*weights!$C$13</f>
        <v>#VALUE!</v>
      </c>
      <c r="D749">
        <f>bird_scores!D370*weights!$C$14</f>
        <v>7.9172715410451233E-2</v>
      </c>
      <c r="F749">
        <f>size_scores!C370*weights!$C$15</f>
        <v>9.7984304999999994E-2</v>
      </c>
      <c r="H749">
        <f>estuary_data!Z370*weights!$C$16</f>
        <v>4.2479749896707384E-3</v>
      </c>
      <c r="J749" t="e">
        <f>SUM(B749:H749)</f>
        <v>#VALUE!</v>
      </c>
      <c r="K749" t="e">
        <f>IF(J749&gt;$N$2/5*4, "1", IF(J749&gt;$N$2/5*3, "2", IF(J749&gt;$N$2/5*2, "3", IF(J749&gt;$N$2/5, "4", "5"))))</f>
        <v>#VALUE!</v>
      </c>
    </row>
    <row r="750" spans="1:11" x14ac:dyDescent="0.55000000000000004">
      <c r="A750">
        <v>389</v>
      </c>
      <c r="B750" t="e">
        <f>climate_scores!H390*weights!$C$13</f>
        <v>#VALUE!</v>
      </c>
      <c r="D750">
        <f>bird_scores!D390*weights!$C$14</f>
        <v>6.6758233591254268E-2</v>
      </c>
      <c r="F750">
        <f>size_scores!C390*weights!$C$15</f>
        <v>0.17637174899999999</v>
      </c>
      <c r="H750">
        <f>estuary_data!Z390*weights!$C$16</f>
        <v>0</v>
      </c>
      <c r="J750" t="e">
        <f>SUM(B750:H750)</f>
        <v>#VALUE!</v>
      </c>
      <c r="K750" t="e">
        <f>IF(J750&gt;$N$2/5*4, "1", IF(J750&gt;$N$2/5*3, "2", IF(J750&gt;$N$2/5*2, "3", IF(J750&gt;$N$2/5, "4", "5"))))</f>
        <v>#VALUE!</v>
      </c>
    </row>
    <row r="751" spans="1:11" x14ac:dyDescent="0.55000000000000004">
      <c r="A751">
        <v>425</v>
      </c>
      <c r="B751" t="e">
        <f>climate_scores!H426*weights!$C$13</f>
        <v>#VALUE!</v>
      </c>
      <c r="D751">
        <f>bird_scores!D426*weights!$C$14</f>
        <v>6.0727648652937893E-2</v>
      </c>
      <c r="F751">
        <f>size_scores!C426*weights!$C$15</f>
        <v>7.8387444000000001E-2</v>
      </c>
      <c r="H751">
        <f>estuary_data!Z426*weights!$C$16</f>
        <v>1.8374591718350947E-2</v>
      </c>
      <c r="J751" t="e">
        <f>SUM(B751:H751)</f>
        <v>#VALUE!</v>
      </c>
      <c r="K751" t="e">
        <f>IF(J751&gt;$N$2/5*4, "1", IF(J751&gt;$N$2/5*3, "2", IF(J751&gt;$N$2/5*2, "3", IF(J751&gt;$N$2/5, "4", "5"))))</f>
        <v>#VALUE!</v>
      </c>
    </row>
    <row r="752" spans="1:11" x14ac:dyDescent="0.55000000000000004">
      <c r="A752">
        <v>428</v>
      </c>
      <c r="B752" t="e">
        <f>climate_scores!H429*weights!$C$13</f>
        <v>#VALUE!</v>
      </c>
      <c r="D752">
        <f>bird_scores!D429*weights!$C$14</f>
        <v>8.6235652029646143E-2</v>
      </c>
      <c r="F752">
        <f>size_scores!C429*weights!$C$15</f>
        <v>0.19596860999999999</v>
      </c>
      <c r="H752">
        <f>estuary_data!Z429*weights!$C$16</f>
        <v>1.8410792143483566E-3</v>
      </c>
      <c r="J752" t="e">
        <f>SUM(B752:H752)</f>
        <v>#VALUE!</v>
      </c>
      <c r="K752" t="e">
        <f>IF(J752&gt;$N$2/5*4, "1", IF(J752&gt;$N$2/5*3, "2", IF(J752&gt;$N$2/5*2, "3", IF(J752&gt;$N$2/5, "4", "5"))))</f>
        <v>#VALUE!</v>
      </c>
    </row>
    <row r="753" spans="1:11" x14ac:dyDescent="0.55000000000000004">
      <c r="A753">
        <v>430</v>
      </c>
      <c r="B753" t="e">
        <f>climate_scores!H431*weights!$C$13</f>
        <v>#VALUE!</v>
      </c>
      <c r="D753">
        <f>bird_scores!D431*weights!$C$14</f>
        <v>6.2624629022086167E-2</v>
      </c>
      <c r="F753">
        <f>size_scores!C431*weights!$C$15</f>
        <v>7.8387444000000001E-2</v>
      </c>
      <c r="H753">
        <f>estuary_data!Z431*weights!$C$16</f>
        <v>1.8100543761464829E-2</v>
      </c>
      <c r="J753" t="e">
        <f>SUM(B753:H753)</f>
        <v>#VALUE!</v>
      </c>
      <c r="K753" t="e">
        <f>IF(J753&gt;$N$2/5*4, "1", IF(J753&gt;$N$2/5*3, "2", IF(J753&gt;$N$2/5*2, "3", IF(J753&gt;$N$2/5, "4", "5"))))</f>
        <v>#VALUE!</v>
      </c>
    </row>
  </sheetData>
  <sortState xmlns:xlrd2="http://schemas.microsoft.com/office/spreadsheetml/2017/richdata2" ref="A2:K753">
    <sortCondition ref="K1:K753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c61d377-9894-427c-b13b-1d6a51662b4e}" enabled="0" method="" siteId="{9c61d377-9894-427c-b13b-1d6a51662b4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weights</vt:lpstr>
      <vt:lpstr>estuary_data</vt:lpstr>
      <vt:lpstr>size_scores</vt:lpstr>
      <vt:lpstr>climate_scores</vt:lpstr>
      <vt:lpstr>bird_scores</vt:lpstr>
      <vt:lpstr>slr_scores</vt:lpstr>
      <vt:lpstr>overall_scores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Marcus</dc:creator>
  <cp:lastModifiedBy>Rekha Marcus</cp:lastModifiedBy>
  <dcterms:created xsi:type="dcterms:W3CDTF">2026-07-07T16:35:27Z</dcterms:created>
  <dcterms:modified xsi:type="dcterms:W3CDTF">2026-07-08T18:15:08Z</dcterms:modified>
</cp:coreProperties>
</file>