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ic-my.sharepoint.com/personal/rekhamarcus_uvic_ca/Documents/Wetlands/PNW_Estuaries/AHP/"/>
    </mc:Choice>
  </mc:AlternateContent>
  <xr:revisionPtr revIDLastSave="201" documentId="8_{1F51F636-4189-46C8-AE5C-B12D29AC3067}" xr6:coauthVersionLast="47" xr6:coauthVersionMax="47" xr10:uidLastSave="{333FB721-0880-4924-BC03-2EC0612679F7}"/>
  <bookViews>
    <workbookView xWindow="2106" yWindow="2106" windowWidth="17280" windowHeight="8904" xr2:uid="{56B1FAB7-2D47-40AC-9894-A4678ED10C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" i="1" l="1"/>
  <c r="E8" i="1"/>
  <c r="D8" i="1"/>
  <c r="E7" i="1"/>
  <c r="B7" i="1"/>
  <c r="B8" i="1" s="1"/>
  <c r="B9" i="1" l="1"/>
</calcChain>
</file>

<file path=xl/sharedStrings.xml><?xml version="1.0" encoding="utf-8"?>
<sst xmlns="http://schemas.openxmlformats.org/spreadsheetml/2006/main" count="9" uniqueCount="9">
  <si>
    <t>survey score</t>
  </si>
  <si>
    <t>regular score</t>
  </si>
  <si>
    <t>number of responses</t>
  </si>
  <si>
    <t>mean score</t>
  </si>
  <si>
    <t>priority score</t>
  </si>
  <si>
    <t xml:space="preserve">for? </t>
  </si>
  <si>
    <t>rich</t>
  </si>
  <si>
    <t>abun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</si>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</sst>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1884-14EC-408D-AD29-0712DD27AE0A}">
  <dimension ref="A1:R9"/>
  <sheetViews>
    <sheetView tabSelected="1" zoomScale="66" workbookViewId="0">
      <selection activeCell="E8" sqref="E8:E9"/>
    </sheetView>
  </sheetViews>
  <sheetFormatPr defaultRowHeight="14.4" x14ac:dyDescent="0.55000000000000004"/>
  <cols>
    <col min="1" max="1" width="22.89453125" customWidth="1"/>
  </cols>
  <sheetData>
    <row r="1" spans="1:18" x14ac:dyDescent="0.55000000000000004">
      <c r="B1" s="1" t="s">
        <v>6</v>
      </c>
      <c r="C1" s="1"/>
      <c r="D1" s="1"/>
      <c r="E1" s="1"/>
      <c r="F1" s="1"/>
      <c r="G1" s="1"/>
      <c r="H1" s="1"/>
      <c r="I1" s="1"/>
      <c r="K1" s="1" t="s">
        <v>7</v>
      </c>
      <c r="L1" s="1"/>
      <c r="M1" s="1"/>
      <c r="N1" s="1"/>
      <c r="O1" s="1"/>
      <c r="P1" s="1"/>
      <c r="Q1" s="1"/>
      <c r="R1" s="1"/>
    </row>
    <row r="2" spans="1:18" x14ac:dyDescent="0.55000000000000004">
      <c r="A2" t="s">
        <v>0</v>
      </c>
      <c r="B2">
        <v>9</v>
      </c>
      <c r="C2">
        <v>8</v>
      </c>
      <c r="D2">
        <v>7</v>
      </c>
      <c r="E2">
        <v>6</v>
      </c>
      <c r="F2">
        <v>5</v>
      </c>
      <c r="G2">
        <v>4</v>
      </c>
      <c r="H2">
        <v>3</v>
      </c>
      <c r="I2">
        <v>2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Q2">
        <v>8</v>
      </c>
      <c r="R2">
        <v>9</v>
      </c>
    </row>
    <row r="3" spans="1:18" x14ac:dyDescent="0.55000000000000004">
      <c r="A3" t="s">
        <v>1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</row>
    <row r="4" spans="1:18" x14ac:dyDescent="0.55000000000000004">
      <c r="A4" t="s">
        <v>2</v>
      </c>
      <c r="I4">
        <v>1</v>
      </c>
      <c r="J4">
        <v>1</v>
      </c>
      <c r="L4">
        <v>1</v>
      </c>
      <c r="M4">
        <v>1</v>
      </c>
      <c r="N4">
        <v>1</v>
      </c>
      <c r="O4">
        <v>1</v>
      </c>
    </row>
    <row r="7" spans="1:18" x14ac:dyDescent="0.55000000000000004">
      <c r="A7" t="s">
        <v>3</v>
      </c>
      <c r="B7">
        <f>SUM(B3*B4, C3*C4, D3*D4, E3*E4, F3*F4, G3*G4, H3*H4, I3*I4, J3*J4, K3*K4, L3*L4, M3*M4, N3*N4, O3*O4, P3*P4, Q3*Q4, R3*R4)/6</f>
        <v>11.166666666666666</v>
      </c>
      <c r="E7">
        <f>B8+(1/B8)</f>
        <v>3.4824561403508767</v>
      </c>
    </row>
    <row r="8" spans="1:18" x14ac:dyDescent="0.55000000000000004">
      <c r="A8" t="s">
        <v>4</v>
      </c>
      <c r="B8">
        <f>IF(B7&gt;9, B7-8, ABS(B7-10))</f>
        <v>3.1666666666666661</v>
      </c>
      <c r="D8" t="str">
        <f>B9</f>
        <v>abun</v>
      </c>
      <c r="E8">
        <f>B8/E7</f>
        <v>0.90931989924433243</v>
      </c>
    </row>
    <row r="9" spans="1:18" x14ac:dyDescent="0.55000000000000004">
      <c r="A9" t="s">
        <v>5</v>
      </c>
      <c r="B9" t="str">
        <f>IF(B7&gt;9, K1, B1)</f>
        <v>abun</v>
      </c>
      <c r="D9" t="s">
        <v>8</v>
      </c>
      <c r="E9">
        <f>1-E8</f>
        <v>9.068010075566757E-2</v>
      </c>
    </row>
  </sheetData>
  <mergeCells count="2">
    <mergeCell ref="B1:I1"/>
    <mergeCell ref="K1:R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c61d377-9894-427c-b13b-1d6a51662b4e}" enabled="0" method="" siteId="{9c61d377-9894-427c-b13b-1d6a51662b4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Marcus</dc:creator>
  <cp:lastModifiedBy>Rekha Marcus</cp:lastModifiedBy>
  <dcterms:created xsi:type="dcterms:W3CDTF">2026-07-06T19:41:18Z</dcterms:created>
  <dcterms:modified xsi:type="dcterms:W3CDTF">2026-07-07T16:24:37Z</dcterms:modified>
</cp:coreProperties>
</file>